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s_dossiers_synchronises\projet_rgd_pas_a_pas\sources\"/>
    </mc:Choice>
  </mc:AlternateContent>
  <xr:revisionPtr revIDLastSave="0" documentId="13_ncr:1_{0D1AC8AB-66B3-477C-A40A-797661D90E25}" xr6:coauthVersionLast="47" xr6:coauthVersionMax="47" xr10:uidLastSave="{00000000-0000-0000-0000-000000000000}"/>
  <bookViews>
    <workbookView xWindow="-103" yWindow="-103" windowWidth="33120" windowHeight="18000" activeTab="1" xr2:uid="{00000000-000D-0000-FFFF-FFFF00000000}"/>
  </bookViews>
  <sheets>
    <sheet name="data" sheetId="1" r:id="rId1"/>
    <sheet name="F_parametres" sheetId="2" r:id="rId2"/>
  </sheets>
  <functionGroups builtInGroupCount="19"/>
  <definedNames>
    <definedName name="_xlnm._FilterDatabase" localSheetId="0" hidden="1">data!$A$1:$AA$4025</definedName>
    <definedName name="Agregation_2015_a_201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" i="2" l="1"/>
  <c r="B9" i="2" s="1"/>
  <c r="B8" i="2"/>
  <c r="B6" i="2"/>
  <c r="B2" i="2" a="1"/>
  <c r="B2" i="2" l="1"/>
  <c r="B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<sst xmlns="http://schemas.openxmlformats.org/spreadsheetml/2006/main" count="36242" uniqueCount="4210">
  <si>
    <t>Type d'appel</t>
  </si>
  <si>
    <t>Libelle</t>
  </si>
  <si>
    <t>Debut de periode</t>
  </si>
  <si>
    <t>Fin de periode</t>
  </si>
  <si>
    <t>Periode Cloturee</t>
  </si>
  <si>
    <t>Numéro du batiment</t>
  </si>
  <si>
    <t>Nom du batiment</t>
  </si>
  <si>
    <t>Numéro de la rubrique</t>
  </si>
  <si>
    <t>Nom de la rubrique</t>
  </si>
  <si>
    <t>Num type charge</t>
  </si>
  <si>
    <t>Nom du type de charge</t>
  </si>
  <si>
    <t>Date</t>
  </si>
  <si>
    <t>Reference</t>
  </si>
  <si>
    <t>Montant à repartir</t>
  </si>
  <si>
    <t>Nom du fournisseur</t>
  </si>
  <si>
    <t>CC</t>
  </si>
  <si>
    <t>Charges courantes</t>
  </si>
  <si>
    <t>N</t>
  </si>
  <si>
    <t>CH.GENER</t>
  </si>
  <si>
    <t>CHARGES GENERALES</t>
  </si>
  <si>
    <t>Remplacement gardien</t>
  </si>
  <si>
    <t>Rempt gardien Du 31/01 au 07/02/22 FPE</t>
  </si>
  <si>
    <t>2202104</t>
  </si>
  <si>
    <t>FPE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</si>
  <si>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</si>
  <si>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</si>
  <si>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</si>
  <si>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</si>
  <si>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</si>
  <si>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</si>
  <si>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O</t>
  </si>
  <si>
    <t>Achat materiel</t>
  </si>
  <si>
    <t>Reconstition fonds de caisse GRAVIER</t>
  </si>
  <si>
    <t>Reconstitution fds de caisse</t>
  </si>
  <si>
    <t>GRAVIER</t>
  </si>
  <si>
    <t>Fonds de caisse GRAVIER</t>
  </si>
  <si>
    <t>Fonds de caisse</t>
  </si>
  <si>
    <t>Reconstitution fonds de caisse GRAVIER</t>
  </si>
  <si>
    <t>Reconstituation fonds de caiss</t>
  </si>
  <si>
    <t>fonds de caisse</t>
  </si>
  <si>
    <t>Location containers</t>
  </si>
  <si>
    <t>Location conteners 2022 SULO FRANC</t>
  </si>
  <si>
    <t>91250518</t>
  </si>
  <si>
    <t>SULO FRANCE</t>
  </si>
  <si>
    <t>Deduction Q/P location VILLAGE</t>
  </si>
  <si>
    <t>18900</t>
  </si>
  <si>
    <t/>
  </si>
  <si>
    <t>Deduction Q/P location bat ER</t>
  </si>
  <si>
    <t>Deduction Q/P location bat G</t>
  </si>
  <si>
    <t>EDF Portail</t>
  </si>
  <si>
    <t>Quittance EDF - Du 20/01/22 - 179 kWh EDF ENTREP</t>
  </si>
  <si>
    <t>10142686191</t>
  </si>
  <si>
    <t>EDF ENTREPRISES (ENEDIS)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</si>
  <si>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</si>
  <si>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</si>
  <si>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</si>
  <si>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</si>
  <si>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</si>
  <si>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</si>
  <si>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</si>
  <si>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</si>
  <si>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</si>
  <si>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</si>
  <si>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</si>
  <si>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</si>
  <si>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</si>
  <si>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</si>
  <si>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</si>
  <si>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</si>
  <si>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</si>
  <si>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</si>
  <si>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</si>
  <si>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</si>
  <si>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</si>
  <si>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</si>
  <si>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Electricite lumiere</t>
  </si>
  <si>
    <t>Quittance EDF EDF ENTREP</t>
  </si>
  <si>
    <t>Déduction EDF Piscine</t>
  </si>
  <si>
    <t>Consommation eau</t>
  </si>
  <si>
    <t>Quittance eau - Du 09/02/22 - 1496m3 REGIE EAU</t>
  </si>
  <si>
    <t>4429054</t>
  </si>
  <si>
    <t>REGIE EAU D'AZUR</t>
  </si>
  <si>
    <t>Quittance eau - Du 24/08/22 - 1790m3 REGIE EAU</t>
  </si>
  <si>
    <t>4720627</t>
  </si>
  <si>
    <t>Déduction Eau Piscine</t>
  </si>
  <si>
    <t>Deduction eau froide coproprietaires</t>
  </si>
  <si>
    <t>15469</t>
  </si>
  <si>
    <t>Deduction eau froide chauffée bat. R</t>
  </si>
  <si>
    <t>Deduction eau loge</t>
  </si>
  <si>
    <t>Deduction eau froide chauffée bat. G</t>
  </si>
  <si>
    <t>Deduction eau froide chauffée bat. E</t>
  </si>
  <si>
    <t>Eau d'arrosage</t>
  </si>
  <si>
    <t>Quittance Eau Arrosage - Du 09/02/22 - 1454m3 REGI</t>
  </si>
  <si>
    <t>4429055</t>
  </si>
  <si>
    <t>Quittance Eau Arrosage - Du 24/08/22 - 1681m3 REGI</t>
  </si>
  <si>
    <t>4720629</t>
  </si>
  <si>
    <t>Eau loge</t>
  </si>
  <si>
    <t>Eau chaude loge 11.36e x 2M3</t>
  </si>
  <si>
    <t>19022</t>
  </si>
  <si>
    <t>Consommation eau loge 4.16e x 6M3</t>
  </si>
  <si>
    <t>Charges sociales patronales</t>
  </si>
  <si>
    <t>Cotisation - 2022 AMETRA 06</t>
  </si>
  <si>
    <t>1533568</t>
  </si>
  <si>
    <t>AMETRA 06</t>
  </si>
  <si>
    <t>Salaire employé 100 %</t>
  </si>
  <si>
    <t>PAS DECEMBRE 2021 DGFIP</t>
  </si>
  <si>
    <t>38841241300014</t>
  </si>
  <si>
    <t>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</si>
  <si>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</si>
  <si>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</si>
  <si>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</si>
  <si>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</si>
  <si>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</si>
  <si>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</si>
  <si>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</si>
  <si>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</si>
  <si>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</si>
  <si>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</si>
  <si>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</si>
  <si>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</si>
  <si>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</si>
  <si>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</si>
  <si>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</si>
  <si>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</si>
  <si>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</si>
  <si>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</si>
  <si>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</si>
  <si>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</si>
  <si>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</si>
  <si>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</si>
  <si>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</si>
  <si>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</si>
  <si>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</si>
  <si>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</si>
  <si>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</si>
  <si>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</si>
  <si>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</si>
  <si>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</si>
  <si>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</si>
  <si>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</si>
  <si>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</si>
  <si>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</si>
  <si>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</si>
  <si>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Cotis. urssaf employé 100%</t>
  </si>
  <si>
    <t>URSSAF DECEMBRE 2021 URSSAF P.A</t>
  </si>
  <si>
    <t>99S120214338841241300014</t>
  </si>
  <si>
    <t>URSSAF P.A.C.A.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</si>
  <si>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</si>
  <si>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</si>
  <si>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</si>
  <si>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</si>
  <si>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</si>
  <si>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</si>
  <si>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</si>
  <si>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</si>
  <si>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</si>
  <si>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</si>
  <si>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</si>
  <si>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</si>
  <si>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</si>
  <si>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</si>
  <si>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</si>
  <si>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</si>
  <si>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</si>
  <si>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</si>
  <si>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</si>
  <si>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</si>
  <si>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</si>
  <si>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</si>
  <si>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</si>
  <si>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</si>
  <si>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</si>
  <si>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</si>
  <si>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</si>
  <si>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</si>
  <si>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</si>
  <si>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</si>
  <si>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</si>
  <si>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</si>
  <si>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</si>
  <si>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</si>
  <si>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Cotis. retraite employé 100%</t>
  </si>
  <si>
    <t>RETRAITE PATRONALE M GRAVIER JANVIER 2022 GRAVIER</t>
  </si>
  <si>
    <t>RETRAITE AGIRC-ARRCO JANVIER 2022 MALAKOFF -</t>
  </si>
  <si>
    <t>MALAKOFF - HUMANIS RETRAITE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</si>
  <si>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</si>
  <si>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</si>
  <si>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</si>
  <si>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</si>
  <si>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</si>
  <si>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</si>
  <si>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</si>
  <si>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</si>
  <si>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</si>
  <si>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</si>
  <si>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</si>
  <si>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</si>
  <si>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</si>
  <si>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</si>
  <si>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 sur salaire employé 100%</t>
  </si>
  <si>
    <t>TAXE/SALAIRES ANNUEL 2022 SIE NICE O</t>
  </si>
  <si>
    <t>TAXE SUR SALAIRES 2022</t>
  </si>
  <si>
    <t>SIE NICE OUEST</t>
  </si>
  <si>
    <t>Cotis. prévoyance gardien 75%</t>
  </si>
  <si>
    <t>PREVOYANCE DECEMBRE 2021 MALAKOFF H</t>
  </si>
  <si>
    <t>MALAKOFF HUMANIS PREVOYANCE</t>
  </si>
  <si>
    <t>PREVOYANCE PATR M GRAVIER JANVIER 2022 GRAVIER</t>
  </si>
  <si>
    <t>MUTUELLE PATRONAL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</si>
  <si>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</si>
  <si>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</si>
  <si>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</si>
  <si>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</si>
  <si>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</si>
  <si>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</si>
  <si>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</si>
  <si>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MUTUELLE PATRONAL M GRAVIER AVRIL 2022 GRAVIER</t>
  </si>
  <si>
    <t>PREVOYANCE PATR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</si>
  <si>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</si>
  <si>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</si>
  <si>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</si>
  <si>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</si>
  <si>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</si>
  <si>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</si>
  <si>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</si>
  <si>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MUTUELLE PATRONAL M GRAVIER JUILLET 2022 GRAVIER</t>
  </si>
  <si>
    <t>PREVOYANCE PATR M GRAVIER JUILLET 2022 GRAVIER</t>
  </si>
  <si>
    <t>PREVOYANCE PATR M GRAVIER AOUT 2022 GRAVIER</t>
  </si>
  <si>
    <t>MUTUELLE PATRONAL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</si>
  <si>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</si>
  <si>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</si>
  <si>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</si>
  <si>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</si>
  <si>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MUTUELLE PATRONAL M GRAVIER NOVEMBRE 2022 GRAVIER</t>
  </si>
  <si>
    <t>PREVOYANCE PATR M GRAVIER NOVEMBRE 2022 GRAVIER</t>
  </si>
  <si>
    <t>PREVOYANCE PATR M GRAVIER DECEMBRE 2022 GRAVIER</t>
  </si>
  <si>
    <t>MUTUELLE PATRONAL M GRAVIER DECEMBRE 2022 GRAVIER</t>
  </si>
  <si>
    <t>EDF loge</t>
  </si>
  <si>
    <t>EDF - Du 23/01/22 - 19 kWh EDF BLEU C</t>
  </si>
  <si>
    <t>31642824564</t>
  </si>
  <si>
    <t>EDF BLEU CIEL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</si>
  <si>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</si>
  <si>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</si>
  <si>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</si>
  <si>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</si>
  <si>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</si>
  <si>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</si>
  <si>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</si>
  <si>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</si>
  <si>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</si>
  <si>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</si>
  <si>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agios bancaires</t>
  </si>
  <si>
    <t>Palatine frais tenue cpte</t>
  </si>
  <si>
    <t>Frais rejet</t>
  </si>
  <si>
    <t>Honoraires avocat</t>
  </si>
  <si>
    <t>Honoraires - Affaire EB/MMV BRANCALEON</t>
  </si>
  <si>
    <t>22011</t>
  </si>
  <si>
    <t>BRANCALEONI</t>
  </si>
  <si>
    <t>Etudes techniques Diagnostic</t>
  </si>
  <si>
    <t>Etude de faisabilité création de stationnements B.</t>
  </si>
  <si>
    <t>119-7/22-08/17</t>
  </si>
  <si>
    <t>B.E.T SALADINO</t>
  </si>
  <si>
    <t>Honoraires divers</t>
  </si>
  <si>
    <t>REUNION AVOCAT AU BUREAU LE 04072022</t>
  </si>
  <si>
    <t>F2022000005201</t>
  </si>
  <si>
    <t>HONORAIRES VACATIONS   SYNDIC</t>
  </si>
  <si>
    <t>Procédure judiciaire - suivi</t>
  </si>
  <si>
    <t>F2022000005212</t>
  </si>
  <si>
    <t>HONO.PROCEDURES         SYNDIC</t>
  </si>
  <si>
    <t>Assurances multirisques</t>
  </si>
  <si>
    <t>Cotisation - Du 01/01/22 au 31/12/22 COMTE</t>
  </si>
  <si>
    <t>860254</t>
  </si>
  <si>
    <t>COMTE</t>
  </si>
  <si>
    <t>Travaux sinistres</t>
  </si>
  <si>
    <t>SIMD14203/3800 poursuite RDF TANTILLO</t>
  </si>
  <si>
    <t>SIMD14203/3800 Ref coffre platre TANTILLO</t>
  </si>
  <si>
    <t>Contrat entr extincteurs</t>
  </si>
  <si>
    <t>Vérif 2 Appareils PRO INCENDIE</t>
  </si>
  <si>
    <t>Contrat entretien portails</t>
  </si>
  <si>
    <t>Maint porte + PG - 1Trim2022 ELECTRO AL</t>
  </si>
  <si>
    <t>VOF1935927</t>
  </si>
  <si>
    <t>ELECTRO ALPES ASCENSEUR NSA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</si>
  <si>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</si>
  <si>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</si>
  <si>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</si>
  <si>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</si>
  <si>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</si>
  <si>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</si>
  <si>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Deduction contrat portes garages</t>
  </si>
  <si>
    <t>15862</t>
  </si>
  <si>
    <t>Contrat espaces verts</t>
  </si>
  <si>
    <t>Entretien - Janvier 2022 ARTHEMA JA</t>
  </si>
  <si>
    <t>F-22-01-0006</t>
  </si>
  <si>
    <t>ARTHEMA JARDIN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</si>
  <si>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</si>
  <si>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</si>
  <si>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</si>
  <si>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</si>
  <si>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</si>
  <si>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</si>
  <si>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</si>
  <si>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</si>
  <si>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</si>
  <si>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</si>
  <si>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</si>
  <si>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</si>
  <si>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</si>
  <si>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</si>
  <si>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</si>
  <si>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</si>
  <si>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</si>
  <si>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</si>
  <si>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</si>
  <si>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</si>
  <si>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</si>
  <si>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</si>
  <si>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Entretien des espaces verts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</si>
  <si>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</si>
  <si>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</si>
  <si>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</si>
  <si>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</si>
  <si>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</si>
  <si>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</si>
  <si>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</si>
  <si>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</si>
  <si>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Achat divers jardins</t>
  </si>
  <si>
    <t>Achat 1 Tonte extra ARTHEMA JA</t>
  </si>
  <si>
    <t>20090102</t>
  </si>
  <si>
    <t>Frais releve compt. eau</t>
  </si>
  <si>
    <t>Location releve compteurs eau loge</t>
  </si>
  <si>
    <t>18853</t>
  </si>
  <si>
    <t>Surv cpt eau jardin</t>
  </si>
  <si>
    <t>Surveillance compteur general - 2022 OCEA SMART</t>
  </si>
  <si>
    <t>FSGEE/462066</t>
  </si>
  <si>
    <t>OCEA SMART BUILDING</t>
  </si>
  <si>
    <t>Q/Part employe imm.(collectif)</t>
  </si>
  <si>
    <t>Répartition charges employés immeuble 2022</t>
  </si>
  <si>
    <t>Indemnites assurance ttc</t>
  </si>
  <si>
    <t>SIMD 14203/3800</t>
  </si>
  <si>
    <t>281046/1</t>
  </si>
  <si>
    <t>Rompus sur repartition</t>
  </si>
  <si>
    <t>Solde charges au 31/12/2021</t>
  </si>
  <si>
    <t>Validation</t>
  </si>
  <si>
    <t>E.R</t>
  </si>
  <si>
    <t>CHARGES GENER. ER</t>
  </si>
  <si>
    <t>Entretien curage</t>
  </si>
  <si>
    <t>Intervention suite infiltration garage HYDROSONIC</t>
  </si>
  <si>
    <t>95523</t>
  </si>
  <si>
    <t>HYDROSONIC</t>
  </si>
  <si>
    <t>Location conteneurs</t>
  </si>
  <si>
    <t>Location conteneurs 2022</t>
  </si>
  <si>
    <t>EDF Garages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</si>
  <si>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</si>
  <si>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</si>
  <si>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</si>
  <si>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</si>
  <si>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</si>
  <si>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</si>
  <si>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</si>
  <si>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</si>
  <si>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</si>
  <si>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</si>
  <si>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</si>
  <si>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</si>
  <si>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</si>
  <si>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</si>
  <si>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Entretien extincteurs</t>
  </si>
  <si>
    <t>Vérification blocs autonomes PRO INCEND</t>
  </si>
  <si>
    <t>98077</t>
  </si>
  <si>
    <t>PRO INCENDIE</t>
  </si>
  <si>
    <t>Contrat entr portes garage</t>
  </si>
  <si>
    <t>Contrat entretien portes garages</t>
  </si>
  <si>
    <t>Surv cpt eau general</t>
  </si>
  <si>
    <t>Redevance - 2022 PROX-HYDRO</t>
  </si>
  <si>
    <t>22RE005478</t>
  </si>
  <si>
    <t>PROX-HYDRO</t>
  </si>
  <si>
    <t>Deduction Q/P bat. G</t>
  </si>
  <si>
    <t>26474</t>
  </si>
  <si>
    <t>Quote part general  CCG recup</t>
  </si>
  <si>
    <t>Dépenses 2022</t>
  </si>
  <si>
    <t>ADM</t>
  </si>
  <si>
    <t>CHARGES ADMNISTRATION</t>
  </si>
  <si>
    <t>Gestion archives du syndicat</t>
  </si>
  <si>
    <t>Archivage - 2022 PRO ARCHIV</t>
  </si>
  <si>
    <t>678465</t>
  </si>
  <si>
    <t>PRO ARCHIVES</t>
  </si>
  <si>
    <t>Locations de salle</t>
  </si>
  <si>
    <t>Location salle AG du 24/06/22 PAROISSE S</t>
  </si>
  <si>
    <t>LOCATION SALLE 24/06/22</t>
  </si>
  <si>
    <t>PAROISSE ST VINCENT LE DIACRE</t>
  </si>
  <si>
    <t>Frais affranchissement</t>
  </si>
  <si>
    <t>Affranchissement - Du 31/01/22 ATHOME COT</t>
  </si>
  <si>
    <t>FC0000121054</t>
  </si>
  <si>
    <t>ATHOME COTE D AZUR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</si>
  <si>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</si>
  <si>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</si>
  <si>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</si>
  <si>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</si>
  <si>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</si>
  <si>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</si>
  <si>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</si>
  <si>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</si>
  <si>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</si>
  <si>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</si>
  <si>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</si>
  <si>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</si>
  <si>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</si>
  <si>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</si>
  <si>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AFFRANCHISSEMENTS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</si>
  <si>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</si>
  <si>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</si>
  <si>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</si>
  <si>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</si>
  <si>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</si>
  <si>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</si>
  <si>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</si>
  <si>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</si>
  <si>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</si>
  <si>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</si>
  <si>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</si>
  <si>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</si>
  <si>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COMMERCE</t>
  </si>
  <si>
    <t>CHARGES GENERALES ASL+MONICA</t>
  </si>
  <si>
    <t>Travaux plomberie</t>
  </si>
  <si>
    <t>Réparation suite fuite GOUTTE D'O</t>
  </si>
  <si>
    <t>F2022-0041</t>
  </si>
  <si>
    <t>GOUTTE D'O EXPERTISE</t>
  </si>
  <si>
    <t>Recherche de fuite Piscine GOUTTE D'O</t>
  </si>
  <si>
    <t>F2022-0040</t>
  </si>
  <si>
    <t>Réparation pompe PISCINE SO</t>
  </si>
  <si>
    <t>55237</t>
  </si>
  <si>
    <t>PISCINE SOLEIL SERVICE</t>
  </si>
  <si>
    <t>EDF piscine</t>
  </si>
  <si>
    <t>QP EDF Piscine</t>
  </si>
  <si>
    <t>Consommation eau piscine</t>
  </si>
  <si>
    <t>Consommation Eau Piscine</t>
  </si>
  <si>
    <t>Honoraires syndic</t>
  </si>
  <si>
    <t>F2022000001792</t>
  </si>
  <si>
    <t>HONO.GESTION COURANTE SYNDIC</t>
  </si>
  <si>
    <t>F2022000003126</t>
  </si>
  <si>
    <t>F2022000004421</t>
  </si>
  <si>
    <t>F2022000004951</t>
  </si>
  <si>
    <t>F2022000005137</t>
  </si>
  <si>
    <t>F2022000005425</t>
  </si>
  <si>
    <t>Taxes foncieres</t>
  </si>
  <si>
    <t>Taxes foncières - 2022 SIP NICE E</t>
  </si>
  <si>
    <t>2206446969321</t>
  </si>
  <si>
    <t>SIP NICE EST-OUEST-MENTON</t>
  </si>
  <si>
    <t>Taxes habitations</t>
  </si>
  <si>
    <t>Taxe d'Habitation - 2022 SIP NICE E</t>
  </si>
  <si>
    <t>2206718872797</t>
  </si>
  <si>
    <t>Vérif 1 Appareil PRO INCENDIE</t>
  </si>
  <si>
    <t>Produits entretien piscine</t>
  </si>
  <si>
    <t>Produits piscine PISCINE SO</t>
  </si>
  <si>
    <t>54712</t>
  </si>
  <si>
    <t>54806</t>
  </si>
  <si>
    <t>54991</t>
  </si>
  <si>
    <t>55045</t>
  </si>
  <si>
    <t>55330</t>
  </si>
  <si>
    <t>Controle analyse eau piscine</t>
  </si>
  <si>
    <t>Analyse eau piscine - Septembre 2022 BIOFAQ LAB</t>
  </si>
  <si>
    <t>BFQ22F-4598</t>
  </si>
  <si>
    <t>BIOFAQ LABORATOIRES</t>
  </si>
  <si>
    <t>Déduction QP honoraires G/ER</t>
  </si>
  <si>
    <t>Déduction QP Honoraires syndic GER</t>
  </si>
  <si>
    <t>Participation employé immeuble</t>
  </si>
  <si>
    <t>Deduct QP Honoraires VILLAGE</t>
  </si>
  <si>
    <t>Déduction QP Honoraires Village</t>
  </si>
  <si>
    <t>AUTRES CH</t>
  </si>
  <si>
    <t>CHARGES GENERALES G/ER</t>
  </si>
  <si>
    <t>Travaux electricite</t>
  </si>
  <si>
    <t>Mise en place d'une horloge pour éclairage MCP VAL</t>
  </si>
  <si>
    <t>729</t>
  </si>
  <si>
    <t>MCP VALETTE</t>
  </si>
  <si>
    <t>Fournitures diverses</t>
  </si>
  <si>
    <t>Achat Plantes ARTHEMA JA</t>
  </si>
  <si>
    <t>f-22-01-0005</t>
  </si>
  <si>
    <t>Q/Part Honoraires Syndic</t>
  </si>
  <si>
    <t>QP Honoraires syndic GER</t>
  </si>
  <si>
    <t>EAU FROI</t>
  </si>
  <si>
    <t>EAU FROIDE INDIVIDUELLE</t>
  </si>
  <si>
    <t>Eau froide individuelle</t>
  </si>
  <si>
    <t>Consommation eau 4.16e x 2065M3</t>
  </si>
  <si>
    <t>COMPTEUR</t>
  </si>
  <si>
    <t>COMPTEURS D EAU</t>
  </si>
  <si>
    <t>Redevance - Du 01/06/22 au 31/05/23 PROX-HYDRO</t>
  </si>
  <si>
    <t>22RE036889</t>
  </si>
  <si>
    <t>Deduction location compteurs loge</t>
  </si>
  <si>
    <t>Location conteneur</t>
  </si>
  <si>
    <t>Quittance EDF - Du 20/04/22 - 82 kWh EDF ENTREP</t>
  </si>
  <si>
    <t>QP Honoraires syndic Village</t>
  </si>
  <si>
    <t>Curage - Mai 2022 HYDROSONIC</t>
  </si>
  <si>
    <t>93593</t>
  </si>
  <si>
    <t>Défense recours - Du 01/05/22 au 30/04/22 ASSURCOP</t>
  </si>
  <si>
    <t>2022ACS11252466</t>
  </si>
  <si>
    <t>ASSURCOPRO SUD</t>
  </si>
  <si>
    <t>Entretien parlophone</t>
  </si>
  <si>
    <t>Dysfonctionnment parlophone ASUD ELEC</t>
  </si>
  <si>
    <t>1492</t>
  </si>
  <si>
    <t>ASUD ELEC - MCP VALETTE</t>
  </si>
  <si>
    <t>Vérif 3 Appareils PRO INCENDIE</t>
  </si>
  <si>
    <t>Q/P Surveillance 2022</t>
  </si>
  <si>
    <t>ASCENSEUR</t>
  </si>
  <si>
    <t>Force motrice</t>
  </si>
  <si>
    <t>Controle technique</t>
  </si>
  <si>
    <t>Controle quinquennal ascenseur ELTRON CONTROLES</t>
  </si>
  <si>
    <t>Tel. cabine ascenseur</t>
  </si>
  <si>
    <t>Contrat GSM 2 Sem 2021 ELECTROLIFT</t>
  </si>
  <si>
    <t>E22010154</t>
  </si>
  <si>
    <t>ELECTROLIFT ASCENSEURS</t>
  </si>
  <si>
    <t>Contrat GSM 1 Sem 2022 ELECTROLIFT</t>
  </si>
  <si>
    <t>A 22060679</t>
  </si>
  <si>
    <t>Ascenseur contrat simple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</si>
  <si>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</si>
  <si>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</si>
  <si>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</si>
  <si>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</si>
  <si>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</si>
  <si>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</si>
  <si>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</si>
  <si>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</si>
  <si>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Interventions hors contrat</t>
  </si>
  <si>
    <t>Rempt luminaires asc ELECTROLIF</t>
  </si>
  <si>
    <t>A22050053</t>
  </si>
  <si>
    <t>Installation nouvelles réglettes ELECTROLIF</t>
  </si>
  <si>
    <t>A 22050053</t>
  </si>
  <si>
    <t>CHAUFFAGE</t>
  </si>
  <si>
    <t>PRODUCTION ECS</t>
  </si>
  <si>
    <t>Contrat entretien eau chaude</t>
  </si>
  <si>
    <t>Entretien ECS - Du 01/03/22 au 31/08/22 NICER</t>
  </si>
  <si>
    <t>0012696</t>
  </si>
  <si>
    <t>NICER</t>
  </si>
  <si>
    <t>Entretien ECS - Du 01/09/22 au 28/02/23 NICER</t>
  </si>
  <si>
    <t>0014376</t>
  </si>
  <si>
    <t>Répartition Entretien E&amp;R NICER</t>
  </si>
  <si>
    <t>Entretien chauffage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</si>
  <si>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</si>
  <si>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</si>
  <si>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</si>
  <si>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</si>
  <si>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</si>
  <si>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</si>
  <si>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</si>
  <si>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</si>
  <si>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</si>
  <si>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</si>
  <si>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</si>
  <si>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</si>
  <si>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</si>
  <si>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</si>
  <si>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</si>
  <si>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</si>
  <si>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</si>
  <si>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</si>
  <si>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Répartition Entretien Bat E ECS NICER</t>
  </si>
  <si>
    <t>Détartrage ballon NICER</t>
  </si>
  <si>
    <t>0013260</t>
  </si>
  <si>
    <t>E22010152</t>
  </si>
  <si>
    <t>A 22060678</t>
  </si>
  <si>
    <t>Répartition Entretien Bat R ECS NICER</t>
  </si>
  <si>
    <t>0013259</t>
  </si>
  <si>
    <t>EAU CHAU</t>
  </si>
  <si>
    <t>EAU CHAUDE INDIVIDUELLE</t>
  </si>
  <si>
    <t>EDF eau chaude</t>
  </si>
  <si>
    <t>Quittance EDF - Du 13/01/22 - 2695 kWh EDF ENTREP</t>
  </si>
  <si>
    <t>10142256552</t>
  </si>
  <si>
    <t>EDF ENTREPRISES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</si>
  <si>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</si>
  <si>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</si>
  <si>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</si>
  <si>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</si>
  <si>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</si>
  <si>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</si>
  <si>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</si>
  <si>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</si>
  <si>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</si>
  <si>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</si>
  <si>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</si>
  <si>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</si>
  <si>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</si>
  <si>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</si>
  <si>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</si>
  <si>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</si>
  <si>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</si>
  <si>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</si>
  <si>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</si>
  <si>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</si>
  <si>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</si>
  <si>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</si>
  <si>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chauffee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</si>
  <si>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</si>
  <si>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</si>
  <si>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</si>
  <si>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</si>
  <si>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</si>
  <si>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</si>
  <si>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</si>
  <si>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</si>
  <si>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</si>
  <si>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</si>
  <si>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</si>
  <si>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</si>
  <si>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</si>
  <si>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</si>
  <si>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</si>
  <si>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</si>
  <si>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</si>
  <si>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</si>
  <si>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</si>
  <si>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</si>
  <si>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</si>
  <si>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</si>
  <si>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</si>
  <si>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</si>
  <si>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</si>
  <si>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</si>
  <si>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Eau chaude loge</t>
  </si>
  <si>
    <t>Deduction eau chaude loge</t>
  </si>
  <si>
    <t>SPEC/E</t>
  </si>
  <si>
    <t>CHARGES SPECIALES E</t>
  </si>
  <si>
    <t>SPEC/R</t>
  </si>
  <si>
    <t>CHARGES SPECIALES R</t>
  </si>
  <si>
    <t>Rempt collecteur en fonte TANTILLO</t>
  </si>
  <si>
    <t>Tvx suite RDF TANTILLO</t>
  </si>
  <si>
    <t>Fournitures electriques</t>
  </si>
  <si>
    <t>Achat dijoncteur chauffe eau 500 L PLOMBEKO</t>
  </si>
  <si>
    <t>202211-0028</t>
  </si>
  <si>
    <t>PLOMBEKO</t>
  </si>
  <si>
    <t>Remplacement gardien - Du 06/09/21 au 10/10/21 FPE</t>
  </si>
  <si>
    <t>2109108</t>
  </si>
  <si>
    <t>Achat divers</t>
  </si>
  <si>
    <t>REMBT FRAIS</t>
  </si>
  <si>
    <t>Reconstitution fonds de caisse</t>
  </si>
  <si>
    <t>Achat divers GRAVIER</t>
  </si>
  <si>
    <t>Rembt divers</t>
  </si>
  <si>
    <t>reconsitution fonds de caisse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</si>
  <si>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</si>
  <si>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</si>
  <si>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</si>
  <si>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</si>
  <si>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</si>
  <si>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</si>
  <si>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</si>
  <si>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</si>
  <si>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</si>
  <si>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</si>
  <si>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</si>
  <si>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</si>
  <si>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</si>
  <si>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</si>
  <si>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</si>
  <si>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</si>
  <si>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</si>
  <si>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</si>
  <si>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</si>
  <si>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</si>
  <si>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</si>
  <si>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</si>
  <si>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</si>
  <si>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</si>
  <si>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70774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</si>
  <si>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</si>
  <si>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</si>
  <si>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</si>
  <si>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</si>
  <si>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</si>
  <si>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</si>
  <si>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</si>
  <si>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</si>
  <si>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</si>
  <si>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</si>
  <si>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</si>
  <si>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</si>
  <si>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</si>
  <si>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</si>
  <si>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</si>
  <si>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</si>
  <si>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</si>
  <si>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</si>
  <si>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</si>
  <si>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</si>
  <si>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</si>
  <si>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</si>
  <si>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</si>
  <si>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</si>
  <si>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</si>
  <si>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</si>
  <si>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</si>
  <si>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</si>
  <si>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</si>
  <si>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</si>
  <si>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</si>
  <si>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</si>
  <si>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</si>
  <si>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</si>
  <si>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</si>
  <si>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</si>
  <si>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</si>
  <si>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</si>
  <si>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</si>
  <si>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</si>
  <si>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</si>
  <si>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</si>
  <si>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</si>
  <si>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</si>
  <si>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</si>
  <si>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</si>
  <si>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</si>
  <si>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</si>
  <si>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</si>
  <si>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</si>
  <si>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</si>
  <si>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</si>
  <si>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</si>
  <si>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</si>
  <si>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</si>
  <si>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</si>
  <si>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</si>
  <si>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</si>
  <si>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</si>
  <si>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</si>
  <si>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</si>
  <si>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</si>
  <si>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</si>
  <si>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</si>
  <si>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</si>
  <si>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</si>
  <si>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</si>
  <si>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</si>
  <si>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</si>
  <si>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</si>
  <si>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</si>
  <si>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</si>
  <si>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</si>
  <si>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</si>
  <si>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</si>
  <si>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</si>
  <si>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</si>
  <si>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</si>
  <si>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</si>
  <si>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</si>
  <si>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</si>
  <si>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</si>
  <si>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</si>
  <si>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</si>
  <si>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</si>
  <si>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</si>
  <si>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</si>
  <si>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</si>
  <si>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</si>
  <si>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</si>
  <si>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</si>
  <si>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</si>
  <si>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</si>
  <si>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318672</t>
  </si>
  <si>
    <t>Cotis. AGEFOS employé 100%</t>
  </si>
  <si>
    <t>AGEFOS ANNUEL 2021 AGEFOS PME</t>
  </si>
  <si>
    <t>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</si>
  <si>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</si>
  <si>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</si>
  <si>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</si>
  <si>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</si>
  <si>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</si>
  <si>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</si>
  <si>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</si>
  <si>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</si>
  <si>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</si>
  <si>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PREVOYANCE PATR M GRAVIER AVRIL 2021 GRAVIER</t>
  </si>
  <si>
    <t>MUTUELLE PATRONAL M GRAVIER AVRIL 2021 GRAVIER</t>
  </si>
  <si>
    <t>PREVOYANCE AVRIL 2021 MALAKOFF H</t>
  </si>
  <si>
    <t>MUTUELLE PATRONAL M GRAVIER MAI 2021 GRAVIER</t>
  </si>
  <si>
    <t>PREVOYANCE PATR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</si>
  <si>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</si>
  <si>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</si>
  <si>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</si>
  <si>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</si>
  <si>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</si>
  <si>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</si>
  <si>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PREVOYANCE PATR M GRAVIER AOUT 2021 GRAVIER</t>
  </si>
  <si>
    <t>MUTUELLE PATRONAL M GRAVIER AOUT 2021 GRAVIER</t>
  </si>
  <si>
    <t>PREVOYANCE AOUT 2021 MALAKOFF H</t>
  </si>
  <si>
    <t>MUTUELLE PATRONAL M GRAVIER SEPTEMBRE 2021 GRAVIER</t>
  </si>
  <si>
    <t>PREVOYANCE PATR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</si>
  <si>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</si>
  <si>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</si>
  <si>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</si>
  <si>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</si>
  <si>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</si>
  <si>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PREVOYANCE PATR M GRAVIER DECEMBRE 2021 GRAVIER</t>
  </si>
  <si>
    <t>MUTUELLE PATRONAL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</si>
  <si>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</si>
  <si>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</si>
  <si>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</si>
  <si>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</si>
  <si>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</si>
  <si>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</si>
  <si>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</si>
  <si>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</si>
  <si>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</si>
  <si>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</si>
  <si>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</si>
  <si>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</si>
  <si>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</si>
  <si>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</si>
  <si>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</si>
  <si>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</si>
  <si>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HERMES</t>
  </si>
  <si>
    <t>Sinistre gestion &amp; suivi - SIMD 14203/3800</t>
  </si>
  <si>
    <t>F2021000001808</t>
  </si>
  <si>
    <t>HONO. SINISTRES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</si>
  <si>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</si>
  <si>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</si>
  <si>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</si>
  <si>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</si>
  <si>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</si>
  <si>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</si>
  <si>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</si>
  <si>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</si>
  <si>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</si>
  <si>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</si>
  <si>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</si>
  <si>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</si>
  <si>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</si>
  <si>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</si>
  <si>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</si>
  <si>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</si>
  <si>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</si>
  <si>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</si>
  <si>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</si>
  <si>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</si>
  <si>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</si>
  <si>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</si>
  <si>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</si>
  <si>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</si>
  <si>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</si>
  <si>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</si>
  <si>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</si>
  <si>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</si>
  <si>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</si>
  <si>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</si>
  <si>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</si>
  <si>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</si>
  <si>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</si>
  <si>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</si>
  <si>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</si>
  <si>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</si>
  <si>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</si>
  <si>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</si>
  <si>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</si>
  <si>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</si>
  <si>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</si>
  <si>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</si>
  <si>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</si>
  <si>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</si>
  <si>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</si>
  <si>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</si>
  <si>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</si>
  <si>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</si>
  <si>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</si>
  <si>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Délégation pouvoir CS 11/12/20</t>
  </si>
  <si>
    <t>Utilisation délégation CS votés en AG</t>
  </si>
  <si>
    <t>Solde charges au 31/12/2020</t>
  </si>
  <si>
    <t>Solde Désignation maitre d'oeu</t>
  </si>
  <si>
    <t>Solde Mission de bornage</t>
  </si>
  <si>
    <t>Solde Ratif Tableau Réservat°t</t>
  </si>
  <si>
    <t>Solde Ratif tvx Rempt vanne co</t>
  </si>
  <si>
    <t>Solde Rempt palmiers&amp;embelliss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</si>
  <si>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</si>
  <si>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</si>
  <si>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</si>
  <si>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</si>
  <si>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</si>
  <si>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</si>
  <si>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</si>
  <si>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</si>
  <si>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</si>
  <si>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</si>
  <si>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</si>
  <si>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</si>
  <si>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</si>
  <si>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</si>
  <si>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</si>
  <si>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</si>
  <si>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</si>
  <si>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</si>
  <si>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</si>
  <si>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</si>
  <si>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</si>
  <si>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</si>
  <si>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</si>
  <si>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</si>
  <si>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</si>
  <si>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</si>
  <si>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</si>
  <si>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</si>
  <si>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</si>
  <si>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</si>
  <si>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</si>
  <si>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</si>
  <si>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</si>
  <si>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B&amp;D affranchissement 2Trim2021 AFFRANCHIS</t>
  </si>
  <si>
    <t>Affranch 2Trim2021</t>
  </si>
  <si>
    <t>Affranchissement - Du 30/06/21 ATHOME COT</t>
  </si>
  <si>
    <t>FC0000002123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</si>
  <si>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</si>
  <si>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</si>
  <si>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</si>
  <si>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</si>
  <si>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</si>
  <si>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</si>
  <si>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</si>
  <si>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</si>
  <si>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</si>
  <si>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</si>
  <si>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</si>
  <si>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</si>
  <si>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</si>
  <si>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</si>
  <si>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</si>
  <si>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</si>
  <si>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</si>
  <si>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</si>
  <si>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</si>
  <si>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</si>
  <si>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</si>
  <si>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</si>
  <si>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</si>
  <si>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</si>
  <si>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</si>
  <si>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</si>
  <si>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</si>
  <si>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</si>
  <si>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</si>
  <si>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</si>
  <si>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</si>
  <si>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</si>
  <si>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</si>
  <si>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</si>
  <si>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</si>
  <si>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</si>
  <si>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</si>
  <si>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</si>
  <si>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</si>
  <si>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CARSO LABORATOIRE LYON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</si>
  <si>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</si>
  <si>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</si>
  <si>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</si>
  <si>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</si>
  <si>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</si>
  <si>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</si>
  <si>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</si>
  <si>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Travaux divers</t>
  </si>
  <si>
    <t>Destruction Nid de Frelon ORKIN - PR</t>
  </si>
  <si>
    <t>210704218</t>
  </si>
  <si>
    <t>ORKIN - PRO-NUISIBLES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</si>
  <si>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</si>
  <si>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</si>
  <si>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</si>
  <si>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</si>
  <si>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</si>
  <si>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</si>
  <si>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</si>
  <si>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</si>
  <si>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</si>
  <si>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</si>
  <si>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</si>
  <si>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SEGELEC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</si>
  <si>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</si>
  <si>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</si>
  <si>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</si>
  <si>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</si>
  <si>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</si>
  <si>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</si>
  <si>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</si>
  <si>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</si>
  <si>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</si>
  <si>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</si>
  <si>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</si>
  <si>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</si>
  <si>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</si>
  <si>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</si>
  <si>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</si>
  <si>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</si>
  <si>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</si>
  <si>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</si>
  <si>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</si>
  <si>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</si>
  <si>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</si>
  <si>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</si>
  <si>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</si>
  <si>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</si>
  <si>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</si>
  <si>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</si>
  <si>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</si>
  <si>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</si>
  <si>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</si>
  <si>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</si>
  <si>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</si>
  <si>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</si>
  <si>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</si>
  <si>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</si>
  <si>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</si>
  <si>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</si>
  <si>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</si>
  <si>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</si>
  <si>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</si>
  <si>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</si>
  <si>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</si>
  <si>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</si>
  <si>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</si>
  <si>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</si>
  <si>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</si>
  <si>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</si>
  <si>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</si>
  <si>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</si>
  <si>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</si>
  <si>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</si>
  <si>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</si>
  <si>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</si>
  <si>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</si>
  <si>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</si>
  <si>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</si>
  <si>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</si>
  <si>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</si>
  <si>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</si>
  <si>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</si>
  <si>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</si>
  <si>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</si>
  <si>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</si>
  <si>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</si>
  <si>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</si>
  <si>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</si>
  <si>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</si>
  <si>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</si>
  <si>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</si>
  <si>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</si>
  <si>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</si>
  <si>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</si>
  <si>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</si>
  <si>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</si>
  <si>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</si>
  <si>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</si>
  <si>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</si>
  <si>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</si>
  <si>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</si>
  <si>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</si>
  <si>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</si>
  <si>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</si>
  <si>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</si>
  <si>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</si>
  <si>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</si>
  <si>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</si>
  <si>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</si>
  <si>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</si>
  <si>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</si>
  <si>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</si>
  <si>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</si>
  <si>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</si>
  <si>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</si>
  <si>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</si>
  <si>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</si>
  <si>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</si>
  <si>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</si>
  <si>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</si>
  <si>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</si>
  <si>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</si>
  <si>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</si>
  <si>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</si>
  <si>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</si>
  <si>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</si>
  <si>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</si>
  <si>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</si>
  <si>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</si>
  <si>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</si>
  <si>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</si>
  <si>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</si>
  <si>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</si>
  <si>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</si>
  <si>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</si>
  <si>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</si>
  <si>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</si>
  <si>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</si>
  <si>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</si>
  <si>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</si>
  <si>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</si>
  <si>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</si>
  <si>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</si>
  <si>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</si>
  <si>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</si>
  <si>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</si>
  <si>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</si>
  <si>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</si>
  <si>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</si>
  <si>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</si>
  <si>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</si>
  <si>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</si>
  <si>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</si>
  <si>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</si>
  <si>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</si>
  <si>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</si>
  <si>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</si>
  <si>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</si>
  <si>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</si>
  <si>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</si>
  <si>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</si>
  <si>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99S138841241300014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</si>
  <si>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</si>
  <si>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</si>
  <si>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</si>
  <si>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</si>
  <si>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</si>
  <si>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</si>
  <si>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</si>
  <si>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</si>
  <si>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</si>
  <si>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</si>
  <si>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</si>
  <si>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</si>
  <si>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</si>
  <si>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</si>
  <si>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</si>
  <si>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</si>
  <si>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</si>
  <si>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</si>
  <si>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</si>
  <si>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</si>
  <si>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</si>
  <si>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</si>
  <si>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</si>
  <si>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</si>
  <si>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</si>
  <si>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</si>
  <si>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</si>
  <si>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</si>
  <si>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</si>
  <si>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</si>
  <si>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</si>
  <si>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</si>
  <si>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</si>
  <si>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</si>
  <si>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</si>
  <si>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</si>
  <si>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</si>
  <si>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</si>
  <si>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</si>
  <si>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</si>
  <si>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</si>
  <si>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</si>
  <si>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</si>
  <si>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</si>
  <si>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</si>
  <si>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</si>
  <si>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</si>
  <si>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</si>
  <si>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</si>
  <si>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Redaction actes (employe imm)</t>
  </si>
  <si>
    <t>Evaluation risque pro LAVAINE</t>
  </si>
  <si>
    <t>FC1042</t>
  </si>
  <si>
    <t>LAVAINE CONSEIL</t>
  </si>
  <si>
    <t>MUTUELLE DECEMBRE 2019</t>
  </si>
  <si>
    <t>15732851651084</t>
  </si>
  <si>
    <t>MALAKOFF -HUMANIS MUTUELLE -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</si>
  <si>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</si>
  <si>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</si>
  <si>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</si>
  <si>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</si>
  <si>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</si>
  <si>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PREVOYANCE PATR M GRAVIER MARS 2020</t>
  </si>
  <si>
    <t>MUTUELLE PATRONAL M GRAVIER MARS 2020</t>
  </si>
  <si>
    <t>PREVOYANCE PATR M GRAVIER AVRIL 2020</t>
  </si>
  <si>
    <t>MUTUELLE PATRONAL M GRAVIER AVRIL 2020</t>
  </si>
  <si>
    <t>PREVOYANCE PATR M GRAVIER MAI 2020</t>
  </si>
  <si>
    <t>MUTUELLE PATRONAL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</si>
  <si>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</si>
  <si>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</si>
  <si>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</si>
  <si>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</si>
  <si>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MUTUELLE PATRONAL M GRAVIER AOUT 2020</t>
  </si>
  <si>
    <t>PREVOYANCE PATR M GRAVIER AOUT 2020</t>
  </si>
  <si>
    <t>PREVOYANCE AOUT 2020</t>
  </si>
  <si>
    <t>PREVOYANCE PATR M GRAVIER SEPTEMBRE 2020</t>
  </si>
  <si>
    <t>MUTUELLE PATRONAL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</si>
  <si>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</si>
  <si>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</si>
  <si>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</si>
  <si>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</si>
  <si>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</si>
  <si>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</si>
  <si>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</si>
  <si>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</si>
  <si>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</si>
  <si>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</si>
  <si>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</si>
  <si>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</si>
  <si>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</si>
  <si>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</si>
  <si>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</si>
  <si>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F2020000000970</t>
  </si>
  <si>
    <t>Assignation ASL</t>
  </si>
  <si>
    <t>F2020000000969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</si>
  <si>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</si>
  <si>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</si>
  <si>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</si>
  <si>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</si>
  <si>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</si>
  <si>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</si>
  <si>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</si>
  <si>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FT00031</t>
  </si>
  <si>
    <t>FT00032</t>
  </si>
  <si>
    <t>SIMD10538/3800 Rempt tuiles envolées TANTILLO</t>
  </si>
  <si>
    <t>FA02290</t>
  </si>
  <si>
    <t>FA02291</t>
  </si>
  <si>
    <t>solde 2290</t>
  </si>
  <si>
    <t>solde 2291</t>
  </si>
  <si>
    <t>Vérif 2020 2 appareils PRO INCENDIE</t>
  </si>
  <si>
    <t>Remplacement extincteur PRO INCENDIE</t>
  </si>
  <si>
    <t>87325</t>
  </si>
  <si>
    <t>Fourniture emetteurs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</si>
  <si>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</si>
  <si>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</si>
  <si>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</si>
  <si>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</si>
  <si>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</si>
  <si>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</si>
  <si>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</si>
  <si>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</si>
  <si>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</si>
  <si>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</si>
  <si>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</si>
  <si>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</si>
  <si>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</si>
  <si>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</si>
  <si>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</si>
  <si>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</si>
  <si>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</si>
  <si>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</si>
  <si>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</si>
  <si>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</si>
  <si>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</si>
  <si>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</si>
  <si>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</si>
  <si>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</si>
  <si>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</si>
  <si>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</si>
  <si>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</si>
  <si>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</si>
  <si>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</si>
  <si>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</si>
  <si>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</si>
  <si>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</si>
  <si>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</si>
  <si>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</si>
  <si>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</si>
  <si>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</si>
  <si>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</si>
  <si>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</si>
  <si>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</si>
  <si>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</si>
  <si>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</si>
  <si>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</si>
  <si>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</si>
  <si>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</si>
  <si>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</si>
  <si>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</si>
  <si>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</si>
  <si>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</si>
  <si>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</si>
  <si>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</si>
  <si>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</si>
  <si>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</si>
  <si>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</si>
  <si>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</si>
  <si>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</si>
  <si>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</si>
  <si>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</si>
  <si>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</si>
  <si>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</si>
  <si>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</si>
  <si>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</si>
  <si>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</si>
  <si>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</si>
  <si>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</si>
  <si>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</si>
  <si>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</si>
  <si>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</si>
  <si>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</si>
  <si>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</si>
  <si>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</si>
  <si>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</si>
  <si>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</si>
  <si>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</si>
  <si>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</si>
  <si>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</si>
  <si>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</si>
  <si>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</si>
  <si>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</si>
  <si>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B&amp;D affranchissement 3 trim 20</t>
  </si>
  <si>
    <t>3 trim 20</t>
  </si>
  <si>
    <t>Affranchissement convoc ag 3/11/20</t>
  </si>
  <si>
    <t>0000410127</t>
  </si>
  <si>
    <t>Affranchissement 24/9/20</t>
  </si>
  <si>
    <t>0000410016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</si>
  <si>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</si>
  <si>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</si>
  <si>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</si>
  <si>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</si>
  <si>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</si>
  <si>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</si>
  <si>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</si>
  <si>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</si>
  <si>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</si>
  <si>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</si>
  <si>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</si>
  <si>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</si>
  <si>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</si>
  <si>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</si>
  <si>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</si>
  <si>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</si>
  <si>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</si>
  <si>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</si>
  <si>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GRAV IMMO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</si>
  <si>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</si>
  <si>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</si>
  <si>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</si>
  <si>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</si>
  <si>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</si>
  <si>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</si>
  <si>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</si>
  <si>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</si>
  <si>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</si>
  <si>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</si>
  <si>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</si>
  <si>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</si>
  <si>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</si>
  <si>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</si>
  <si>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</si>
  <si>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</si>
  <si>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</si>
  <si>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</si>
  <si>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</si>
  <si>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</si>
  <si>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</si>
  <si>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Entretien plomberie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</si>
  <si>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</si>
  <si>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</si>
  <si>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</si>
  <si>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</si>
  <si>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</si>
  <si>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</si>
  <si>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</si>
  <si>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</si>
  <si>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</si>
  <si>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</si>
  <si>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</si>
  <si>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</si>
  <si>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</si>
  <si>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FA20080141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</si>
  <si>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</si>
  <si>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</si>
  <si>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</si>
  <si>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</si>
  <si>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</si>
  <si>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</si>
  <si>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</si>
  <si>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</si>
  <si>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</si>
  <si>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</si>
  <si>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</si>
  <si>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</si>
  <si>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</si>
  <si>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</si>
  <si>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</si>
  <si>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</si>
  <si>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</si>
  <si>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</si>
  <si>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</si>
  <si>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</si>
  <si>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</si>
  <si>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</si>
  <si>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Travaux reseau eau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</si>
  <si>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</si>
  <si>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</si>
  <si>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</si>
  <si>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</si>
  <si>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</si>
  <si>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</si>
  <si>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</si>
  <si>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</si>
  <si>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</si>
  <si>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</si>
  <si>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</si>
  <si>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</si>
  <si>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</si>
  <si>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</si>
  <si>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</si>
  <si>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</si>
  <si>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</si>
  <si>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</si>
  <si>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</si>
  <si>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</si>
  <si>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</si>
  <si>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</si>
  <si>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</si>
  <si>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</si>
  <si>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</si>
  <si>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</si>
  <si>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</si>
  <si>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</si>
  <si>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</si>
  <si>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</si>
  <si>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</si>
  <si>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</si>
  <si>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</si>
  <si>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</si>
  <si>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</si>
  <si>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</si>
  <si>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Achat pot + fleurs PETRUCCIOLI</t>
  </si>
  <si>
    <t>Entretien electricite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</si>
  <si>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</si>
  <si>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</si>
  <si>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</si>
  <si>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</si>
  <si>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</si>
  <si>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</si>
  <si>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</si>
  <si>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</si>
  <si>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</si>
  <si>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Restitution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</si>
  <si>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</si>
  <si>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</si>
  <si>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</si>
  <si>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</si>
  <si>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</si>
  <si>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</si>
  <si>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Location salle AG du 21/05/19 PAROISSE S</t>
  </si>
  <si>
    <t>LOCATION SALLE AG</t>
  </si>
  <si>
    <t>Location 12 bacs 2019 SULO FRANC</t>
  </si>
  <si>
    <t>91057300</t>
  </si>
  <si>
    <t>10088910572</t>
  </si>
  <si>
    <t>10091833439</t>
  </si>
  <si>
    <t>10094611999</t>
  </si>
  <si>
    <t>10097423676</t>
  </si>
  <si>
    <t>10100283085</t>
  </si>
  <si>
    <t>10103133590</t>
  </si>
  <si>
    <t>Déduction EDF Piscine 2019</t>
  </si>
  <si>
    <t>MOUVEMENTS MONICA</t>
  </si>
  <si>
    <t>Quittance eau REGIE EAU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</si>
  <si>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</si>
  <si>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</si>
  <si>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</si>
  <si>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</si>
  <si>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</si>
  <si>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</si>
  <si>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</si>
  <si>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</si>
  <si>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</si>
  <si>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</si>
  <si>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</si>
  <si>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</si>
  <si>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</si>
  <si>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</si>
  <si>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</si>
  <si>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</si>
  <si>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</si>
  <si>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</si>
  <si>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</si>
  <si>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</si>
  <si>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</si>
  <si>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</si>
  <si>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</si>
  <si>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</si>
  <si>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</si>
  <si>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</si>
  <si>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</si>
  <si>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</si>
  <si>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</si>
  <si>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</si>
  <si>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</si>
  <si>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</si>
  <si>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</si>
  <si>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</si>
  <si>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</si>
  <si>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</si>
  <si>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</si>
  <si>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</si>
  <si>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</si>
  <si>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</si>
  <si>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</si>
  <si>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</si>
  <si>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</si>
  <si>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</si>
  <si>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</si>
  <si>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</si>
  <si>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</si>
  <si>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</si>
  <si>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</si>
  <si>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</si>
  <si>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</si>
  <si>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</si>
  <si>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</si>
  <si>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</si>
  <si>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</si>
  <si>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</si>
  <si>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</si>
  <si>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</si>
  <si>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</si>
  <si>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</si>
  <si>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</si>
  <si>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</si>
  <si>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</si>
  <si>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</si>
  <si>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</si>
  <si>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</si>
  <si>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</si>
  <si>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</si>
  <si>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</si>
  <si>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</si>
  <si>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</si>
  <si>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</si>
  <si>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</si>
  <si>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</si>
  <si>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</si>
  <si>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</si>
  <si>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</si>
  <si>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</si>
  <si>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</si>
  <si>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</si>
  <si>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</si>
  <si>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</si>
  <si>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</si>
  <si>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</si>
  <si>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</si>
  <si>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</si>
  <si>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</si>
  <si>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</si>
  <si>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</si>
  <si>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</si>
  <si>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</si>
  <si>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</si>
  <si>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</si>
  <si>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</si>
  <si>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</si>
  <si>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</si>
  <si>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</si>
  <si>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MUTUELLE PATRONAL M GRAVIER JANVIER 2019 GRAVIER</t>
  </si>
  <si>
    <t>PREVOYANCE PATR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</si>
  <si>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</si>
  <si>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</si>
  <si>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</si>
  <si>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</si>
  <si>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</si>
  <si>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</si>
  <si>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</si>
  <si>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MUTUELLE PATRONAL M GRAVIER MARS 2019 GRAVIER</t>
  </si>
  <si>
    <t>PREVOYANCE PATR M GRAVIER MARS 2019 GRAVIER</t>
  </si>
  <si>
    <t>MUTUELLE MARS 2019 HUMANIS MU</t>
  </si>
  <si>
    <t>PREVOYANCE MARS 2019 HUMANIS PR</t>
  </si>
  <si>
    <t>MUTUELLE PATRONAL M GRAVIER AVRIL 2019 GRAVIER</t>
  </si>
  <si>
    <t>PREVOYANCE PATR M GRAVIER AVRIL 2019 GRAVIER</t>
  </si>
  <si>
    <t>MUTUELLE AVRIL 2019 HUMANIS MU</t>
  </si>
  <si>
    <t>PREVOYANCE AVRIL 2019 HUMANIS PR</t>
  </si>
  <si>
    <t>PREVOYANCE PATR M GRAVIER MAI 2019 GRAVIER</t>
  </si>
  <si>
    <t>MUTUELLE PATRONAL M GRAVIER MAI 2019 GRAVIER</t>
  </si>
  <si>
    <t>PREVOYANCE MAI 2019 HUMANIS PR</t>
  </si>
  <si>
    <t>MUTUELLE MAI 2019 HUMANIS MU</t>
  </si>
  <si>
    <t>PREVOYANCE PATR M GRAVIER JUIN 2019 GRAVIER</t>
  </si>
  <si>
    <t>MUTUELLE PATRONAL M GRAVIER JUIN 2019 GRAVIER</t>
  </si>
  <si>
    <t>MUTUELLE JUIN 2019 HUMANIS MU</t>
  </si>
  <si>
    <t>PREVOYANCE JUIN 2019 HUMANIS PR</t>
  </si>
  <si>
    <t>MUTUELLE PATRONAL M GRAVIER JUILLET 2019 GRAVIER</t>
  </si>
  <si>
    <t>PREVOYANCE PATR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</si>
  <si>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</si>
  <si>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</si>
  <si>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</si>
  <si>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</si>
  <si>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PREVOYANCE AOUT 2019 HUMANIS PR</t>
  </si>
  <si>
    <t>MUTUELLE AOUT 2019 HUMANIS MU</t>
  </si>
  <si>
    <t>PREVOYANCE PATR M GRAVIER SEPTEMBRE 2019 GRAVIER</t>
  </si>
  <si>
    <t>MUTUELLE PATRONAL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</si>
  <si>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</si>
  <si>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</si>
  <si>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</si>
  <si>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</si>
  <si>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</si>
  <si>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</si>
  <si>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PREVOYANCE PATR M GRAVIER NOVEMBRE 2019</t>
  </si>
  <si>
    <t>MUTUELLE PATRONAL M GRAVIER NOVEMBRE 2019</t>
  </si>
  <si>
    <t>MUTUELLE NOVEMBRE 2019</t>
  </si>
  <si>
    <t>PREVOYANCE PATR M GRAVIER DECEMBRE 2019</t>
  </si>
  <si>
    <t>MUTUELLE PATRONAL M GRAVIER DECEMBRE 2019</t>
  </si>
  <si>
    <t>Quittance EDF EDF BLEU C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</si>
  <si>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</si>
  <si>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</si>
  <si>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</si>
  <si>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</si>
  <si>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</si>
  <si>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</si>
  <si>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</si>
  <si>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</si>
  <si>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</si>
  <si>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</si>
  <si>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Frais divers de gestion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</si>
  <si>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</si>
  <si>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</si>
  <si>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</si>
  <si>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</si>
  <si>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</si>
  <si>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</si>
  <si>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</si>
  <si>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</si>
  <si>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</si>
  <si>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</si>
  <si>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</si>
  <si>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</si>
  <si>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</si>
  <si>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</si>
  <si>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</si>
  <si>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</si>
  <si>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</si>
  <si>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</si>
  <si>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</si>
  <si>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</si>
  <si>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</si>
  <si>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</si>
  <si>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</si>
  <si>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</si>
  <si>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</si>
  <si>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</si>
  <si>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</si>
  <si>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</si>
  <si>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</si>
  <si>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</si>
  <si>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</si>
  <si>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</si>
  <si>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</si>
  <si>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</si>
  <si>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</si>
  <si>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</si>
  <si>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</si>
  <si>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</si>
  <si>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</si>
  <si>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</si>
  <si>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</si>
  <si>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</si>
  <si>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</si>
  <si>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</si>
  <si>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</si>
  <si>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</si>
  <si>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</si>
  <si>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</si>
  <si>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</si>
  <si>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</si>
  <si>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</si>
  <si>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</si>
  <si>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</si>
  <si>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</si>
  <si>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Pose vigik&amp;ventouses</t>
  </si>
  <si>
    <t>Solde Mise en place interphone</t>
  </si>
  <si>
    <t>Solde Bandeaux ventouses &amp; vig</t>
  </si>
  <si>
    <t>Solde tvx de scarification</t>
  </si>
  <si>
    <t>Solde Tvx controle d'accès por</t>
  </si>
  <si>
    <t>Solde Réf peinture portes pali</t>
  </si>
  <si>
    <t>Solde Pose porte métallique ca</t>
  </si>
  <si>
    <t>Solde Tvx pose vigik&amp;ventouses</t>
  </si>
  <si>
    <t>Solde renouvelt plantations</t>
  </si>
  <si>
    <t>Location conteneurs 2019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</si>
  <si>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</si>
  <si>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</si>
  <si>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</si>
  <si>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</si>
  <si>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</si>
  <si>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</si>
  <si>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</si>
  <si>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</si>
  <si>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</si>
  <si>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</si>
  <si>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</si>
  <si>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</si>
  <si>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</si>
  <si>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</si>
  <si>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</si>
  <si>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</si>
  <si>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</si>
  <si>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</si>
  <si>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</si>
  <si>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</si>
  <si>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</si>
  <si>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</si>
  <si>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</si>
  <si>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</si>
  <si>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</si>
  <si>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</si>
  <si>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</si>
  <si>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</si>
  <si>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</si>
  <si>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</si>
  <si>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</si>
  <si>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</si>
  <si>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</si>
  <si>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</si>
  <si>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</si>
  <si>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</si>
  <si>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</si>
  <si>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</si>
  <si>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</si>
  <si>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 préparation dossier</t>
  </si>
  <si>
    <t>F2019000003718</t>
  </si>
  <si>
    <t>AGES 21.11.19 BATIMENT G</t>
  </si>
  <si>
    <t>F2019000003711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</si>
  <si>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</si>
  <si>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</si>
  <si>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</si>
  <si>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</si>
  <si>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</si>
  <si>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</si>
  <si>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</si>
  <si>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</si>
  <si>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</si>
  <si>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</si>
  <si>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</si>
  <si>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</si>
  <si>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</si>
  <si>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</si>
  <si>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</si>
  <si>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</si>
  <si>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</si>
  <si>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</si>
  <si>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</si>
  <si>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</si>
  <si>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</si>
  <si>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</si>
  <si>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</si>
  <si>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</si>
  <si>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</si>
  <si>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</si>
  <si>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</si>
  <si>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</si>
  <si>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</si>
  <si>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</si>
  <si>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</si>
  <si>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</si>
  <si>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</si>
  <si>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</si>
  <si>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</si>
  <si>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</si>
  <si>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</si>
  <si>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</si>
  <si>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</si>
  <si>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</si>
  <si>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</si>
  <si>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</si>
  <si>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</si>
  <si>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</si>
  <si>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</si>
  <si>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</si>
  <si>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</si>
  <si>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</si>
  <si>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</si>
  <si>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</si>
  <si>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</si>
  <si>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</si>
  <si>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</si>
  <si>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</si>
  <si>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</si>
  <si>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</si>
  <si>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</si>
  <si>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</si>
  <si>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</si>
  <si>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Divers gardien</t>
  </si>
  <si>
    <t>Achat Pantalon de travail LIDL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</si>
  <si>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</si>
  <si>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</si>
  <si>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</si>
  <si>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</si>
  <si>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</si>
  <si>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</si>
  <si>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</si>
  <si>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</si>
  <si>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</si>
  <si>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</si>
  <si>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</si>
  <si>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</si>
  <si>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</si>
  <si>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</si>
  <si>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</si>
  <si>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</si>
  <si>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</si>
  <si>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</si>
  <si>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</si>
  <si>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</si>
  <si>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</si>
  <si>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</si>
  <si>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</si>
  <si>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</si>
  <si>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</si>
  <si>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</si>
  <si>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</si>
  <si>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</si>
  <si>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</si>
  <si>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</si>
  <si>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</si>
  <si>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</si>
  <si>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</si>
  <si>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</si>
  <si>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</si>
  <si>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</si>
  <si>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</si>
  <si>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</si>
  <si>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</si>
  <si>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</si>
  <si>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</si>
  <si>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</si>
  <si>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</si>
  <si>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</si>
  <si>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</si>
  <si>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</si>
  <si>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</si>
  <si>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</si>
  <si>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</si>
  <si>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</si>
  <si>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</si>
  <si>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</si>
  <si>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</si>
  <si>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</si>
  <si>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</si>
  <si>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</si>
  <si>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</si>
  <si>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</si>
  <si>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</si>
  <si>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</si>
  <si>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</si>
  <si>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</si>
  <si>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</si>
  <si>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</si>
  <si>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</si>
  <si>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</si>
  <si>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</si>
  <si>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</si>
  <si>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</si>
  <si>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</si>
  <si>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</si>
  <si>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</si>
  <si>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</si>
  <si>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</si>
  <si>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</si>
  <si>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</si>
  <si>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</si>
  <si>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</si>
  <si>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</si>
  <si>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</si>
  <si>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</si>
  <si>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</si>
  <si>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</si>
  <si>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</si>
  <si>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</si>
  <si>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</si>
  <si>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</si>
  <si>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</si>
  <si>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</si>
  <si>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PATRONAL M GRAVIER FEVRIER 2018</t>
  </si>
  <si>
    <t>RETRAITE ARRCO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</si>
  <si>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</si>
  <si>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</si>
  <si>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</si>
  <si>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</si>
  <si>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</si>
  <si>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</si>
  <si>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</si>
  <si>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</si>
  <si>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</si>
  <si>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</si>
  <si>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</si>
  <si>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</si>
  <si>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</si>
  <si>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Charges soc. pers. entretien</t>
  </si>
  <si>
    <t>Frais formation GRAVIER</t>
  </si>
  <si>
    <t>frais formation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</si>
  <si>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</si>
  <si>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</si>
  <si>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</si>
  <si>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</si>
  <si>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</si>
  <si>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PREVOYANCE PATR M GRAVIER FEVRIER 2018</t>
  </si>
  <si>
    <t>MUT PREV FEVRIER 2018</t>
  </si>
  <si>
    <t>MUTUELLE PATRONAL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</si>
  <si>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</si>
  <si>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</si>
  <si>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</si>
  <si>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</si>
  <si>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</si>
  <si>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</si>
  <si>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</si>
  <si>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</si>
  <si>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</si>
  <si>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PREVOYANCE MAI 2018</t>
  </si>
  <si>
    <t>MUTUELLE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</si>
  <si>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</si>
  <si>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</si>
  <si>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</si>
  <si>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</si>
  <si>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MUTUELLE PATRONAL M GRAVIER JUILLET 2018 GRAVIER</t>
  </si>
  <si>
    <t>PREVOYANCE PATR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</si>
  <si>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</si>
  <si>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</si>
  <si>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</si>
  <si>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</si>
  <si>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</si>
  <si>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</si>
  <si>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</si>
  <si>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</si>
  <si>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</si>
  <si>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PREVOYANCE PATR M GRAVIER OCTOBRE 2018 GRAVIER</t>
  </si>
  <si>
    <t>MUTUELLE PATRONAL M GRAVIER OCTOBRE 2018 GRAVIER</t>
  </si>
  <si>
    <t>PREVOYANCE OCTOBRE 2018 HUMANIS PR</t>
  </si>
  <si>
    <t>MUTUELLE OCTOBRE 2018 HUMANIS MU</t>
  </si>
  <si>
    <t>MUTUELLE PATRONAL M GRAVIER NOVEMBRE 2018 GRAVIER</t>
  </si>
  <si>
    <t>PREVOYANCE PATR M GRAVIER NOVEMBRE 2018 GRAVIER</t>
  </si>
  <si>
    <t>MUTUELLE NOVEMBRE 2018 HUMANIS MU</t>
  </si>
  <si>
    <t>PREVOYANCE NOVEMBRE 2018 HUMANIS PR</t>
  </si>
  <si>
    <t>MUTUELLE PATRONAL M GRAVIER DECEMBRE 2018 GRAVIER</t>
  </si>
  <si>
    <t>PREVOYANCE PATR M GRAVIER DECEMBRE 2018 GRAVIER</t>
  </si>
  <si>
    <t>Travaux loge</t>
  </si>
  <si>
    <t>Mise en place combiné loge gardien MCP VALETTE</t>
  </si>
  <si>
    <t>F1804110</t>
  </si>
  <si>
    <t>861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</si>
  <si>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</si>
  <si>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</si>
  <si>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</si>
  <si>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</si>
  <si>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</si>
  <si>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</si>
  <si>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</si>
  <si>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</si>
  <si>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</si>
  <si>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</si>
  <si>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</si>
  <si>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</si>
  <si>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</si>
  <si>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</si>
  <si>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</si>
  <si>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</si>
  <si>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</si>
  <si>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APCH - SANCHEZ</t>
  </si>
  <si>
    <t>SIMD6521/3800 VAGNOUX</t>
  </si>
  <si>
    <t>F18/085//D18/113</t>
  </si>
  <si>
    <t>SIMD6521/3800 recherche fuite HERMES</t>
  </si>
  <si>
    <t>F18//145//D18/114 Bis</t>
  </si>
  <si>
    <t>SIMD6521/3800 Franchise DDE VAGNOUX</t>
  </si>
  <si>
    <t>SIMD6521/3800 QPart Facture APCH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</si>
  <si>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</si>
  <si>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</si>
  <si>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</si>
  <si>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</si>
  <si>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</si>
  <si>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</si>
  <si>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</si>
  <si>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</si>
  <si>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</si>
  <si>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</si>
  <si>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</si>
  <si>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</si>
  <si>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</si>
  <si>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</si>
  <si>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</si>
  <si>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</si>
  <si>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</si>
  <si>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</si>
  <si>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</si>
  <si>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</si>
  <si>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</si>
  <si>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</si>
  <si>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</si>
  <si>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</si>
  <si>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</si>
  <si>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</si>
  <si>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</si>
  <si>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</si>
  <si>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</si>
  <si>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</si>
  <si>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</si>
  <si>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</si>
  <si>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Achat essence TOTAL</t>
  </si>
  <si>
    <t>Réparation karcher LEROY MERLIN</t>
  </si>
  <si>
    <t>Achat dalle LEROY MERLIN</t>
  </si>
  <si>
    <t>Achat divers Jardin</t>
  </si>
  <si>
    <t>Achat PEPENIERES PROSPERI</t>
  </si>
  <si>
    <t>Achat Divers jardin ARRODEL</t>
  </si>
  <si>
    <t>Achat Divers jardin LEROY MERLIN</t>
  </si>
  <si>
    <t>Surveillance compteur OCEA</t>
  </si>
  <si>
    <t>regul surveillance compteur</t>
  </si>
  <si>
    <t>Regul de charges ex anterieur</t>
  </si>
  <si>
    <t>Régul EDF 2011 EDF ENTREP</t>
  </si>
  <si>
    <t>regul 2011</t>
  </si>
  <si>
    <t>Régul 2010 ISS HYMO H</t>
  </si>
  <si>
    <t>regul 2010</t>
  </si>
  <si>
    <t>ISS HYMO HYGIENE SERVICES</t>
  </si>
  <si>
    <t>Régul 2012 EUROSATELL</t>
  </si>
  <si>
    <t>regul 2012</t>
  </si>
  <si>
    <t>EUROSATELLITE</t>
  </si>
  <si>
    <t>Répartition charges employés immeuble 2018</t>
  </si>
  <si>
    <t>reparition charges employ</t>
  </si>
  <si>
    <t>SIMD5320/3800</t>
  </si>
  <si>
    <t>166204/1</t>
  </si>
  <si>
    <t>177700/1</t>
  </si>
  <si>
    <t>Rembt Indemn. Journalieres</t>
  </si>
  <si>
    <t>Encaissement CPAM</t>
  </si>
  <si>
    <t>167459/1</t>
  </si>
  <si>
    <t>Solde Charges 01/01/2017 31/12</t>
  </si>
  <si>
    <t>Solde changt ballon ECS</t>
  </si>
  <si>
    <t>Rompus</t>
  </si>
  <si>
    <t>Solde Changt parlophone</t>
  </si>
  <si>
    <t>Solde changt boites aux lettre</t>
  </si>
  <si>
    <t>Solde Changt boites aux lettre</t>
  </si>
  <si>
    <t>Solde changt parlophones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</si>
  <si>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</si>
  <si>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</si>
  <si>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</si>
  <si>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</si>
  <si>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</si>
  <si>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</si>
  <si>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</si>
  <si>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</si>
  <si>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</si>
  <si>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</si>
  <si>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</si>
  <si>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</si>
  <si>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</si>
  <si>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</si>
  <si>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</si>
  <si>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</si>
  <si>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</si>
  <si>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</si>
  <si>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</si>
  <si>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</si>
  <si>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</si>
  <si>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</si>
  <si>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</si>
  <si>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</si>
  <si>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</si>
  <si>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Entretien antenne collective</t>
  </si>
  <si>
    <t>Réglage TNT</t>
  </si>
  <si>
    <t>810384</t>
  </si>
  <si>
    <t>SUD ANTENNE</t>
  </si>
  <si>
    <t>810385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</si>
  <si>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</si>
  <si>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</si>
  <si>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</si>
  <si>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</si>
  <si>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</si>
  <si>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</si>
  <si>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</si>
  <si>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</si>
  <si>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</si>
  <si>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</si>
  <si>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</si>
  <si>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</si>
  <si>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</si>
  <si>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</si>
  <si>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</si>
  <si>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</si>
  <si>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</si>
  <si>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</si>
  <si>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</si>
  <si>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</si>
  <si>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</si>
  <si>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</si>
  <si>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</si>
  <si>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</si>
  <si>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</si>
  <si>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</si>
  <si>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</si>
  <si>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</si>
  <si>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</si>
  <si>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</si>
  <si>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</si>
  <si>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</si>
  <si>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</si>
  <si>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</si>
  <si>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</si>
  <si>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</si>
  <si>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</si>
  <si>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</si>
  <si>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</si>
  <si>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</si>
  <si>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</si>
  <si>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</si>
  <si>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</si>
  <si>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</si>
  <si>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</si>
  <si>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</si>
  <si>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</si>
  <si>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</si>
  <si>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</si>
  <si>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</si>
  <si>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</si>
  <si>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</si>
  <si>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</si>
  <si>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</si>
  <si>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</si>
  <si>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</si>
  <si>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</si>
  <si>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</si>
  <si>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</si>
  <si>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</si>
  <si>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</si>
  <si>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</si>
  <si>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</si>
  <si>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</si>
  <si>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</si>
  <si>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</si>
  <si>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</si>
  <si>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</si>
  <si>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</si>
  <si>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</si>
  <si>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</si>
  <si>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</si>
  <si>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</si>
  <si>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</si>
  <si>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</si>
  <si>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</si>
  <si>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</si>
  <si>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</si>
  <si>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</si>
  <si>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</si>
  <si>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</si>
  <si>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</si>
  <si>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</si>
  <si>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</si>
  <si>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</si>
  <si>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</si>
  <si>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</si>
  <si>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</si>
  <si>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</si>
  <si>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</si>
  <si>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</si>
  <si>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</si>
  <si>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</si>
  <si>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</si>
  <si>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</si>
  <si>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</si>
  <si>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</si>
  <si>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</si>
  <si>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Insp video canalisation EU AZURI ASSAIN</t>
  </si>
  <si>
    <t>Régul 2016 Curage canalisation EU AZURI ASSAINI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</si>
  <si>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</si>
  <si>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</si>
  <si>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</si>
  <si>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</si>
  <si>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</si>
  <si>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</si>
  <si>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</si>
  <si>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</si>
  <si>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</si>
  <si>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</si>
  <si>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</si>
  <si>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</si>
  <si>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</si>
  <si>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</si>
  <si>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</si>
  <si>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</si>
  <si>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</si>
  <si>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</si>
  <si>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</si>
  <si>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</si>
  <si>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</si>
  <si>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</si>
  <si>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</si>
  <si>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</si>
  <si>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</si>
  <si>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</si>
  <si>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</si>
  <si>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</si>
  <si>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</si>
  <si>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</si>
  <si>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</si>
  <si>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</si>
  <si>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</si>
  <si>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</si>
  <si>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</si>
  <si>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</si>
  <si>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</si>
  <si>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</si>
  <si>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</si>
  <si>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</si>
  <si>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</si>
  <si>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</si>
  <si>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</si>
  <si>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</si>
  <si>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</si>
  <si>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</si>
  <si>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</si>
  <si>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</si>
  <si>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</si>
  <si>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</si>
  <si>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</si>
  <si>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</si>
  <si>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</si>
  <si>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</si>
  <si>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</si>
  <si>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</si>
  <si>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</si>
  <si>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</si>
  <si>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</si>
  <si>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</si>
  <si>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</si>
  <si>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</si>
  <si>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</si>
  <si>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</si>
  <si>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</si>
  <si>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</si>
  <si>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</si>
  <si>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</si>
  <si>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</si>
  <si>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</si>
  <si>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</si>
  <si>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</si>
  <si>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</si>
  <si>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</si>
  <si>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</si>
  <si>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</si>
  <si>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</si>
  <si>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</si>
  <si>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</si>
  <si>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</si>
  <si>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</si>
  <si>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</si>
  <si>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</si>
  <si>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</si>
  <si>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</si>
  <si>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</si>
  <si>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</si>
  <si>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</si>
  <si>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</si>
  <si>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</si>
  <si>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</si>
  <si>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</si>
  <si>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</si>
  <si>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</si>
  <si>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</si>
  <si>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</si>
  <si>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</si>
  <si>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</si>
  <si>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</si>
  <si>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</si>
  <si>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</si>
  <si>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</si>
  <si>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</si>
  <si>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</si>
  <si>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PREVOYANCE PATR M GRAVIER JANVIER 2017 GRAVIER</t>
  </si>
  <si>
    <t>MUTUELLE PATRONAL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</si>
  <si>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</si>
  <si>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</si>
  <si>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</si>
  <si>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</si>
  <si>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</si>
  <si>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</si>
  <si>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</si>
  <si>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</si>
  <si>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</si>
  <si>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</si>
  <si>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MUTUELLE PATRONAL M GRAVIER MAI 2017 GRAVIER</t>
  </si>
  <si>
    <t>PREVOYANCE PATR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</si>
  <si>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</si>
  <si>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</si>
  <si>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</si>
  <si>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</si>
  <si>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</si>
  <si>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PREVOYANCE PATR M GRAVIER JUILLET 2017 GRAVIER</t>
  </si>
  <si>
    <t>MUTUELLE PATRONAL M GRAVIER JUILLET 2017 GRAVIER</t>
  </si>
  <si>
    <t>MUTUELLE JUILLET 2017 HUMANIS MU</t>
  </si>
  <si>
    <t>PREVOYANCE JUILLET 2017 HUMANIS PR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</si>
  <si>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</si>
  <si>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</si>
  <si>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</si>
  <si>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</si>
  <si>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</si>
  <si>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</si>
  <si>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</si>
  <si>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PREVOYANCE PATR M GRAVIER OCTOBRE 2017 GRAVIER</t>
  </si>
  <si>
    <t>MUTUELLE PATRONAL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</si>
  <si>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</si>
  <si>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</si>
  <si>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</si>
  <si>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</si>
  <si>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</si>
  <si>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</si>
  <si>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</si>
  <si>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</si>
  <si>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</si>
  <si>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</si>
  <si>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</si>
  <si>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</si>
  <si>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</si>
  <si>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</si>
  <si>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</si>
  <si>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</si>
  <si>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</si>
  <si>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</si>
  <si>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</si>
  <si>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</si>
  <si>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</si>
  <si>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</si>
  <si>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</si>
  <si>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</si>
  <si>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</si>
  <si>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</si>
  <si>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</si>
  <si>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</si>
  <si>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</si>
  <si>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</si>
  <si>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</si>
  <si>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</si>
  <si>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</si>
  <si>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</si>
  <si>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</si>
  <si>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</si>
  <si>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</si>
  <si>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</si>
  <si>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</si>
  <si>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</si>
  <si>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</si>
  <si>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</si>
  <si>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</si>
  <si>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</si>
  <si>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</si>
  <si>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</si>
  <si>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</si>
  <si>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</si>
  <si>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</si>
  <si>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</si>
  <si>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</si>
  <si>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</si>
  <si>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</si>
  <si>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</si>
  <si>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</si>
  <si>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</si>
  <si>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</si>
  <si>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</si>
  <si>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</si>
  <si>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</si>
  <si>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</si>
  <si>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</si>
  <si>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</si>
  <si>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</si>
  <si>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</si>
  <si>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</si>
  <si>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</si>
  <si>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</si>
  <si>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</si>
  <si>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</si>
  <si>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</si>
  <si>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</si>
  <si>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</si>
  <si>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</si>
  <si>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</si>
  <si>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</si>
  <si>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</si>
  <si>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</si>
  <si>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</si>
  <si>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</si>
  <si>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</si>
  <si>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</si>
  <si>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</si>
  <si>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</si>
  <si>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</si>
  <si>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</si>
  <si>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</si>
  <si>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</si>
  <si>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</si>
  <si>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</si>
  <si>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</si>
  <si>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</si>
  <si>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</si>
  <si>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</si>
  <si>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</si>
  <si>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</si>
  <si>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</si>
  <si>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</si>
  <si>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</si>
  <si>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</si>
  <si>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</si>
  <si>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</si>
  <si>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</si>
  <si>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</si>
  <si>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</si>
  <si>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</si>
  <si>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</si>
  <si>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</si>
  <si>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</si>
  <si>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</si>
  <si>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</si>
  <si>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</si>
  <si>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</si>
  <si>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</si>
  <si>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</si>
  <si>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travaux etancheite</t>
  </si>
  <si>
    <t>Trvx de réparation étanchéité droit au bac EC ETAN</t>
  </si>
  <si>
    <t>11.789</t>
  </si>
  <si>
    <t>ETANCHEITE BOSCHI</t>
  </si>
  <si>
    <t>Entretien serrurerie</t>
  </si>
  <si>
    <t>Rempt cylindre PARIS CLEF</t>
  </si>
  <si>
    <t>101282</t>
  </si>
  <si>
    <t>PARIS CLEFS</t>
  </si>
  <si>
    <t>Achat tapis</t>
  </si>
  <si>
    <t>02802.366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</si>
  <si>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</si>
  <si>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</si>
  <si>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</si>
  <si>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</si>
  <si>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</si>
  <si>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</si>
  <si>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</si>
  <si>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</si>
  <si>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</si>
  <si>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</si>
  <si>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</si>
  <si>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</si>
  <si>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</si>
  <si>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</si>
  <si>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</si>
  <si>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</si>
  <si>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</si>
  <si>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</si>
  <si>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</si>
  <si>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Q/Part employe imm. VILLAGE</t>
  </si>
  <si>
    <t>Q/Part employé immeuble 2016</t>
  </si>
  <si>
    <t>19059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</si>
  <si>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</si>
  <si>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</si>
  <si>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</si>
  <si>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</si>
  <si>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</si>
  <si>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</si>
  <si>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</si>
  <si>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</si>
  <si>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</si>
  <si>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</si>
  <si>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</si>
  <si>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</si>
  <si>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</si>
  <si>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</si>
  <si>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</si>
  <si>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</si>
  <si>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</si>
  <si>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</si>
  <si>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</si>
  <si>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</si>
  <si>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</si>
  <si>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</si>
  <si>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</si>
  <si>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</si>
  <si>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</si>
  <si>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</si>
  <si>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</si>
  <si>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</si>
  <si>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</si>
  <si>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</si>
  <si>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</si>
  <si>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</si>
  <si>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</si>
  <si>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</si>
  <si>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</si>
  <si>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</si>
  <si>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</si>
  <si>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</si>
  <si>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</si>
  <si>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</si>
  <si>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</si>
  <si>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</si>
  <si>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</si>
  <si>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</si>
  <si>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</si>
  <si>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</si>
  <si>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</si>
  <si>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</si>
  <si>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</si>
  <si>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</si>
  <si>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</si>
  <si>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</si>
  <si>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</si>
  <si>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</si>
  <si>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</si>
  <si>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</si>
  <si>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</si>
  <si>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</si>
  <si>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</si>
  <si>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</si>
  <si>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</si>
  <si>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</si>
  <si>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</si>
  <si>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</si>
  <si>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</si>
  <si>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</si>
  <si>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</si>
  <si>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</si>
  <si>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</si>
  <si>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</si>
  <si>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</si>
  <si>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</si>
  <si>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</si>
  <si>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</si>
  <si>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</si>
  <si>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</si>
  <si>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</si>
  <si>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</si>
  <si>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</si>
  <si>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</si>
  <si>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</si>
  <si>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</si>
  <si>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</si>
  <si>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</si>
  <si>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</si>
  <si>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</si>
  <si>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</si>
  <si>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</si>
  <si>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</si>
  <si>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</si>
  <si>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</si>
  <si>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</si>
  <si>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</si>
  <si>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</si>
  <si>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</si>
  <si>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</si>
  <si>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</si>
  <si>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</si>
  <si>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</si>
  <si>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</si>
  <si>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</si>
  <si>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</si>
  <si>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</si>
  <si>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</si>
  <si>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</si>
  <si>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</si>
  <si>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</si>
  <si>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</si>
  <si>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</si>
  <si>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</si>
  <si>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</si>
  <si>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</si>
  <si>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</si>
  <si>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</si>
  <si>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</si>
  <si>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PATR M GRAVIER DECEMBRE 2016 GRAVIER</t>
  </si>
  <si>
    <t>HUMANIS PREV 4EM TRIM 2016 HUMANIS PR</t>
  </si>
  <si>
    <t>200116</t>
  </si>
  <si>
    <t>10836944074</t>
  </si>
  <si>
    <t>f</t>
  </si>
  <si>
    <t>Materiel refection portails</t>
  </si>
  <si>
    <t>Ref panneau reservation tennis SALVETTI</t>
  </si>
  <si>
    <t>53 705</t>
  </si>
  <si>
    <t>Vérif 2016 2 appareils PRO INCENDIE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</si>
  <si>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</si>
  <si>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</si>
  <si>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</si>
  <si>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</si>
  <si>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</si>
  <si>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</si>
  <si>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</si>
  <si>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</si>
  <si>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</si>
  <si>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</si>
  <si>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</si>
  <si>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</si>
  <si>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</si>
  <si>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</si>
  <si>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</si>
  <si>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</si>
  <si>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</si>
  <si>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</si>
  <si>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</si>
  <si>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</si>
  <si>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</si>
  <si>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</si>
  <si>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</si>
  <si>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</si>
  <si>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</si>
  <si>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</si>
  <si>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</si>
  <si>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</si>
  <si>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</si>
  <si>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</si>
  <si>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</si>
  <si>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</si>
  <si>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</si>
  <si>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</si>
  <si>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</si>
  <si>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</si>
  <si>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</si>
  <si>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</si>
  <si>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</si>
  <si>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</si>
  <si>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</si>
  <si>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</si>
  <si>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</si>
  <si>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</si>
  <si>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</si>
  <si>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</si>
  <si>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</si>
  <si>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</si>
  <si>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</si>
  <si>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</si>
  <si>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</si>
  <si>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</si>
  <si>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</si>
  <si>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</si>
  <si>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</si>
  <si>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</si>
  <si>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</si>
  <si>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</si>
  <si>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</si>
  <si>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</si>
  <si>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</si>
  <si>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</si>
  <si>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</si>
  <si>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</si>
  <si>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</si>
  <si>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</si>
  <si>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</si>
  <si>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</si>
  <si>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</si>
  <si>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</si>
  <si>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</si>
  <si>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</si>
  <si>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</si>
  <si>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</si>
  <si>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</si>
  <si>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</si>
  <si>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</si>
  <si>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</si>
  <si>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</si>
  <si>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</si>
  <si>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</si>
  <si>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</si>
  <si>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</si>
  <si>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</si>
  <si>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</si>
  <si>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</si>
  <si>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</si>
  <si>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</si>
  <si>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</si>
  <si>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</si>
  <si>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</si>
  <si>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</si>
  <si>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</si>
  <si>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</si>
  <si>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</si>
  <si>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</si>
  <si>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</si>
  <si>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</si>
  <si>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</si>
  <si>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</si>
  <si>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</si>
  <si>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</si>
  <si>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</si>
  <si>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</si>
  <si>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</si>
  <si>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</si>
  <si>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</si>
  <si>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</si>
  <si>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</si>
  <si>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</si>
  <si>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</si>
  <si>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</si>
  <si>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</si>
  <si>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</si>
  <si>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</si>
  <si>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</si>
  <si>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</si>
  <si>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</si>
  <si>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</si>
  <si>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</si>
  <si>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</si>
  <si>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</si>
  <si>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</si>
  <si>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</si>
  <si>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</si>
  <si>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</si>
  <si>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</si>
  <si>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</si>
  <si>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</si>
  <si>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</si>
  <si>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</si>
  <si>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</si>
  <si>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</si>
  <si>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</si>
  <si>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</si>
  <si>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</si>
  <si>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</si>
  <si>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Consommation eau loge 3.61x 6 M3</t>
  </si>
  <si>
    <t>Eau chaude loge 10.81e x 5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</si>
  <si>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</si>
  <si>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</si>
  <si>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</si>
  <si>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</si>
  <si>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</si>
  <si>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</si>
  <si>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</si>
  <si>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</si>
  <si>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</si>
  <si>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</si>
  <si>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</si>
  <si>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</si>
  <si>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</si>
  <si>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</si>
  <si>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</si>
  <si>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</si>
  <si>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</si>
  <si>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</si>
  <si>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</si>
  <si>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</si>
  <si>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</si>
  <si>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</si>
  <si>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</si>
  <si>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</si>
  <si>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</si>
  <si>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</si>
  <si>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</si>
  <si>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</si>
  <si>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</si>
  <si>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</si>
  <si>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</si>
  <si>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</si>
  <si>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</si>
  <si>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</si>
  <si>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</si>
  <si>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</si>
  <si>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</si>
  <si>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</si>
  <si>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</si>
  <si>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</si>
  <si>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</si>
  <si>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</si>
  <si>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</si>
  <si>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</si>
  <si>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</si>
  <si>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</si>
  <si>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</si>
  <si>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</si>
  <si>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</si>
  <si>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</si>
  <si>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</si>
  <si>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</si>
  <si>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</si>
  <si>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</si>
  <si>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</si>
  <si>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</si>
  <si>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</si>
  <si>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</si>
  <si>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</si>
  <si>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</si>
  <si>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</si>
  <si>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</si>
  <si>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</si>
  <si>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</si>
  <si>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</si>
  <si>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</si>
  <si>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</si>
  <si>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</si>
  <si>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</si>
  <si>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</si>
  <si>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</si>
  <si>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</si>
  <si>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</si>
  <si>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</si>
  <si>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</si>
  <si>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</si>
  <si>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</si>
  <si>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</si>
  <si>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</si>
  <si>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</si>
  <si>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</si>
  <si>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</si>
  <si>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47 944</t>
  </si>
  <si>
    <t>Verif blocs autonomes PRO INCEND</t>
  </si>
  <si>
    <t>47 976</t>
  </si>
  <si>
    <t>Vérif 2015 2 appareils PRO INCENDIE</t>
  </si>
  <si>
    <t>Fourniture 1 emetteur DEPREZ</t>
  </si>
  <si>
    <t>Régul fourniture 3 emetteurs ELECTRO ALPES</t>
  </si>
  <si>
    <t>Fourniture 1 emetteur TERRASSIER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</si>
  <si>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</si>
  <si>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</si>
  <si>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</si>
  <si>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</si>
  <si>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</si>
  <si>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</si>
  <si>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</si>
  <si>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</si>
  <si>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Reparation portail</t>
  </si>
  <si>
    <t>Rempt recepteur portail ELECTRO AL</t>
  </si>
  <si>
    <t>VPF10090636</t>
  </si>
  <si>
    <t>Nettoyage VO ERN 3D</t>
  </si>
  <si>
    <t>fc6010</t>
  </si>
  <si>
    <t>Deduction Q/P Nettoyage VO bat. E</t>
  </si>
  <si>
    <t>15483</t>
  </si>
  <si>
    <t>Deduction Q/P Nettoyage VO bat. G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</si>
  <si>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</si>
  <si>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</si>
  <si>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</si>
  <si>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</si>
  <si>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</si>
  <si>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</si>
  <si>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</si>
  <si>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</si>
  <si>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</si>
  <si>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</si>
  <si>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</si>
  <si>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</si>
  <si>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</si>
  <si>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</si>
  <si>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</si>
  <si>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</si>
  <si>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</si>
  <si>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</si>
  <si>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</si>
  <si>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</si>
  <si>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</si>
  <si>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</si>
  <si>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</si>
  <si>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</si>
  <si>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</si>
  <si>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</si>
  <si>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</si>
  <si>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</si>
  <si>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</si>
  <si>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jardins p</t>
  </si>
  <si>
    <t>Jardins privatifs Village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</si>
  <si>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</si>
  <si>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</si>
  <si>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</si>
  <si>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</si>
  <si>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</si>
  <si>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</si>
  <si>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</si>
  <si>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</si>
  <si>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</si>
  <si>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</si>
  <si>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</si>
  <si>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</si>
  <si>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</si>
  <si>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</si>
  <si>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</si>
  <si>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</si>
  <si>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</si>
  <si>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</si>
  <si>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</si>
  <si>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</si>
  <si>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</si>
  <si>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</si>
  <si>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</si>
  <si>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</si>
  <si>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</si>
  <si>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</si>
  <si>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</si>
  <si>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</si>
  <si>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</si>
  <si>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</si>
  <si>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</si>
  <si>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</si>
  <si>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</si>
  <si>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</si>
  <si>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</si>
  <si>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</si>
  <si>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</si>
  <si>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</si>
  <si>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</si>
  <si>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</si>
  <si>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</si>
  <si>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</si>
  <si>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</si>
  <si>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</si>
  <si>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</si>
  <si>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</si>
  <si>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</si>
  <si>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</si>
  <si>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</si>
  <si>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</si>
  <si>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</si>
  <si>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</si>
  <si>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</si>
  <si>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</si>
  <si>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</si>
  <si>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</si>
  <si>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</si>
  <si>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</si>
  <si>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</si>
  <si>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</si>
  <si>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</si>
  <si>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</si>
  <si>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</si>
  <si>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</si>
  <si>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</si>
  <si>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</si>
  <si>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</si>
  <si>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</si>
  <si>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</si>
  <si>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</si>
  <si>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</si>
  <si>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</si>
  <si>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</si>
  <si>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</si>
  <si>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</si>
  <si>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</si>
  <si>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</si>
  <si>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</si>
  <si>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</si>
  <si>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</si>
  <si>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</si>
  <si>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</si>
  <si>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</si>
  <si>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</si>
  <si>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</si>
  <si>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</si>
  <si>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</si>
  <si>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</si>
  <si>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</si>
  <si>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</si>
  <si>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</si>
  <si>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</si>
  <si>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</si>
  <si>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</si>
  <si>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</si>
  <si>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</si>
  <si>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</si>
  <si>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</si>
  <si>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</si>
  <si>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25497684431335</t>
  </si>
  <si>
    <t>25497829149187</t>
  </si>
  <si>
    <t>AVEHO</t>
  </si>
  <si>
    <t>2211100</t>
  </si>
  <si>
    <t>2301100</t>
  </si>
  <si>
    <t>Remplacement M. GRAVIER - Du 04/06 au 02/07/23 FPE</t>
  </si>
  <si>
    <t>2306099</t>
  </si>
  <si>
    <t>2307098</t>
  </si>
  <si>
    <t>Refoulement collecteur EU HYDROSONIC</t>
  </si>
  <si>
    <t>109414</t>
  </si>
  <si>
    <t>reconstitution fonds de caisse</t>
  </si>
  <si>
    <t>Rembt frais - Mars 2023 GRAVIER</t>
  </si>
  <si>
    <t>Rembt frais - Mars 2023</t>
  </si>
  <si>
    <t>Achat vegetaux PETRUCCIOLI</t>
  </si>
  <si>
    <t>Location salle AG du 05/05/23 PAROISSE S</t>
  </si>
  <si>
    <t>location salle AG 05/05/23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</si>
  <si>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</si>
  <si>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</si>
  <si>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</si>
  <si>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</si>
  <si>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</si>
  <si>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</si>
  <si>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</si>
  <si>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</si>
  <si>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20/04/2023</t>
  </si>
  <si>
    <t>20/05/2023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</si>
  <si>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</si>
  <si>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</si>
  <si>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</si>
  <si>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</si>
  <si>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</si>
  <si>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</si>
  <si>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</si>
  <si>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10184416151</t>
  </si>
  <si>
    <t>10186679114</t>
  </si>
  <si>
    <t>Quittance eau - Du 20/02/23 - 1494m3 REGIE EAU</t>
  </si>
  <si>
    <t>5029791</t>
  </si>
  <si>
    <t>Quittance eau - Du 20/02/23 - 1542m3 REGIE EAU</t>
  </si>
  <si>
    <t>5029781</t>
  </si>
  <si>
    <t>Quittance eau - Du 14/08/23 - 1693m3 REGIE EAU</t>
  </si>
  <si>
    <t>5382975</t>
  </si>
  <si>
    <t>5411693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</si>
  <si>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</si>
  <si>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</si>
  <si>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</si>
  <si>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</si>
  <si>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</si>
  <si>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</si>
  <si>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</si>
  <si>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</si>
  <si>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</si>
  <si>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</si>
  <si>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</si>
  <si>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</si>
  <si>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</si>
  <si>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</si>
  <si>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</si>
  <si>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</si>
  <si>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</si>
  <si>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</si>
  <si>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</si>
  <si>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</si>
  <si>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</si>
  <si>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</si>
  <si>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</si>
  <si>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</si>
  <si>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</si>
  <si>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</si>
  <si>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</si>
  <si>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</si>
  <si>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</si>
  <si>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</si>
  <si>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</si>
  <si>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</si>
  <si>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</si>
  <si>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</si>
  <si>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</si>
  <si>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</si>
  <si>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</si>
  <si>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</si>
  <si>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</si>
  <si>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</si>
  <si>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</si>
  <si>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</si>
  <si>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</si>
  <si>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</si>
  <si>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</si>
  <si>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</si>
  <si>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</si>
  <si>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</si>
  <si>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</si>
  <si>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</si>
  <si>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</si>
  <si>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</si>
  <si>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</si>
  <si>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</si>
  <si>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</si>
  <si>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</si>
  <si>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</si>
  <si>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</si>
  <si>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</si>
  <si>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</si>
  <si>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</si>
  <si>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</si>
  <si>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</si>
  <si>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</si>
  <si>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</si>
  <si>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</si>
  <si>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</si>
  <si>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</si>
  <si>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</si>
  <si>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</si>
  <si>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</si>
  <si>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</si>
  <si>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</si>
  <si>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</si>
  <si>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</si>
  <si>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</si>
  <si>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</si>
  <si>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</si>
  <si>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</si>
  <si>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</si>
  <si>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</si>
  <si>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</si>
  <si>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</si>
  <si>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</si>
  <si>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</si>
  <si>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</si>
  <si>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</si>
  <si>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</si>
  <si>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</si>
  <si>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</si>
  <si>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</si>
  <si>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</si>
  <si>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</si>
  <si>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</si>
  <si>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</si>
  <si>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</si>
  <si>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</si>
  <si>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</si>
  <si>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</si>
  <si>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</si>
  <si>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</si>
  <si>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</si>
  <si>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</si>
  <si>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</si>
  <si>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</si>
  <si>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</si>
  <si>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</si>
  <si>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</si>
  <si>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</si>
  <si>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</si>
  <si>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</si>
  <si>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</si>
  <si>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</si>
  <si>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</si>
  <si>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</si>
  <si>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</si>
  <si>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</si>
  <si>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</si>
  <si>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</si>
  <si>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</si>
  <si>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</si>
  <si>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</si>
  <si>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</si>
  <si>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</si>
  <si>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</si>
  <si>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</si>
  <si>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MUTUELLE PATRONAL M GRAVIER AOUT 2023 GRAVIER</t>
  </si>
  <si>
    <t>PREVOYANCE PATR M GRAVIER AOUT 2023 GRAVIER</t>
  </si>
  <si>
    <t>PREVOYANCE AOUT 2023 MALAKOFF H</t>
  </si>
  <si>
    <t>MUTUELLE AOUT 2023 MALAKOFF -</t>
  </si>
  <si>
    <t>PREVOYANCE PATR M GRAVIER SEPTEMBRE 2023 GRAVIER</t>
  </si>
  <si>
    <t>MUTUELLE PATRONAL M GRAVIER SEPTEMBRE 2023 GRAVIER</t>
  </si>
  <si>
    <t>PREVOYANCE SEPTEMBRE 2023 MALAKOFF H</t>
  </si>
  <si>
    <t>MUTUELLE SEPTEMBRE 2023 MALAKOFF -</t>
  </si>
  <si>
    <t>PREVOYANCE PATR M GRAVIER OCTOBRE 2023 GRAVIER</t>
  </si>
  <si>
    <t>MUTUELLE PATRONAL M GRAVIER OCTOBRE 2023 GRAVIER</t>
  </si>
  <si>
    <t>MUTUELLE OCTOBRE 2023 MALAKOFF -</t>
  </si>
  <si>
    <t>PREVOYANCE OCTOBRE 2023 MALAKOFF H</t>
  </si>
  <si>
    <t>PREVOYANCE PATR M GRAVIER NOVEMBRE 2023 GRAVIER</t>
  </si>
  <si>
    <t>MUTUELLE PATRONAL M GRAVIER NOVEMBRE 2023 GRAVIER</t>
  </si>
  <si>
    <t>PREVOYANCE NOVEMBRE 2023 MALAKOFF H</t>
  </si>
  <si>
    <t>MUTUELLE NOVEMBRE 2023 MALAKOFF -</t>
  </si>
  <si>
    <t>PREVOYANCE PATR M GRAVIER DECEMBRE 2023 GRAVIER</t>
  </si>
  <si>
    <t>MUTUELLE PATRONAL M GRAVIER DECEMBRE 2023 GRAVIER</t>
  </si>
  <si>
    <t>MUTUELLE DECEMBRE 2023 MALAKOFF -</t>
  </si>
  <si>
    <t>30 362 941 868</t>
  </si>
  <si>
    <t>Quittance EDF - Du 20/03/23 EDF BLEU C</t>
  </si>
  <si>
    <t>25425904403398</t>
  </si>
  <si>
    <t>23 866 331 928</t>
  </si>
  <si>
    <t>Quittance EDF - Du 22/09/23 EDF BLEU C</t>
  </si>
  <si>
    <t>4 08 7 010 875 710</t>
  </si>
  <si>
    <t>Quittance EDF - Du 07/12/23 EDF BLEU C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</si>
  <si>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</si>
  <si>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</si>
  <si>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</si>
  <si>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</si>
  <si>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</si>
  <si>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</si>
  <si>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</si>
  <si>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</si>
  <si>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</si>
  <si>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</si>
  <si>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</si>
  <si>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310823</t>
  </si>
  <si>
    <t>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</si>
  <si>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</si>
  <si>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</si>
  <si>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</si>
  <si>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</si>
  <si>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</si>
  <si>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</si>
  <si>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</si>
  <si>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</si>
  <si>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</si>
  <si>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</si>
  <si>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</si>
  <si>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</si>
  <si>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</si>
  <si>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</si>
  <si>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</si>
  <si>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</si>
  <si>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</si>
  <si>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</si>
  <si>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</si>
  <si>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</si>
  <si>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</si>
  <si>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</si>
  <si>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</si>
  <si>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</si>
  <si>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Honoraires syndic No: 8</t>
  </si>
  <si>
    <t>F2023000005289</t>
  </si>
  <si>
    <t>Honoraires syndic No: 9</t>
  </si>
  <si>
    <t>F2023000005905</t>
  </si>
  <si>
    <t>Honoraires syndic No: 10</t>
  </si>
  <si>
    <t>F2023000007187</t>
  </si>
  <si>
    <t>Honoraires syndic No: 11</t>
  </si>
  <si>
    <t>F2023000007801</t>
  </si>
  <si>
    <t>Honoraires syndic No: 12</t>
  </si>
  <si>
    <t>F2023000008561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</si>
  <si>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</si>
  <si>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</si>
  <si>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</si>
  <si>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</si>
  <si>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</si>
  <si>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Defense recours - Du 01/05/23 au 30/04/24 ASSURCOP</t>
  </si>
  <si>
    <t>2023ACS11425759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</si>
  <si>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</si>
  <si>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</si>
  <si>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</si>
  <si>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</si>
  <si>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</si>
  <si>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</si>
  <si>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</si>
  <si>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</si>
  <si>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</si>
  <si>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Recherche de fuite enterrée WOLINER VI</t>
  </si>
  <si>
    <t>23-12-13172</t>
  </si>
  <si>
    <t>WOLINER VICTOR</t>
  </si>
  <si>
    <t>Taxes foncieres - 2023 SIP NICE E</t>
  </si>
  <si>
    <t>2306447294737</t>
  </si>
  <si>
    <t>106584</t>
  </si>
  <si>
    <t>Maint porte + PG - 1Trim2023 ELECTRO AL</t>
  </si>
  <si>
    <t>VOF2019567</t>
  </si>
  <si>
    <t>Maint porte + PG - 2Trim2023 ELECTRO AL</t>
  </si>
  <si>
    <t>VOF 2045622</t>
  </si>
  <si>
    <t>Maint porte + PG - 4Trim2023 ELECTRO AL</t>
  </si>
  <si>
    <t>VOF 2090917</t>
  </si>
  <si>
    <t>Remplacement du fin de course portail ELECTRO AL</t>
  </si>
  <si>
    <t>U4 23004900</t>
  </si>
  <si>
    <t>F-23-01-0007</t>
  </si>
  <si>
    <t>F-23-02-0016</t>
  </si>
  <si>
    <t>Entretien - Mars 2023 ARTHEMA JA</t>
  </si>
  <si>
    <t>F-23-03-0047</t>
  </si>
  <si>
    <t>Entretien - Mai 2023 ARTHEMA JA</t>
  </si>
  <si>
    <t>F-23-05-0073</t>
  </si>
  <si>
    <t>F-23-05-0070</t>
  </si>
  <si>
    <t>Entretien - Juin 2023 ARTHEMA JA</t>
  </si>
  <si>
    <t>F-23-06-0081</t>
  </si>
  <si>
    <t>F-23-07-0091</t>
  </si>
  <si>
    <t>Entretien - Août 2023 ARTHEMA JA</t>
  </si>
  <si>
    <t>F-23-08-0098</t>
  </si>
  <si>
    <t>Entretien - Octobre 2023 ARTHEMA JA</t>
  </si>
  <si>
    <t>F-2023-10-4</t>
  </si>
  <si>
    <t>Tonte du parc ARTHEMA JA</t>
  </si>
  <si>
    <t>F-23-07-0090</t>
  </si>
  <si>
    <t>55739</t>
  </si>
  <si>
    <t>56088</t>
  </si>
  <si>
    <t>Analyse eau piscine - Août 2022 BIOFAQ LAB</t>
  </si>
  <si>
    <t>BFQ22F-4072</t>
  </si>
  <si>
    <t>SIMD16638/3800 COMTE</t>
  </si>
  <si>
    <t>SIMD16638/3800</t>
  </si>
  <si>
    <t>SIMD 16638/3800</t>
  </si>
  <si>
    <t>319535/1</t>
  </si>
  <si>
    <t>Encaissement Produits divers</t>
  </si>
  <si>
    <t>322374/1</t>
  </si>
  <si>
    <t>Solde charges au 31/12/2022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</si>
  <si>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</si>
  <si>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</si>
  <si>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</si>
  <si>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</si>
  <si>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</si>
  <si>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</si>
  <si>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22/04/2023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</si>
  <si>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</si>
  <si>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</si>
  <si>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</si>
  <si>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</si>
  <si>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</si>
  <si>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10180100249</t>
  </si>
  <si>
    <t>Quittance EDF - Du 22/09/23 - 310 kWh EDF ENTREP</t>
  </si>
  <si>
    <t>10182344840</t>
  </si>
  <si>
    <t>10184557059</t>
  </si>
  <si>
    <t>10186815898</t>
  </si>
  <si>
    <t>Surveillance compteur general PROX-HYDRO</t>
  </si>
  <si>
    <t>23RE032786</t>
  </si>
  <si>
    <t>Surveillance compteur general - 2023 OCEA SMART</t>
  </si>
  <si>
    <t>FSGEE/541263</t>
  </si>
  <si>
    <t>Gestion archives - 2023 PRO ARCHIV</t>
  </si>
  <si>
    <t>736812</t>
  </si>
  <si>
    <t>55800</t>
  </si>
  <si>
    <t>55991</t>
  </si>
  <si>
    <t>56209</t>
  </si>
  <si>
    <t>56376</t>
  </si>
  <si>
    <t>Redevance - Du 01/06/23 au 31/05/24 PROX-HYDRO</t>
  </si>
  <si>
    <t>23RE037423</t>
  </si>
  <si>
    <t>2302099</t>
  </si>
  <si>
    <t>Recherche de fuite P.C.R</t>
  </si>
  <si>
    <t>F6233/0223</t>
  </si>
  <si>
    <t>Contrat GSM G - 2Sem2022 ELECTROLIF</t>
  </si>
  <si>
    <t>23030595</t>
  </si>
  <si>
    <t>23070006</t>
  </si>
  <si>
    <t>23-07-3579</t>
  </si>
  <si>
    <t>A 22120489</t>
  </si>
  <si>
    <t>A 23030487</t>
  </si>
  <si>
    <t>23-06-2700</t>
  </si>
  <si>
    <t>23-10-5287</t>
  </si>
  <si>
    <t>A 22050053 DBLE REGLT</t>
  </si>
  <si>
    <t>Remplacement vanne de purge NICER</t>
  </si>
  <si>
    <t>0018615</t>
  </si>
  <si>
    <t>entretien ECS - Du 01/03/23 au 31/08/23 NICER</t>
  </si>
  <si>
    <t>0016625</t>
  </si>
  <si>
    <t>0017493</t>
  </si>
  <si>
    <t>0017472</t>
  </si>
  <si>
    <t>entretien ECS - Du 01/09/23 au 29/02/24 NICER</t>
  </si>
  <si>
    <t>0018208</t>
  </si>
  <si>
    <t>Contret GSM E - 2Sem2022 ELECTROLIF</t>
  </si>
  <si>
    <t>23030593</t>
  </si>
  <si>
    <t>Contret GSM E 1e sem 23 ELECTROLIF</t>
  </si>
  <si>
    <t>23070005</t>
  </si>
  <si>
    <t>A23090496</t>
  </si>
  <si>
    <t>A 23060596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</si>
  <si>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</si>
  <si>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</si>
  <si>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</si>
  <si>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</si>
  <si>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</si>
  <si>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</si>
  <si>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Adaptation ferme-porte AVEHO</t>
  </si>
  <si>
    <t>23-07-4139</t>
  </si>
  <si>
    <t>Quittance EDF - Du 13/01/23 - 2711 kWh EDF ENTREP</t>
  </si>
  <si>
    <t>10164883231</t>
  </si>
  <si>
    <t>10166789929+</t>
  </si>
  <si>
    <t>Quittance EDF - Du 14/02/23 - 2894 kWh EDF ENTREP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</si>
  <si>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</si>
  <si>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</si>
  <si>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</si>
  <si>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</si>
  <si>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</si>
  <si>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</si>
  <si>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</si>
  <si>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</si>
  <si>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</si>
  <si>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</si>
  <si>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</si>
  <si>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</si>
  <si>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</si>
  <si>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</si>
  <si>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</si>
  <si>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10186232924</t>
  </si>
  <si>
    <t>30002540209797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</si>
  <si>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</si>
  <si>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</si>
  <si>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</si>
  <si>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</si>
  <si>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</si>
  <si>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</si>
  <si>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</si>
  <si>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</si>
  <si>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</si>
  <si>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</si>
  <si>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</si>
  <si>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</si>
  <si>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</si>
  <si>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</si>
  <si>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</si>
  <si>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</si>
  <si>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</si>
  <si>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</si>
  <si>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</si>
  <si>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10186402633</t>
  </si>
  <si>
    <t>10187254030</t>
  </si>
  <si>
    <t>10188507959</t>
  </si>
  <si>
    <t>FA0967</t>
  </si>
  <si>
    <t>FC395723</t>
  </si>
  <si>
    <t>112738</t>
  </si>
  <si>
    <t>Reconstitution fds de caisse GRAVIER</t>
  </si>
  <si>
    <t>Loc contener - 2024 SULO FRANC</t>
  </si>
  <si>
    <t>91364296</t>
  </si>
  <si>
    <t>10193519772</t>
  </si>
  <si>
    <t>10195754207</t>
  </si>
  <si>
    <t>10198067704</t>
  </si>
  <si>
    <t>10200403512</t>
  </si>
  <si>
    <t>10202585923</t>
  </si>
  <si>
    <t>Quittance eau - Du 07/02/24 - 1574m3 REGIE EAU</t>
  </si>
  <si>
    <t>5885264</t>
  </si>
  <si>
    <t>Quittance eau - Du 07/02/24 - 1494m3 REGIE EAU</t>
  </si>
  <si>
    <t>5885265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</si>
  <si>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</si>
  <si>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</si>
  <si>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</si>
  <si>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</si>
  <si>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</si>
  <si>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</si>
  <si>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</si>
  <si>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</si>
  <si>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</si>
  <si>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</si>
  <si>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</si>
  <si>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</si>
  <si>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</si>
  <si>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</si>
  <si>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</si>
  <si>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</si>
  <si>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</si>
  <si>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</si>
  <si>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</si>
  <si>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</si>
  <si>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</si>
  <si>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</si>
  <si>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</si>
  <si>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</si>
  <si>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</si>
  <si>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</si>
  <si>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</si>
  <si>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</si>
  <si>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</si>
  <si>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</si>
  <si>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</si>
  <si>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</si>
  <si>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</si>
  <si>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</si>
  <si>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</si>
  <si>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</si>
  <si>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</si>
  <si>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</si>
  <si>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</si>
  <si>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</si>
  <si>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</si>
  <si>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</si>
  <si>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Contribution formation pro et Alternance 2023 OPCO</t>
  </si>
  <si>
    <t>Eb167092Y G498</t>
  </si>
  <si>
    <t>OPCO EP</t>
  </si>
  <si>
    <t>PREVOYANCE PATR M GRAVIER JANVIER 2024 GRAVIER</t>
  </si>
  <si>
    <t>MUTUELLE PATRONAL M GRAVIER JANVIER 2024 GRAVIER</t>
  </si>
  <si>
    <t>MUTUELLE JANVIER 2024 MALAKOFF -</t>
  </si>
  <si>
    <t>PREVOYANCE JANVIER 2024 MALAKOFF H</t>
  </si>
  <si>
    <t>MUTUELLE PATRONAL M GRAVIER FEVRIER 2024 GRAVIER</t>
  </si>
  <si>
    <t>PREVOYANCE PATR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</si>
  <si>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</si>
  <si>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</si>
  <si>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</si>
  <si>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</si>
  <si>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</si>
  <si>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PREVOYANCE PATR M GRAVIER AVRIL 2024 GRAVIER</t>
  </si>
  <si>
    <t>MUTUELLE PATRONAL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</si>
  <si>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</si>
  <si>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</si>
  <si>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</si>
  <si>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</si>
  <si>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</si>
  <si>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PREVOYANCE PATR M GRAVIER JUIN 2024 GRAVIER</t>
  </si>
  <si>
    <t>MUTUELLE PATRONAL M GRAVIER JUIN 2024 GRAVIER</t>
  </si>
  <si>
    <t>MUTUELLE JUIN 2024 MALAKOFF -</t>
  </si>
  <si>
    <t>PREVOYANCE JUIN 2024 MALAKOFF H</t>
  </si>
  <si>
    <t>33 393 474 223</t>
  </si>
  <si>
    <t>27 698 829 289</t>
  </si>
  <si>
    <t>34809959926</t>
  </si>
  <si>
    <t>Aff PISTERMAN &amp; AUTRES PONCHARDIE</t>
  </si>
  <si>
    <t>2024/02/10350</t>
  </si>
  <si>
    <t>PONCHARDIER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</si>
  <si>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</si>
  <si>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</si>
  <si>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</si>
  <si>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</si>
  <si>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</si>
  <si>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</si>
  <si>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EVEN:393229</t>
  </si>
  <si>
    <t>Multirisque 2024 COMTE</t>
  </si>
  <si>
    <t>CONTRAT AE123638</t>
  </si>
  <si>
    <t>F24/081</t>
  </si>
  <si>
    <t>VOF 2115384</t>
  </si>
  <si>
    <t>Maint porte + PG - 2Trim2024 ELECTRO AL</t>
  </si>
  <si>
    <t>VOF 2138265</t>
  </si>
  <si>
    <t>Entretien - Février 2024 ARTHEMA JA</t>
  </si>
  <si>
    <t>F-2024-02-62</t>
  </si>
  <si>
    <t>Entretien - Mars 2024 ARTHEMA JA</t>
  </si>
  <si>
    <t>F-2024-03-81</t>
  </si>
  <si>
    <t>F-2024-04-92</t>
  </si>
  <si>
    <t>F-2024-05-105</t>
  </si>
  <si>
    <t>F-2024-06-117</t>
  </si>
  <si>
    <t>Elagage de 2 micoucouliers ARTHEMA JA</t>
  </si>
  <si>
    <t>F-2024-06-120</t>
  </si>
  <si>
    <t>Surveillance compteur general - 2024/2025 OCEA SMA</t>
  </si>
  <si>
    <t>FSGEE625286</t>
  </si>
  <si>
    <t>325935/1</t>
  </si>
  <si>
    <t>101936661362</t>
  </si>
  <si>
    <t>10195884933</t>
  </si>
  <si>
    <t>10198203633</t>
  </si>
  <si>
    <t>10200531097</t>
  </si>
  <si>
    <t>10202720410</t>
  </si>
  <si>
    <t>Gestion des Archives - 2024 PRO ARCHIV</t>
  </si>
  <si>
    <t>799834</t>
  </si>
  <si>
    <t>Affranchissement - Du 29/02/24 ATHOME COT</t>
  </si>
  <si>
    <t>FC 0000614181</t>
  </si>
  <si>
    <t>Affranchissement - Du 02/02/2024 ATHOME COT</t>
  </si>
  <si>
    <t>FC 0000595967</t>
  </si>
  <si>
    <t>Affranchissement ATHOME COT</t>
  </si>
  <si>
    <t>FC_0000625681</t>
  </si>
  <si>
    <t>Honoraires syndic No: 1</t>
  </si>
  <si>
    <t>F2024000000284</t>
  </si>
  <si>
    <t>Honoraires syndic No: 2</t>
  </si>
  <si>
    <t>F2024000001059</t>
  </si>
  <si>
    <t>Honoraires syndic No: 3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</si>
  <si>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</si>
  <si>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</si>
  <si>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</si>
  <si>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</si>
  <si>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</si>
  <si>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</si>
  <si>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</si>
  <si>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56619</t>
  </si>
  <si>
    <t>56613</t>
  </si>
  <si>
    <t>Travaux électriques SEGELEC</t>
  </si>
  <si>
    <t>FC397837</t>
  </si>
  <si>
    <t>Remplacement minuterie SEGELEC</t>
  </si>
  <si>
    <t>FC397903</t>
  </si>
  <si>
    <t>Defense recours - 2024/2025 ASSURCOPRO</t>
  </si>
  <si>
    <t>2024ACS11565901</t>
  </si>
  <si>
    <t>Entretien Ascenseur - 1Trim2024 AVEHO</t>
  </si>
  <si>
    <t>24-01-0178</t>
  </si>
  <si>
    <t>Entretien Ascenseur - 2Trim2024 AVEHO</t>
  </si>
  <si>
    <t>24-04-2530</t>
  </si>
  <si>
    <t>0020301</t>
  </si>
  <si>
    <t>0020982</t>
  </si>
  <si>
    <t>0021007</t>
  </si>
  <si>
    <t>0020979</t>
  </si>
  <si>
    <t>0020966</t>
  </si>
  <si>
    <t>A23120502</t>
  </si>
  <si>
    <t>Maintenance asc - 2Trim2024 ELECTROLIF</t>
  </si>
  <si>
    <t>A23120501</t>
  </si>
  <si>
    <t>Remplacement ballon Bat R NICER</t>
  </si>
  <si>
    <t>0020135</t>
  </si>
  <si>
    <t>Intervention chaufferie Ballon N°5 Bat R NICER</t>
  </si>
  <si>
    <t>0019876</t>
  </si>
  <si>
    <t>10190755853</t>
  </si>
  <si>
    <t>10193028263</t>
  </si>
  <si>
    <t>10195229999</t>
  </si>
  <si>
    <t>10197454969</t>
  </si>
  <si>
    <t>10199926265</t>
  </si>
  <si>
    <t>10202097836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</si>
  <si>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</si>
  <si>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</si>
  <si>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</si>
  <si>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</si>
  <si>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</si>
  <si>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</si>
  <si>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</si>
  <si>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Remplacement vannes APCH - SAN</t>
  </si>
  <si>
    <t>FA2133</t>
  </si>
  <si>
    <t>Remplacement M. GRAVIER - Du 14/11 au 15 /11/22FP</t>
  </si>
  <si>
    <t>Remplacement M. GRAVIER - Du 02/01 au 31/01/23 FPE</t>
  </si>
  <si>
    <t>Remplacement M. GRAVIER - Du 01/02 au 15/02/23 FPE</t>
  </si>
  <si>
    <t>Remplacement M. GRAVIER - Du 03/07 au 16/07/23 FPE</t>
  </si>
  <si>
    <t>Quittance EDF - Du 20/04/23 - 1075 kWh EDF ENTREP</t>
  </si>
  <si>
    <t>Quittance EDF - Du 20/05/23 - 1452 kWh EDF ENTREP</t>
  </si>
  <si>
    <t>Quittance EDF - Du 20/06/23 - 1868 kWh EDF ENTREP</t>
  </si>
  <si>
    <t>Quittance EDF - Du 20/10/23 - 1917 kWh EDF ENTREP</t>
  </si>
  <si>
    <t>Quittance EDF - Du 20/11/23 - 1926 kWh EDF ENTREP</t>
  </si>
  <si>
    <t>Quittance EDF - Du 20/12/23 -782 kWh EDF ENTREP</t>
  </si>
  <si>
    <t>Quittance EDF - Du 20/04/23 - 1975 kWh EDF ENTREP</t>
  </si>
  <si>
    <t>Quittance EDF - Du 20/12/23 - 782 kWh EDF ENTREP</t>
  </si>
  <si>
    <t>Déduction Eau piscine</t>
  </si>
  <si>
    <t>Quittance eau - Du 23/08/23 - 565m3 REGIE EAU</t>
  </si>
  <si>
    <t>Eau chaude loge 11.31e x 2M3</t>
  </si>
  <si>
    <t>Consommation eau loge 4.11e x 11M3</t>
  </si>
  <si>
    <t>Quittance EDF - Du 22/01/23 EDF BLEU C</t>
  </si>
  <si>
    <t>Quittance EDF - Du 22/05/23 EDF BLEU C</t>
  </si>
  <si>
    <t>Quittance EDF - Du 23/07/23 EDF BLEU C</t>
  </si>
  <si>
    <t>Vérif extincteurs 2023 PRO INCEND</t>
  </si>
  <si>
    <t>Verif extincteurs 2023</t>
  </si>
  <si>
    <t>Maint porte + PG - 3Trim2023 ELECTRO AL</t>
  </si>
  <si>
    <t>VOF2066526</t>
  </si>
  <si>
    <t>Entretien - Janvier 2023 ARTHEMA JA</t>
  </si>
  <si>
    <t>Entretien - Février 2023 ARTHEMA JA</t>
  </si>
  <si>
    <t>Entretien - Avril 2023 ARTHEMA JA</t>
  </si>
  <si>
    <t>Entretien - Juillet 2023 ARTHEMA JA</t>
  </si>
  <si>
    <t>Entretien jardin - Septembre 2023 ARTHEMA JA</t>
  </si>
  <si>
    <t>SEPTEMBRE 2023</t>
  </si>
  <si>
    <t>Entretien - Novembre 2023 ARTHEMA JA</t>
  </si>
  <si>
    <t>F-2023-11-21</t>
  </si>
  <si>
    <t>Entretien - Décembre 2023 ARTHEMA JA</t>
  </si>
  <si>
    <t>F-2023-12-35</t>
  </si>
  <si>
    <t>Repartition charges employés immeuble 2023</t>
  </si>
  <si>
    <t>Location conteneurs 2023</t>
  </si>
  <si>
    <t>Quittance EDF - Du 22/04/23 - 271 kWh EDF ENTREP</t>
  </si>
  <si>
    <t>Quittance EDF - Du 22/05/23 - 305 kWh EDF ENTREP</t>
  </si>
  <si>
    <t>Quittance EDF - Du 22/08/23 - 430 kWh EDF ENTREP</t>
  </si>
  <si>
    <t>Quittance EDF - Du 22/10/23 - 480 kWh EDF ENTREP</t>
  </si>
  <si>
    <t>Quittance EDF - Du 22/11/23 - 446 kWh EDF ENTREP</t>
  </si>
  <si>
    <t>Quittance EDF - Du 22/12/23 - 432 kWh EDF ENTREP</t>
  </si>
  <si>
    <t>Charges 2022</t>
  </si>
  <si>
    <t>Consommation Eau piscine</t>
  </si>
  <si>
    <t>Déduction QP Honoraires  syndic GER</t>
  </si>
  <si>
    <t>QP Honoraires  syndic GER</t>
  </si>
  <si>
    <t>Consommation eau 4.11e x 2015M3</t>
  </si>
  <si>
    <t>QP Honoraires  syndic Village</t>
  </si>
  <si>
    <t>Q/P Surveillance 2023</t>
  </si>
  <si>
    <t>Contrat GSM G - 1Sem2020 ELECTROLIF</t>
  </si>
  <si>
    <t>Contrat GSM G - 1Sem2023 ELECTROLIF</t>
  </si>
  <si>
    <t>Contrat GSM G - 3Trim2023 AVEHO</t>
  </si>
  <si>
    <t>Maintenance asc - 1Trim2023 ELECTROLIF</t>
  </si>
  <si>
    <t>Maintenance asc - 2Trim2023 ELECTROLIF</t>
  </si>
  <si>
    <t>Maintenance asc - Juin2023 AVEHO</t>
  </si>
  <si>
    <t>Maintenance asc - 3Trim2023 AVEHO</t>
  </si>
  <si>
    <t>Maintenance asc - 4Trim2023 AVEHO</t>
  </si>
  <si>
    <t>Regul int reglette ex 2022 ELECTROLIF</t>
  </si>
  <si>
    <t>Rempt joint ballon NICER</t>
  </si>
  <si>
    <t>Détartrage ballons NICER</t>
  </si>
  <si>
    <t>Maintennace asc - 2Trim2023 ELECTROLIF</t>
  </si>
  <si>
    <t>Maintenance asc - 3Trim2023 ELECTROLIF</t>
  </si>
  <si>
    <t>Maintenance asc - 4Trim2023 ELECTROLIF</t>
  </si>
  <si>
    <t>Quittance EDF - Du 13/08/23 - 1600 kWh EDF ENTREP</t>
  </si>
  <si>
    <t>Quittance EDF - Du 14/11/23 - 2340 kWh EDF ENTREP</t>
  </si>
  <si>
    <t>Quittance EDF - Du 13/12/23 - 2672 kWh EDF ENTREP</t>
  </si>
  <si>
    <t>Eau froide chauffée 4.11e x 311M3</t>
  </si>
  <si>
    <t>Quittance EDF - Du 13/08/23 - 3396 kWh EDF ENTREP</t>
  </si>
  <si>
    <t>Quittance EDF - Du 16/11/23 - 4836 kWh EDF ENTREP</t>
  </si>
  <si>
    <t>Quittance EDF - Du 27/11/23 - 4836 kWh EDF ENTREP</t>
  </si>
  <si>
    <t>Quittance EDF - Du 14/12/23 - 5458 kWh EDF ENTREP</t>
  </si>
  <si>
    <t>Eau froide chauffée 4.11e x 365M3</t>
  </si>
  <si>
    <t>Eau froide chauffée 4.11e x 431M3</t>
  </si>
  <si>
    <t>Remplacement collecteur EC APCH - SAN</t>
  </si>
  <si>
    <t>Dysfonctionnement éclairage SEGELEC</t>
  </si>
  <si>
    <t>Refection enrobé ARTHEMA JA</t>
  </si>
  <si>
    <t>F-2025-03-262</t>
  </si>
  <si>
    <t>Location salle AG du 19/05/25 PAROISSE S</t>
  </si>
  <si>
    <t>LOCATION SALLE AG 19/05</t>
  </si>
  <si>
    <t>Loc contener 2025 SULO FRANC</t>
  </si>
  <si>
    <t>91419858</t>
  </si>
  <si>
    <t>EDF Portail cpteur 831 10%</t>
  </si>
  <si>
    <t>Quittance EDF du 20/01/25-  260kwh EDF ENTREP</t>
  </si>
  <si>
    <t>10218365559</t>
  </si>
  <si>
    <t>10220572243</t>
  </si>
  <si>
    <t>EDF lumiere cpteur 831</t>
  </si>
  <si>
    <t>n°6871131</t>
  </si>
  <si>
    <t>Quittance Eau Arrosage - DU 28/02/25- 1183 M3 REGI</t>
  </si>
  <si>
    <t>6888244</t>
  </si>
  <si>
    <t>Cotisation 2025 AMETRA 06</t>
  </si>
  <si>
    <t>PAS DECEMBRE 2024 DGFIP</t>
  </si>
  <si>
    <t>SALAIRE BRUT M GRAVIER JANVIER 2025 GRAVIER</t>
  </si>
  <si>
    <t>3800 0004 01/01/2025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</si>
  <si>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</si>
  <si>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</si>
  <si>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</si>
  <si>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</si>
  <si>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</si>
  <si>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</si>
  <si>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URSSAF DECEMBRE 2024 URSSAF P.A</t>
  </si>
  <si>
    <t>99S120244338841241300014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</si>
  <si>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</si>
  <si>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</si>
  <si>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</si>
  <si>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</si>
  <si>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</si>
  <si>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</si>
  <si>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</si>
  <si>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RETRAITE PATRONALE M GRAVIER JANVIER 2025 GRAVIER</t>
  </si>
  <si>
    <t>RETRAITE PATRONALE M GRAVIER FEVRIER 2025 GRAVIER</t>
  </si>
  <si>
    <t>RETRAITE PATRONALE M GRAVIER MARS 2025 GRAVIER</t>
  </si>
  <si>
    <t>MUTUELLE DECEMBRE 2024 MALAKOFF -</t>
  </si>
  <si>
    <t>PREVOYANCE PATR M GRAVIER JANVIER 2025 GRAVIER</t>
  </si>
  <si>
    <t>MUTUELLE PATRONAL M GRAVIER JANVIER 2025 GRAVIER</t>
  </si>
  <si>
    <t>PREVOYANCE JANVIER 2025 MALAKOFF H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</si>
  <si>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</si>
  <si>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</si>
  <si>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</si>
  <si>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</si>
  <si>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</si>
  <si>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FC_0000935536</t>
  </si>
  <si>
    <t>FC_0000939820</t>
  </si>
  <si>
    <t>Honoraires Syndic</t>
  </si>
  <si>
    <t>F2025000003601</t>
  </si>
  <si>
    <t>SUIVI PROCEURE VILLAGE/ COLLECTIF</t>
  </si>
  <si>
    <t>F2025000001725</t>
  </si>
  <si>
    <t>Sinistre gestion &amp; suivi - SIMD 28309/3800</t>
  </si>
  <si>
    <t>F2025000003271</t>
  </si>
  <si>
    <t>REUNION MO PISCINE 25/03/25</t>
  </si>
  <si>
    <t>F2025000003454</t>
  </si>
  <si>
    <t>SUIVI PROCEDURE VILLAGE 25/03/25</t>
  </si>
  <si>
    <t>F2025000003436</t>
  </si>
  <si>
    <t>Sinistre gestion &amp; suivi - SIMD 28004/3800</t>
  </si>
  <si>
    <t>F2025000003046</t>
  </si>
  <si>
    <t>Prime annuelle 2025 GENERALI</t>
  </si>
  <si>
    <t>avis d'échéance</t>
  </si>
  <si>
    <t>GENERALI</t>
  </si>
  <si>
    <t>Maint porte + PG 1Trim2025 ELECTRO AL</t>
  </si>
  <si>
    <t>VOF 2210459</t>
  </si>
  <si>
    <t>Maint porte + PG 2EME TRIM 2025 ELECTRO AL</t>
  </si>
  <si>
    <t>VOF 2233261</t>
  </si>
  <si>
    <t>Contrat entretien asc. simple</t>
  </si>
  <si>
    <t>Maintenance Asc E 1ER TRIM 25 ELECTROLIF</t>
  </si>
  <si>
    <t>25010516</t>
  </si>
  <si>
    <t>Maintenance Asc E 2EME TRIM 25 ELECTROLIF</t>
  </si>
  <si>
    <t>25030505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</si>
  <si>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</si>
  <si>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</si>
  <si>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</si>
  <si>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</si>
  <si>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</si>
  <si>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</si>
  <si>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EDF Garages cpteur 814 25%</t>
  </si>
  <si>
    <t>Quittance EDF du 22/01/25- Bat E-  581 kwh EDF ENT</t>
  </si>
  <si>
    <t>10218485580</t>
  </si>
  <si>
    <t>10220685966</t>
  </si>
  <si>
    <t>Redevance DU 01/2025 AU 12/2025 PROX-HYDRO</t>
  </si>
  <si>
    <t>25RE031677</t>
  </si>
  <si>
    <t>Surveillance compteur general 2025 OCEA SMART</t>
  </si>
  <si>
    <t>FSGEE713027</t>
  </si>
  <si>
    <t>Gestion des Archives -2025 PRO ARCHIV</t>
  </si>
  <si>
    <t>863993</t>
  </si>
  <si>
    <t>B&amp;D affranchissement  4eme trim 24 AFFRANCHIS</t>
  </si>
  <si>
    <t>3800</t>
  </si>
  <si>
    <t>FC_0000918818</t>
  </si>
  <si>
    <t>F2025000001367</t>
  </si>
  <si>
    <t>F2025000002457</t>
  </si>
  <si>
    <t>EDF lumiere cpteur 831 5%</t>
  </si>
  <si>
    <t>Curage colonne EU EV HYDROSONIC</t>
  </si>
  <si>
    <t>112766</t>
  </si>
  <si>
    <t>EDF lumiere cpteur 831 4.90%</t>
  </si>
  <si>
    <t>Contrat GSM  2Sem2024 ELECTROLIF</t>
  </si>
  <si>
    <t>FA25010029</t>
  </si>
  <si>
    <t>Entretien Ascenseur - 1er trim 25 AVEHO</t>
  </si>
  <si>
    <t>25-01-0828</t>
  </si>
  <si>
    <t>Entretien ECS NICER</t>
  </si>
  <si>
    <t>0024115</t>
  </si>
  <si>
    <t>Force motrice cpteur 814 20%</t>
  </si>
  <si>
    <t>Contret GSM - 2Sem2024 ELECTROLIF</t>
  </si>
  <si>
    <t>FA25010028</t>
  </si>
  <si>
    <t>Contrat GSM Bloc R - 2eme sem 24 ELECTROLIF</t>
  </si>
  <si>
    <t>FA25010030</t>
  </si>
  <si>
    <t>Quittance EDF du 14/01/25- Bat G- 2704 kw EDF ENTR</t>
  </si>
  <si>
    <t>10217887362</t>
  </si>
  <si>
    <t>10220068577</t>
  </si>
  <si>
    <t>Quittance EDF DU 13/03/25- 2437 KWH EDF ENTREP</t>
  </si>
  <si>
    <t>10222184022</t>
  </si>
  <si>
    <t>10217974746</t>
  </si>
  <si>
    <t>10220424200</t>
  </si>
  <si>
    <t>Quittance EDF DU 14/03/25- 5530 KWH EDF ENTREP</t>
  </si>
  <si>
    <t>10222260295</t>
  </si>
  <si>
    <t>EDF lumiere cpteur 814 17.50%</t>
  </si>
  <si>
    <t>Rempt alimentation ASUD ELEC</t>
  </si>
  <si>
    <t>2123</t>
  </si>
  <si>
    <t>Réfection armoire extiéreure portail SEGELEC</t>
  </si>
  <si>
    <t>FC398578</t>
  </si>
  <si>
    <t>Remplacement gardien - Du 06/06/24 au 30/06/24 WEL</t>
  </si>
  <si>
    <t>2406257</t>
  </si>
  <si>
    <t>WELCOME NETTOYAGE</t>
  </si>
  <si>
    <t>Restitution fonds de caisse GRAVIER</t>
  </si>
  <si>
    <t>rembt factures</t>
  </si>
  <si>
    <t>Restitutution fonds de caisse GRAVIER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</si>
  <si>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</si>
  <si>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</si>
  <si>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</si>
  <si>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</si>
  <si>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</si>
  <si>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</si>
  <si>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</si>
  <si>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Quittance eau - Du 05/08/24- 1582m3 REGIE EAU</t>
  </si>
  <si>
    <t>6399518</t>
  </si>
  <si>
    <t>Conso Eau piscine</t>
  </si>
  <si>
    <t>Quittance eau - Du 07/08/24 - 6m3 REGIE EAU</t>
  </si>
  <si>
    <t>6402054</t>
  </si>
  <si>
    <t>Eau chaude loge 11.93e x 1M3</t>
  </si>
  <si>
    <t>Consommation eau loge 4.73e x 4M3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</si>
  <si>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</si>
  <si>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</si>
  <si>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</si>
  <si>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</si>
  <si>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</si>
  <si>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</si>
  <si>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</si>
  <si>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</si>
  <si>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</si>
  <si>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</si>
  <si>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</si>
  <si>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</si>
  <si>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</si>
  <si>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</si>
  <si>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</si>
  <si>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</si>
  <si>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</si>
  <si>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</si>
  <si>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</si>
  <si>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</si>
  <si>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</si>
  <si>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</si>
  <si>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</si>
  <si>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</si>
  <si>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</si>
  <si>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</si>
  <si>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</si>
  <si>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</si>
  <si>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</si>
  <si>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</si>
  <si>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</si>
  <si>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</si>
  <si>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</si>
  <si>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</si>
  <si>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</si>
  <si>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</si>
  <si>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</si>
  <si>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</si>
  <si>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</si>
  <si>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TAXE/SALAIRES ANNUEL 2024 SIE NICE O</t>
  </si>
  <si>
    <t>AGEFOS ANNUEL 2024 AGEFOS PME</t>
  </si>
  <si>
    <t>Evaluation risques pro LAVAINE CO</t>
  </si>
  <si>
    <t>FC2446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</si>
  <si>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</si>
  <si>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</si>
  <si>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</si>
  <si>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</si>
  <si>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</si>
  <si>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</si>
  <si>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</si>
  <si>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</si>
  <si>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</si>
  <si>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</si>
  <si>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</si>
  <si>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</si>
  <si>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</si>
  <si>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</si>
  <si>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</si>
  <si>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</si>
  <si>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</si>
  <si>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</si>
  <si>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</si>
  <si>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</si>
  <si>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</si>
  <si>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0972675006</t>
  </si>
  <si>
    <t>prelv 08/10</t>
  </si>
  <si>
    <t>26 394 042 369</t>
  </si>
  <si>
    <t>palatine</t>
  </si>
  <si>
    <t>BANQUE PALATINE</t>
  </si>
  <si>
    <t>Etude avt projet renovation bassin L-H FABIAN</t>
  </si>
  <si>
    <t>64-24-14-01</t>
  </si>
  <si>
    <t>L-H FABIAN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</si>
  <si>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</si>
  <si>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</si>
  <si>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</si>
  <si>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</si>
  <si>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</si>
  <si>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</si>
  <si>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</si>
  <si>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</si>
  <si>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SIMD20798/3800 Choc vehicule HERMES</t>
  </si>
  <si>
    <t>Vérif extincteurs 2024  PRO INCENDIE</t>
  </si>
  <si>
    <t>Programmation 1 clé vigik SEGELEC</t>
  </si>
  <si>
    <t>FC397689</t>
  </si>
  <si>
    <t>Maint porte + PG - 1Trim2024 ELECTRO AL</t>
  </si>
  <si>
    <t>Maint porte + PG - 3Trim2024 ELECTRO AL</t>
  </si>
  <si>
    <t>VOF 2162549</t>
  </si>
  <si>
    <t>Maint porte + PG - 4Trim2024 ELECTRO AL</t>
  </si>
  <si>
    <t>VOF 2185455</t>
  </si>
  <si>
    <t>Panne Portail SEGELEC</t>
  </si>
  <si>
    <t>FC398352</t>
  </si>
  <si>
    <t>Entretien - Janvier 2024 ARTHEMA JA</t>
  </si>
  <si>
    <t>F-2024-01-48</t>
  </si>
  <si>
    <t>Entretien - Avril 2024 ARTHEMA JA</t>
  </si>
  <si>
    <t>Entretien - Mai 2024 ARTHEMA JA</t>
  </si>
  <si>
    <t>Entretien - Juin 2024 ARTHEMA JA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</si>
  <si>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</si>
  <si>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</si>
  <si>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</si>
  <si>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</si>
  <si>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</si>
  <si>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</si>
  <si>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</si>
  <si>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</si>
  <si>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</si>
  <si>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</si>
  <si>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</si>
  <si>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</si>
  <si>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Repartition charges employés immeuble 2024</t>
  </si>
  <si>
    <t>SIMD20798/3800</t>
  </si>
  <si>
    <t>355014/1</t>
  </si>
  <si>
    <t>Solde charges au 31/12/2023</t>
  </si>
  <si>
    <t>Curage colonne HYDROSONIC</t>
  </si>
  <si>
    <t>Location conteneurs 2024</t>
  </si>
  <si>
    <t>10205032095</t>
  </si>
  <si>
    <t>10207278338</t>
  </si>
  <si>
    <t>10211645472</t>
  </si>
  <si>
    <t>10209553915</t>
  </si>
  <si>
    <t>10213952464</t>
  </si>
  <si>
    <t>09 72 67</t>
  </si>
  <si>
    <t>Vérification blocs autonomes 2024 PRO INCEND</t>
  </si>
  <si>
    <t>114612 / B M</t>
  </si>
  <si>
    <t>Redevance  DU 01/01/24 AU 31/12/24 PROX-HYDRO</t>
  </si>
  <si>
    <t>24RE044657</t>
  </si>
  <si>
    <t>Charges 2023</t>
  </si>
  <si>
    <t>Location salle AG du 10/12/24 PAROISSE S</t>
  </si>
  <si>
    <t>Location salle AG du 10/12/24</t>
  </si>
  <si>
    <t>Affranchissements du 30/06/24 EDILINK</t>
  </si>
  <si>
    <t>F24071612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</si>
  <si>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</si>
  <si>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</si>
  <si>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</si>
  <si>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</si>
  <si>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</si>
  <si>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</si>
  <si>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</si>
  <si>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</si>
  <si>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</si>
  <si>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</si>
  <si>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Honoraires syndic No: 7</t>
  </si>
  <si>
    <t>F2024000009029</t>
  </si>
  <si>
    <t>F2024000009714</t>
  </si>
  <si>
    <t>F2024000010698</t>
  </si>
  <si>
    <t>F2024000012397</t>
  </si>
  <si>
    <t>F2024000013392</t>
  </si>
  <si>
    <t>F2024000014597</t>
  </si>
  <si>
    <t>Taxes foncieres 2024 SIP NICE E</t>
  </si>
  <si>
    <t>2406447497116</t>
  </si>
  <si>
    <t>AVOIR PISCINE SO</t>
  </si>
  <si>
    <t>56816</t>
  </si>
  <si>
    <t>Produits psicine PISCINE SO</t>
  </si>
  <si>
    <t>JUILLET 24</t>
  </si>
  <si>
    <t>56911</t>
  </si>
  <si>
    <t>Analyse eau piscine CARSO LABO</t>
  </si>
  <si>
    <t>LSE24F-73634</t>
  </si>
  <si>
    <t>LSE24F-86419</t>
  </si>
  <si>
    <t>Déduction QP Honoraires syndic Village</t>
  </si>
  <si>
    <t>Etiquette BAL GRAV IMMO</t>
  </si>
  <si>
    <t>FA 24-2492</t>
  </si>
  <si>
    <t>Consommation eau 4.73e x 2023M3</t>
  </si>
  <si>
    <t>Redevance PROX-HYDRO</t>
  </si>
  <si>
    <t>24RE044668</t>
  </si>
  <si>
    <t>Plus electricité tableau alim SEGELEC</t>
  </si>
  <si>
    <t>FC398767</t>
  </si>
  <si>
    <t>Groom porte d'entrée CLEF PRO S</t>
  </si>
  <si>
    <t>2024-639</t>
  </si>
  <si>
    <t>CLEF PRO SERRURIER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</si>
  <si>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</si>
  <si>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</si>
  <si>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</si>
  <si>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</si>
  <si>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</si>
  <si>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</si>
  <si>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</si>
  <si>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</si>
  <si>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</si>
  <si>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</si>
  <si>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</si>
  <si>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</si>
  <si>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</si>
  <si>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</si>
  <si>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</si>
  <si>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</si>
  <si>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</si>
  <si>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</si>
  <si>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Entretien ECS - Du 01/09/24 au 28/02/25 NICER</t>
  </si>
  <si>
    <t>0021929</t>
  </si>
  <si>
    <t>Repartition Entretien E &amp; R NICER</t>
  </si>
  <si>
    <t>Rempt joints NICER</t>
  </si>
  <si>
    <t>Rempt soupage NICER</t>
  </si>
  <si>
    <t>Repartition divers reparations bat E&amp;R NICER</t>
  </si>
  <si>
    <t>Contret GSM E ELECTROLIF</t>
  </si>
  <si>
    <t>FA24060212</t>
  </si>
  <si>
    <t>Maintenance asc - 1Trim2024 ELECTROLIF</t>
  </si>
  <si>
    <t>Maintenance asc - 3Trim2024 ELECTROLIF</t>
  </si>
  <si>
    <t>24060554</t>
  </si>
  <si>
    <t>Maintenance asc - 4Triim2024 ELECTROLIF</t>
  </si>
  <si>
    <t>24090446</t>
  </si>
  <si>
    <t>Repartition Entretien E NICER</t>
  </si>
  <si>
    <t>Repartition divers reparations NICER</t>
  </si>
  <si>
    <t>Contrat GSM R ELECTROLIF</t>
  </si>
  <si>
    <t>FA24060211</t>
  </si>
  <si>
    <t>Maintenance asc - 4Trim2024 ELECTROLIF</t>
  </si>
  <si>
    <t>24090445</t>
  </si>
  <si>
    <t>Repartition Entretien R NICER</t>
  </si>
  <si>
    <t>10204401342</t>
  </si>
  <si>
    <t>10206591723</t>
  </si>
  <si>
    <t>10208894525</t>
  </si>
  <si>
    <t>10211030147</t>
  </si>
  <si>
    <t>10213292508</t>
  </si>
  <si>
    <t>10215557671</t>
  </si>
  <si>
    <t>Eau froide chauffée 4.73e x 346M3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</si>
  <si>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</si>
  <si>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</si>
  <si>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</si>
  <si>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</si>
  <si>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</si>
  <si>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</si>
  <si>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</si>
  <si>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</si>
  <si>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</si>
  <si>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</si>
  <si>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BAT E - APPARTEMENT SERRY - Passage caméra HYDROSO</t>
  </si>
  <si>
    <t>117006</t>
  </si>
  <si>
    <t>Conso EDF  Véhicule electrique  2021 à 2024 ROQUET</t>
  </si>
  <si>
    <t>ORKIN - PRO-NUISIBLES 06</t>
  </si>
  <si>
    <t>Date importation site</t>
  </si>
  <si>
    <t>Recherche de fuite par gaz traceur SEIH CONSU</t>
  </si>
  <si>
    <t>FACO0001762</t>
  </si>
  <si>
    <t>SEIH CONSULTING</t>
  </si>
  <si>
    <t>Desinsectisation</t>
  </si>
  <si>
    <t>Guepes / frelons ORKIN - PR</t>
  </si>
  <si>
    <t>250705198</t>
  </si>
  <si>
    <t>ENTRETIEN PC REMPLACMENT EMPLOYE WELCOME NE</t>
  </si>
  <si>
    <t>2505210</t>
  </si>
  <si>
    <t>FACT WELCOME NE</t>
  </si>
  <si>
    <t>2506252</t>
  </si>
  <si>
    <t>Travaux curage</t>
  </si>
  <si>
    <t>Debouchage reseau EU HYDROSONIC</t>
  </si>
  <si>
    <t>121371</t>
  </si>
  <si>
    <t>Achat ppats rats</t>
  </si>
  <si>
    <t>Achat plantes PETRUCCIOLI</t>
  </si>
  <si>
    <t>achat pile pour goutte a goute</t>
  </si>
  <si>
    <t>Achat plante</t>
  </si>
  <si>
    <t>Divers achats GRAVIER</t>
  </si>
  <si>
    <t>Divers achats</t>
  </si>
  <si>
    <t>Quittance EDF du 20/03/25- 237 kwh EDF ENTREP</t>
  </si>
  <si>
    <t>10222705182</t>
  </si>
  <si>
    <t>Quittance EDF du 20/04/25- 566 kwh EDF ENTREP</t>
  </si>
  <si>
    <t>10224866144</t>
  </si>
  <si>
    <t>Quittance EDF du 20/05/25- 1979 kwh EDF ENTREP</t>
  </si>
  <si>
    <t>10227004592</t>
  </si>
  <si>
    <t>10229207865</t>
  </si>
  <si>
    <t>10231357559</t>
  </si>
  <si>
    <t>10233472575</t>
  </si>
  <si>
    <t>Quittance eau Du 22/08/25 REGIE EAU</t>
  </si>
  <si>
    <t>7261968</t>
  </si>
  <si>
    <t>PAS MARS 2025 DGFIP</t>
  </si>
  <si>
    <t>SALAIRE BRUT M GRAVIER AVRIL 2025 GRAVIER</t>
  </si>
  <si>
    <t>3800 0004 01/04/2025</t>
  </si>
  <si>
    <t>PAS AVRIL 2025 DGFIP</t>
  </si>
  <si>
    <t>SALAIRE BRUT M GRAVIER MAI 2025 GRAVIER</t>
  </si>
  <si>
    <t>3800 0004 01/05/2025</t>
  </si>
  <si>
    <t>PAS MAI 2025 DGFIP</t>
  </si>
  <si>
    <t>SALAIRE BRUT M GRAVIER JUIN 2025 GRAVIER</t>
  </si>
  <si>
    <t>3800 0004 01/06/2025</t>
  </si>
  <si>
    <t>PAS JUIN 2025 DGFIP</t>
  </si>
  <si>
    <t>SALAIRE BRUT M GRAVIER JUILLET 2025 GRAVIER</t>
  </si>
  <si>
    <t>3800 0004 01/07/2025</t>
  </si>
  <si>
    <t>PAS JUILLET 2025 DGFIP</t>
  </si>
  <si>
    <t>SALAIRE BRUT M GRAVIER AOUT 2025 GRAVIER</t>
  </si>
  <si>
    <t>3800 0004 01/08/2025</t>
  </si>
  <si>
    <t>PAS AOUT 2025 DGFIP</t>
  </si>
  <si>
    <t>URSSAF MARS 2025 URSSAF P.A</t>
  </si>
  <si>
    <t>99S120251338841241300014</t>
  </si>
  <si>
    <t>URSSAF PATRONAL M GRAVIER AVRIL 2025 GRAVIER</t>
  </si>
  <si>
    <t>URSSAF AVRIL 2025 URSSAF P.A</t>
  </si>
  <si>
    <t>99S120252138841241300014</t>
  </si>
  <si>
    <t>URSSAF PATRONAL M GRAVIER MAI 2025 GRAVIER</t>
  </si>
  <si>
    <t>URSSAF MAI 2025 URSSAF P.A</t>
  </si>
  <si>
    <t>99S120252238841241300014</t>
  </si>
  <si>
    <t>URSSAF PATRONAL M GRAVIER JUIN 2025 GRAVIER</t>
  </si>
  <si>
    <t>URSSAF JUIN 2025 URSSAF P.A</t>
  </si>
  <si>
    <t>99S120252338841241300014</t>
  </si>
  <si>
    <t>URSSAF PATRONAL M GRAVIER JUILLET 2025 GRAVIER</t>
  </si>
  <si>
    <t>URSSAF JUILLET 2025 URSSAF P.A</t>
  </si>
  <si>
    <t>99S120253138841241300014</t>
  </si>
  <si>
    <t>URSSAF PATRONAL M GRAVIER AOUT 2025 GRAVIER</t>
  </si>
  <si>
    <t>URSSAF AOUT 2025 URSSAF P.A</t>
  </si>
  <si>
    <t>99S120253238841241300014</t>
  </si>
  <si>
    <t>RETRAITE PATRONALE M GRAVIER AVRIL 2025 GRAVIER</t>
  </si>
  <si>
    <t>RETRAITE PATRONALE M GRAVIER MAI 2025 GRAVIER</t>
  </si>
  <si>
    <t>RETRAITE AGIRC-ARRCO MAI 2025 MALAKOFF -</t>
  </si>
  <si>
    <t>RETRAITE PATRONALE M GRAVIER JUIN 2025 GRAVIER</t>
  </si>
  <si>
    <t>RETRAITE PATRONALE M GRAVIER JUILLET 2025 GRAVIER</t>
  </si>
  <si>
    <t>RETRAITE AGIRC-ARRCO JUILLET 2025 MALAKOFF -</t>
  </si>
  <si>
    <t>RETRAITE PATRONALE M GRAVIER AOUT 2025 GRAVIER</t>
  </si>
  <si>
    <t>RETRAITE AGIRC-ARRCO AOUT 2025 MALAKOFF -</t>
  </si>
  <si>
    <t>PREVOYANCE MARS 2025 MALAKOFF H</t>
  </si>
  <si>
    <t>PREVOYANCE PATR M GRAVIER AVRIL 2025 GRAVIER</t>
  </si>
  <si>
    <t>MUTUELLE PATRONAL M GRAVIER AVRIL 2025 GRAVIER</t>
  </si>
  <si>
    <t>PREVOYANCE PATR M GRAVIER MAI 2025 GRAVIER</t>
  </si>
  <si>
    <t>MUTUELLE PATRONAL M GRAVIER MAI 2025 GRAVIER</t>
  </si>
  <si>
    <t>PREVOYANCE MAI 2025 MALAKOFF H</t>
  </si>
  <si>
    <t>MUTUELLE PATRONAL M GRAVIER JUIN 2025 GRAVIER</t>
  </si>
  <si>
    <t>PREVOYANCE PATR M GRAVIER JUIN 2025 GRAVIER</t>
  </si>
  <si>
    <t>MUTUELLE PATRONAL M GRAVIER JUILLET 2025 GRAVIER</t>
  </si>
  <si>
    <t>PREVOYANCE PATR M GRAVIER JUILLET 2025 GRAVIER</t>
  </si>
  <si>
    <t>PREVOYANCE JUILLET 2025 MALAKOFF H</t>
  </si>
  <si>
    <t>MUTUELLE PATRONAL M GRAVIER AOUT 2025 GRAVIER</t>
  </si>
  <si>
    <t>PREVOYANCE PATR M GRAVIER AOUT 2025 GRAVIER</t>
  </si>
  <si>
    <t>PREVOYANCE AOUT 2025 MALAKOFF H</t>
  </si>
  <si>
    <t>CONCIERGEcontrat</t>
  </si>
  <si>
    <t>25 700 304 860</t>
  </si>
  <si>
    <t>FC_0000967996</t>
  </si>
  <si>
    <t>FC_0000964035</t>
  </si>
  <si>
    <t>FC_0000971689</t>
  </si>
  <si>
    <t>FC_0000960158</t>
  </si>
  <si>
    <t>FC_0001003254</t>
  </si>
  <si>
    <t>FC_0001043969</t>
  </si>
  <si>
    <t>FACT ATHOME COT</t>
  </si>
  <si>
    <t>FC_0001037273</t>
  </si>
  <si>
    <t>Affranchissements ATHOME COT</t>
  </si>
  <si>
    <t>FC_0001071384</t>
  </si>
  <si>
    <t>FC_0001072810</t>
  </si>
  <si>
    <t>FC_0001092059</t>
  </si>
  <si>
    <t>FC_0001097273</t>
  </si>
  <si>
    <t>FC_0001106828</t>
  </si>
  <si>
    <t>Palatine frais tneue cpte</t>
  </si>
  <si>
    <t>HONORAIRES BAUDIN THI</t>
  </si>
  <si>
    <t>202525008*</t>
  </si>
  <si>
    <t>BAUDIN THIERRY</t>
  </si>
  <si>
    <t>F2025000005582</t>
  </si>
  <si>
    <t>F2025000007045</t>
  </si>
  <si>
    <t>F2025000008208</t>
  </si>
  <si>
    <t>F2025000010480</t>
  </si>
  <si>
    <t>F2025000011533</t>
  </si>
  <si>
    <t>F2025000012510</t>
  </si>
  <si>
    <t>Sinistre assistance expertise - SIMD 28309/3800</t>
  </si>
  <si>
    <t>F2025000005015</t>
  </si>
  <si>
    <t>SUIVI DOSSIER PROCEDURE VILLAGE</t>
  </si>
  <si>
    <t>F2025000008589</t>
  </si>
  <si>
    <t>Sinistre gestion &amp; suivi - SIMD 29562/3800</t>
  </si>
  <si>
    <t>F2025000008608</t>
  </si>
  <si>
    <t>Sinistre assistance expertise - SIMD 29562/3800</t>
  </si>
  <si>
    <t>F2025000009666</t>
  </si>
  <si>
    <t>Infos qualité de l'eau</t>
  </si>
  <si>
    <t>F2025000010082</t>
  </si>
  <si>
    <t>Sinistre gestion &amp; suivi - simd 29977/3800</t>
  </si>
  <si>
    <t>F2025000011300</t>
  </si>
  <si>
    <t>Sinistre gestion &amp; suivi - SIMD 30003/3800</t>
  </si>
  <si>
    <t>F2025000011310</t>
  </si>
  <si>
    <t>Assurance 2025 COMTE</t>
  </si>
  <si>
    <t>F25-0005-8060-59</t>
  </si>
  <si>
    <t>aSSURANCE 2025 GENERALI</t>
  </si>
  <si>
    <t>assurance 2025 ERREUR FOURN</t>
  </si>
  <si>
    <t>defense recours</t>
  </si>
  <si>
    <t>2025ACS11716376</t>
  </si>
  <si>
    <t>SEIH CONSULTING - Infiltrations dans garage M. LAM</t>
  </si>
  <si>
    <t>FACO0001700</t>
  </si>
  <si>
    <t>Travaux interphone</t>
  </si>
  <si>
    <t>Problème interphone VILLAGE SEGELEC</t>
  </si>
  <si>
    <t>FC399820</t>
  </si>
  <si>
    <t>Entretien mat securite incend.</t>
  </si>
  <si>
    <t>123293/BM</t>
  </si>
  <si>
    <t>Vérification extincteur PRO INCEND</t>
  </si>
  <si>
    <t>123292/02</t>
  </si>
  <si>
    <t>Maint porte + PG - 1Trim2025 ELECTRO AL</t>
  </si>
  <si>
    <t>VOA2272415</t>
  </si>
  <si>
    <t>VOF 2272414</t>
  </si>
  <si>
    <t>Maint porte + PG - 2Trim2025 ELECTRO AL</t>
  </si>
  <si>
    <t>VOA2272417</t>
  </si>
  <si>
    <t>VOF 2272416</t>
  </si>
  <si>
    <t>FACT ELECTRO AL</t>
  </si>
  <si>
    <t>VOF 2255859</t>
  </si>
  <si>
    <t>Maint porte + PG - 3Trim2025 ELECTRO AL</t>
  </si>
  <si>
    <t>VOA2272419</t>
  </si>
  <si>
    <t>VOF 2272418</t>
  </si>
  <si>
    <t>Maint porte + PG 4Trim2025 ELECTRO AL</t>
  </si>
  <si>
    <t>VOF 2278694</t>
  </si>
  <si>
    <t>REMPL INTERRUPTEUR PORTAIL ELECTRO AL</t>
  </si>
  <si>
    <t>U4 24002989</t>
  </si>
  <si>
    <t>Pose de barres palpeuses ELECTRO AL</t>
  </si>
  <si>
    <t>U4 25010123</t>
  </si>
  <si>
    <t xml:space="preserve"> DU 01/2024 ARTHEMA JA</t>
  </si>
  <si>
    <t>Entretien ARTHEMA JA</t>
  </si>
  <si>
    <t>D-2025-03-187</t>
  </si>
  <si>
    <t>ENTRETIEN ESPACES VERTS ARTHEMA JA</t>
  </si>
  <si>
    <t>F-2025-05-300</t>
  </si>
  <si>
    <t>F-2025-06-314</t>
  </si>
  <si>
    <t>FACT ARTHEMA JA</t>
  </si>
  <si>
    <t>F-2025-05-299</t>
  </si>
  <si>
    <t>Entretien jardin - Juillet 2025 ARTHEMA JA</t>
  </si>
  <si>
    <t>F-2025-07-348</t>
  </si>
  <si>
    <t>Entretien jardin - Aout 2025 ARTHEMA JA</t>
  </si>
  <si>
    <t>F-2025-08-365</t>
  </si>
  <si>
    <t>Entretien - Aout 2025 ARTHEMA JA</t>
  </si>
  <si>
    <t>F-2025-08-370</t>
  </si>
  <si>
    <t>Contrat piscine</t>
  </si>
  <si>
    <t>remplacement employé - entretien piscine AVANTAGE</t>
  </si>
  <si>
    <t>FA0031363</t>
  </si>
  <si>
    <t>AVANTAGE SERVICE PISCINE</t>
  </si>
  <si>
    <t>travaux piscine</t>
  </si>
  <si>
    <t>HONORAIRES L-H FABIAN</t>
  </si>
  <si>
    <t>Nº17-24-14-02</t>
  </si>
  <si>
    <t>Entretien curage HYDROSONIC</t>
  </si>
  <si>
    <t>121231</t>
  </si>
  <si>
    <t>Fournitures piscine</t>
  </si>
  <si>
    <t>Produits piscine AVANTAGE S</t>
  </si>
  <si>
    <t>FA0034427</t>
  </si>
  <si>
    <t>PISCINE SOLEIL SERVICE - Fourniture sable gravier</t>
  </si>
  <si>
    <t>57125</t>
  </si>
  <si>
    <t>57200</t>
  </si>
  <si>
    <t>PISCINE SOLEIL SERVICE - commande produits piscine</t>
  </si>
  <si>
    <t>57058</t>
  </si>
  <si>
    <t>57249</t>
  </si>
  <si>
    <t>SIMD 29562/3800</t>
  </si>
  <si>
    <t>396733/1</t>
  </si>
  <si>
    <t>Solde charges au 31/12/2024</t>
  </si>
  <si>
    <t>Quittance EDF du 22/03/25- 305 kwh EDF ENTREP</t>
  </si>
  <si>
    <t>10222822084</t>
  </si>
  <si>
    <t>Quittance EDF du 22/04/25- 353 kwh EDF ENTREP</t>
  </si>
  <si>
    <t>10224959557</t>
  </si>
  <si>
    <t>Quittance EDF du 22/05/25- 348 kwh EDF ENTREP</t>
  </si>
  <si>
    <t>10227112602</t>
  </si>
  <si>
    <t>10229313583</t>
  </si>
  <si>
    <t>10231458788</t>
  </si>
  <si>
    <t>10233581209</t>
  </si>
  <si>
    <t>Rempt horloge SEGELEC</t>
  </si>
  <si>
    <t>FC400318</t>
  </si>
  <si>
    <t>INFO REGLEMENTATION EC PROX-HYDRO</t>
  </si>
  <si>
    <t>25TX900772</t>
  </si>
  <si>
    <t>FACT PROX-HYDRO</t>
  </si>
  <si>
    <t>25RE037935</t>
  </si>
  <si>
    <t>120015</t>
  </si>
  <si>
    <t>GSM 2EME TRIM 25 ELECTROLIF</t>
  </si>
  <si>
    <t>25030504</t>
  </si>
  <si>
    <t>Maintenance asc 1er trim 25 ELECTROLIF</t>
  </si>
  <si>
    <t>25010515</t>
  </si>
  <si>
    <t>Entretien Ascenseur - AVEHO</t>
  </si>
  <si>
    <t>25-04-3041</t>
  </si>
  <si>
    <t>Entretien Ascenseur - 3Trim2025 AVEHO</t>
  </si>
  <si>
    <t>25-07-4832</t>
  </si>
  <si>
    <t>BATIMENT G - REMPLACEMENT PIECES ECS BAT G NICER</t>
  </si>
  <si>
    <t>0024654</t>
  </si>
  <si>
    <t>entretien ECS NICER</t>
  </si>
  <si>
    <t>0024653</t>
  </si>
  <si>
    <t>0024675</t>
  </si>
  <si>
    <t>Entretien ECS 01/09/25 - 28/02/26 NICER</t>
  </si>
  <si>
    <t>0025839</t>
  </si>
  <si>
    <t>Maintenance Asc E - 3Trim2025 ELECTROLIF</t>
  </si>
  <si>
    <t>25070499</t>
  </si>
  <si>
    <t>Entretien Ascenseur - 11/9 au 30/09 AVEHO</t>
  </si>
  <si>
    <t>25-09-6020</t>
  </si>
  <si>
    <t>BATIMENT E - REMPLACEMENT PIECES BALLONS ECS NICER</t>
  </si>
  <si>
    <t>0024678</t>
  </si>
  <si>
    <t>Contrat GSM R - 3Trim2025 ELECTROLIF</t>
  </si>
  <si>
    <t>25070498</t>
  </si>
  <si>
    <t>Entretien Ascenseur -  R 11/09 au 30/09 AVEHO</t>
  </si>
  <si>
    <t>25-09-6021</t>
  </si>
  <si>
    <t>REMPLACEMENT PIECES ECS - BAT R NICER</t>
  </si>
  <si>
    <t>0024660</t>
  </si>
  <si>
    <t>Quittance EDF du 13/04/25- 2513 kwh EDF ENTREP</t>
  </si>
  <si>
    <t>10224349588</t>
  </si>
  <si>
    <t>10226472758</t>
  </si>
  <si>
    <t>10228705281</t>
  </si>
  <si>
    <t>10230822336</t>
  </si>
  <si>
    <t>10232974999</t>
  </si>
  <si>
    <t>Quittance EDF du 16/04/25- 6158 kwh EDF ENTREP</t>
  </si>
  <si>
    <t>10224578643</t>
  </si>
  <si>
    <t>10226463753</t>
  </si>
  <si>
    <t>10227514610</t>
  </si>
  <si>
    <t>10228703163</t>
  </si>
  <si>
    <t>10230818870</t>
  </si>
  <si>
    <t>10232971048</t>
  </si>
  <si>
    <t>Installation ferme porte CLEF PRO S</t>
  </si>
  <si>
    <t>2025-1048</t>
  </si>
  <si>
    <t>120122</t>
  </si>
  <si>
    <t>Systeme vigik en panne SEGELEC</t>
  </si>
  <si>
    <t>FC400236</t>
  </si>
  <si>
    <t>Solde Rés16 Renov canalisation</t>
  </si>
  <si>
    <t>indicateur</t>
  </si>
  <si>
    <t>valeur</t>
  </si>
  <si>
    <t>Nombre de lignes exercice en cours</t>
  </si>
  <si>
    <t>Nombre total de lignes</t>
  </si>
  <si>
    <t>Exercice clos ("AAAA")</t>
  </si>
  <si>
    <t>Nombre lignes exercice clos</t>
  </si>
  <si>
    <t>Nombre lignes exercices antérieurs (hors F_agregation)</t>
  </si>
  <si>
    <t>Chemin source</t>
  </si>
  <si>
    <t>Contrôle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</si>
</sst>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\-mm\-dd\ hh:mm"/>
  </numFmts>
  <fonts count="1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3" fillId="0" borderId="0"/>
  </cellStyleXfs>
  <cellXfs count="18">
    <xf numFmtId="0" fontId="0" fillId="0" borderId="0" xfId="0"/>
    <xf numFmtId="0" fontId="9" fillId="0" borderId="0" xfId="1"/>
    <xf numFmtId="0" fontId="8" fillId="0" borderId="0" xfId="1" applyFont="1"/>
    <xf numFmtId="1" fontId="9" fillId="3" borderId="0" xfId="1" applyNumberFormat="1" applyFill="1"/>
    <xf numFmtId="0" fontId="9" fillId="3" borderId="0" xfId="1" applyFill="1"/>
    <xf numFmtId="0" fontId="7" fillId="0" borderId="0" xfId="1" applyFont="1"/>
    <xf numFmtId="0" fontId="0" fillId="0" borderId="0" xfId="0" applyNumberFormat="1"/>
    <xf numFmtId="0" fontId="6" fillId="0" borderId="0" xfId="1" applyFont="1"/>
    <xf numFmtId="0" fontId="4" fillId="0" borderId="0" xfId="1" applyFont="1"/>
    <xf numFmtId="0" fontId="3" fillId="0" borderId="0" xfId="1" applyFont="1" applyAlignment="1">
      <alignment horizontal="left"/>
    </xf>
    <xf numFmtId="0" fontId="2" fillId="0" borderId="0" xfId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5" fontId="9" fillId="2" borderId="0" xfId="1" applyNumberFormat="1" applyFill="1"/>
    <xf numFmtId="0" fontId="5" fillId="0" borderId="0" xfId="1" applyFont="1" applyAlignment="1">
      <alignment horizontal="left"/>
    </xf>
    <xf numFmtId="0" fontId="1" fillId="0" borderId="0" xfId="1" applyFont="1"/>
    <xf numFmtId="0" fontId="9" fillId="0" borderId="0" xfId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E0BA55AB-7331-492D-956F-71BC61C0CA64}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4025"/>
  <sheetViews>
    <sheetView workbookViewId="0">
      <pane ySplit="1" topLeftCell="A2" activePane="bottomLeft" state="frozen"/>
      <selection pane="bottomLeft" sqref="A1:P1"/>
    </sheetView>
  </sheetViews>
  <sheetFormatPr baseColWidth="10" defaultColWidth="9.15234375" defaultRowHeight="14.6" x14ac:dyDescent="0.4"/>
  <cols>
    <col min="1" max="1" width="16.3828125" customWidth="1" collapsed="1"/>
    <col min="2" max="2" width="16.84375" customWidth="1" collapsed="1"/>
    <col min="3" max="3" width="16.61328125" style="13" customWidth="1" collapsed="1"/>
    <col min="4" max="4" width="13.53515625" style="13" customWidth="1" collapsed="1"/>
    <col min="5" max="5" width="16.07421875" customWidth="1" collapsed="1"/>
    <col min="6" max="6" width="23.3828125" customWidth="1" collapsed="1"/>
    <col min="7" max="7" width="20.3828125" customWidth="1" collapsed="1"/>
    <col min="8" max="8" width="27.3828125" customWidth="1" collapsed="1"/>
    <col min="9" max="9" width="24.69140625" customWidth="1" collapsed="1"/>
    <col min="10" max="10" width="14.3046875" customWidth="1" collapsed="1"/>
    <col min="11" max="11" width="28" customWidth="1" collapsed="1"/>
    <col min="12" max="12" width="11.15234375" style="13" customWidth="1" collapsed="1"/>
    <col min="13" max="13" width="53.84375" customWidth="1" collapsed="1"/>
    <col min="14" max="14" width="26.3828125" customWidth="1" collapsed="1"/>
    <col min="15" max="15" width="23.3828125" customWidth="1" collapsed="1"/>
    <col min="16" max="16" width="33" customWidth="1" collapsed="1"/>
    <col min="18" max="18" width="9.53515625" bestFit="1" customWidth="1"/>
  </cols>
  <sheetData>
    <row r="1" spans="1:27" s="11" customFormat="1" ht="25" customHeight="1" x14ac:dyDescent="0.4">
      <c r="A1" s="11" t="s">
        <v>0</v>
      </c>
      <c r="B1" s="11" t="s">
        <v>1</v>
      </c>
      <c r="C1" s="12" t="s">
        <v>2</v>
      </c>
      <c r="D1" s="12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2" t="s">
        <v>11</v>
      </c>
      <c r="M1" s="11" t="s">
        <v>1</v>
      </c>
      <c r="N1" s="11" t="s">
        <v>12</v>
      </c>
      <c r="O1" s="11" t="s">
        <v>13</v>
      </c>
      <c r="P1" s="11" t="s">
        <v>14</v>
      </c>
    </row>
    <row r="2" spans="1:27" ht="15" customHeight="1" x14ac:dyDescent="0.4">
      <c r="A2" t="s">
        <v>15</v>
      </c>
      <c r="B2" t="s">
        <v>16</v>
      </c>
      <c r="C2" s="13">
        <v>45658</v>
      </c>
      <c r="D2" s="13">
        <v>46022</v>
      </c>
      <c r="E2" t="s">
        <v>30</v>
      </c>
      <c r="F2">
        <v>0</v>
      </c>
      <c r="G2" t="s">
        <v>18</v>
      </c>
      <c r="H2">
        <v>1</v>
      </c>
      <c r="I2" t="s">
        <v>19</v>
      </c>
      <c r="J2">
        <v>106</v>
      </c>
      <c r="K2" t="s">
        <v>422</v>
      </c>
      <c r="L2" s="13">
        <v>45908</v>
      </c>
      <c r="M2" t="s">
        <v>3947</v>
      </c>
      <c r="N2" t="s">
        <v>3948</v>
      </c>
      <c r="O2">
        <v>900</v>
      </c>
      <c r="P2" t="s">
        <v>3949</v>
      </c>
      <c r="Z2" s="6"/>
      <c r="AA2" s="6"/>
    </row>
    <row r="3" spans="1:27" ht="15" customHeight="1" x14ac:dyDescent="0.4">
      <c r="A3" t="s">
        <v>15</v>
      </c>
      <c r="B3" t="s">
        <v>16</v>
      </c>
      <c r="C3" s="13">
        <v>45658</v>
      </c>
      <c r="D3" s="13">
        <v>46022</v>
      </c>
      <c r="E3" t="s">
        <v>17</v>
      </c>
      <c r="F3">
        <v>0</v>
      </c>
      <c r="G3" t="s">
        <v>18</v>
      </c>
      <c r="H3">
        <v>1</v>
      </c>
      <c r="I3" t="s">
        <v>19</v>
      </c>
      <c r="J3">
        <v>166</v>
      </c>
      <c r="K3" t="s">
        <v>3950</v>
      </c>
      <c r="L3" s="13">
        <v>45853</v>
      </c>
      <c r="M3" t="s">
        <v>3951</v>
      </c>
      <c r="N3" t="s">
        <v>3952</v>
      </c>
      <c r="O3">
        <v>330</v>
      </c>
      <c r="P3" t="s">
        <v>3945</v>
      </c>
    </row>
    <row r="4" spans="1:27" ht="15" customHeight="1" x14ac:dyDescent="0.4">
      <c r="A4" t="s">
        <v>15</v>
      </c>
      <c r="B4" t="s">
        <v>16</v>
      </c>
      <c r="C4" s="13">
        <v>45658</v>
      </c>
      <c r="D4" s="13">
        <v>46022</v>
      </c>
      <c r="E4" t="s">
        <v>17</v>
      </c>
      <c r="F4">
        <v>0</v>
      </c>
      <c r="G4" t="s">
        <v>18</v>
      </c>
      <c r="H4">
        <v>1</v>
      </c>
      <c r="I4" t="s">
        <v>19</v>
      </c>
      <c r="J4">
        <v>171</v>
      </c>
      <c r="K4" t="s">
        <v>20</v>
      </c>
      <c r="L4" s="13">
        <v>45808</v>
      </c>
      <c r="M4" t="s">
        <v>3953</v>
      </c>
      <c r="N4" t="s">
        <v>3954</v>
      </c>
      <c r="O4">
        <v>1588.8</v>
      </c>
      <c r="P4" t="s">
        <v>3702</v>
      </c>
    </row>
    <row r="5" spans="1:27" ht="15" customHeight="1" x14ac:dyDescent="0.4">
      <c r="A5" t="s">
        <v>15</v>
      </c>
      <c r="B5" t="s">
        <v>16</v>
      </c>
      <c r="C5" s="13">
        <v>45658</v>
      </c>
      <c r="D5" s="13">
        <v>46022</v>
      </c>
      <c r="E5" t="s">
        <v>17</v>
      </c>
      <c r="F5">
        <v>0</v>
      </c>
      <c r="G5" t="s">
        <v>18</v>
      </c>
      <c r="H5">
        <v>1</v>
      </c>
      <c r="I5" t="s">
        <v>19</v>
      </c>
      <c r="J5">
        <v>171</v>
      </c>
      <c r="K5" t="s">
        <v>20</v>
      </c>
      <c r="L5" s="13">
        <v>45835</v>
      </c>
      <c r="M5" t="s">
        <v>3955</v>
      </c>
      <c r="N5" t="s">
        <v>3956</v>
      </c>
      <c r="O5">
        <v>1056</v>
      </c>
      <c r="P5" t="s">
        <v>3702</v>
      </c>
    </row>
    <row r="6" spans="1:27" ht="15" customHeight="1" x14ac:dyDescent="0.4">
      <c r="A6" t="s">
        <v>15</v>
      </c>
      <c r="B6" t="s">
        <v>16</v>
      </c>
      <c r="C6" s="13">
        <v>45658</v>
      </c>
      <c r="D6" s="13">
        <v>46022</v>
      </c>
      <c r="E6" t="s">
        <v>30</v>
      </c>
      <c r="F6">
        <v>0</v>
      </c>
      <c r="G6" t="s">
        <v>18</v>
      </c>
      <c r="H6">
        <v>1</v>
      </c>
      <c r="I6" t="s">
        <v>19</v>
      </c>
      <c r="J6">
        <v>206</v>
      </c>
      <c r="K6" t="s">
        <v>3957</v>
      </c>
      <c r="L6" s="13">
        <v>45847</v>
      </c>
      <c r="M6" t="s">
        <v>3958</v>
      </c>
      <c r="N6" t="s">
        <v>3959</v>
      </c>
      <c r="O6">
        <v>423.5</v>
      </c>
      <c r="P6" t="s">
        <v>347</v>
      </c>
    </row>
    <row r="7" spans="1:27" ht="15" customHeight="1" x14ac:dyDescent="0.4">
      <c r="A7" t="s">
        <v>15</v>
      </c>
      <c r="B7" t="s">
        <v>16</v>
      </c>
      <c r="C7" s="13">
        <v>45658</v>
      </c>
      <c r="D7" s="13">
        <v>46022</v>
      </c>
      <c r="E7" t="s">
        <v>30</v>
      </c>
      <c r="F7">
        <v>0</v>
      </c>
      <c r="G7" t="s">
        <v>18</v>
      </c>
      <c r="H7">
        <v>1</v>
      </c>
      <c r="I7" t="s">
        <v>19</v>
      </c>
      <c r="J7">
        <v>233</v>
      </c>
      <c r="K7" t="s">
        <v>31</v>
      </c>
      <c r="L7" s="13">
        <v>45798</v>
      </c>
      <c r="M7" t="s">
        <v>3960</v>
      </c>
      <c r="N7" t="s">
        <v>46</v>
      </c>
      <c r="O7">
        <v>76.319999999999993</v>
      </c>
      <c r="P7" t="s">
        <v>46</v>
      </c>
    </row>
    <row r="8" spans="1:27" ht="15" customHeight="1" x14ac:dyDescent="0.4">
      <c r="A8" t="s">
        <v>15</v>
      </c>
      <c r="B8" t="s">
        <v>16</v>
      </c>
      <c r="C8" s="13">
        <v>45658</v>
      </c>
      <c r="D8" s="13">
        <v>46022</v>
      </c>
      <c r="E8" t="s">
        <v>30</v>
      </c>
      <c r="F8">
        <v>0</v>
      </c>
      <c r="G8" t="s">
        <v>18</v>
      </c>
      <c r="H8">
        <v>1</v>
      </c>
      <c r="I8" t="s">
        <v>19</v>
      </c>
      <c r="J8">
        <v>233</v>
      </c>
      <c r="K8" t="s">
        <v>31</v>
      </c>
      <c r="L8" s="13">
        <v>45813</v>
      </c>
      <c r="M8" t="s">
        <v>3961</v>
      </c>
      <c r="N8" t="s">
        <v>46</v>
      </c>
      <c r="O8">
        <v>169.79</v>
      </c>
      <c r="P8" t="s">
        <v>46</v>
      </c>
    </row>
    <row r="9" spans="1:27" ht="15" customHeight="1" x14ac:dyDescent="0.4">
      <c r="A9" t="s">
        <v>15</v>
      </c>
      <c r="B9" t="s">
        <v>16</v>
      </c>
      <c r="C9" s="13">
        <v>45658</v>
      </c>
      <c r="D9" s="13">
        <v>46022</v>
      </c>
      <c r="E9" t="s">
        <v>30</v>
      </c>
      <c r="F9">
        <v>0</v>
      </c>
      <c r="G9" t="s">
        <v>18</v>
      </c>
      <c r="H9">
        <v>1</v>
      </c>
      <c r="I9" t="s">
        <v>19</v>
      </c>
      <c r="J9">
        <v>233</v>
      </c>
      <c r="K9" t="s">
        <v>31</v>
      </c>
      <c r="L9" s="13">
        <v>45848</v>
      </c>
      <c r="M9" t="s">
        <v>3962</v>
      </c>
      <c r="N9" t="s">
        <v>46</v>
      </c>
      <c r="O9">
        <v>5.09</v>
      </c>
      <c r="P9" t="s">
        <v>46</v>
      </c>
    </row>
    <row r="10" spans="1:27" ht="15" customHeight="1" x14ac:dyDescent="0.4">
      <c r="A10" t="s">
        <v>15</v>
      </c>
      <c r="B10" t="s">
        <v>16</v>
      </c>
      <c r="C10" s="13">
        <v>45658</v>
      </c>
      <c r="D10" s="13">
        <v>46022</v>
      </c>
      <c r="E10" t="s">
        <v>30</v>
      </c>
      <c r="F10">
        <v>0</v>
      </c>
      <c r="G10" t="s">
        <v>18</v>
      </c>
      <c r="H10">
        <v>1</v>
      </c>
      <c r="I10" t="s">
        <v>19</v>
      </c>
      <c r="J10">
        <v>233</v>
      </c>
      <c r="K10" t="s">
        <v>31</v>
      </c>
      <c r="L10" s="13">
        <v>45848</v>
      </c>
      <c r="M10" t="s">
        <v>3963</v>
      </c>
      <c r="N10" t="s">
        <v>46</v>
      </c>
      <c r="O10">
        <v>13</v>
      </c>
      <c r="P10" t="s">
        <v>46</v>
      </c>
    </row>
    <row r="11" spans="1:27" ht="15" customHeight="1" x14ac:dyDescent="0.4">
      <c r="A11" t="s">
        <v>15</v>
      </c>
      <c r="B11" t="s">
        <v>16</v>
      </c>
      <c r="C11" s="13">
        <v>45658</v>
      </c>
      <c r="D11" s="13">
        <v>46022</v>
      </c>
      <c r="E11" t="s">
        <v>30</v>
      </c>
      <c r="F11">
        <v>0</v>
      </c>
      <c r="G11" t="s">
        <v>18</v>
      </c>
      <c r="H11">
        <v>1</v>
      </c>
      <c r="I11" t="s">
        <v>19</v>
      </c>
      <c r="J11">
        <v>233</v>
      </c>
      <c r="K11" t="s">
        <v>31</v>
      </c>
      <c r="L11" s="13">
        <v>45870</v>
      </c>
      <c r="M11" t="s">
        <v>3964</v>
      </c>
      <c r="N11" t="s">
        <v>3965</v>
      </c>
      <c r="O11">
        <v>326.25</v>
      </c>
      <c r="P11" t="s">
        <v>34</v>
      </c>
    </row>
    <row r="12" spans="1:27" ht="15" customHeight="1" x14ac:dyDescent="0.4">
      <c r="A12" t="s">
        <v>15</v>
      </c>
      <c r="B12" t="s">
        <v>16</v>
      </c>
      <c r="C12" s="13">
        <v>45658</v>
      </c>
      <c r="D12" s="13">
        <v>46022</v>
      </c>
      <c r="E12" t="s">
        <v>30</v>
      </c>
      <c r="F12">
        <v>0</v>
      </c>
      <c r="G12" t="s">
        <v>18</v>
      </c>
      <c r="H12">
        <v>1</v>
      </c>
      <c r="I12" t="s">
        <v>19</v>
      </c>
      <c r="J12">
        <v>236</v>
      </c>
      <c r="K12" t="s">
        <v>950</v>
      </c>
      <c r="L12" s="13">
        <v>45728</v>
      </c>
      <c r="M12" t="s">
        <v>3579</v>
      </c>
      <c r="N12" t="s">
        <v>3580</v>
      </c>
      <c r="O12">
        <v>1003.2</v>
      </c>
      <c r="P12" t="s">
        <v>292</v>
      </c>
    </row>
    <row r="13" spans="1:27" ht="15" customHeight="1" x14ac:dyDescent="0.4">
      <c r="A13" t="s">
        <v>15</v>
      </c>
      <c r="B13" t="s">
        <v>16</v>
      </c>
      <c r="C13" s="13">
        <v>45658</v>
      </c>
      <c r="D13" s="13">
        <v>46022</v>
      </c>
      <c r="E13" t="s">
        <v>17</v>
      </c>
      <c r="F13">
        <v>0</v>
      </c>
      <c r="G13" t="s">
        <v>18</v>
      </c>
      <c r="H13">
        <v>1</v>
      </c>
      <c r="I13" t="s">
        <v>19</v>
      </c>
      <c r="J13">
        <v>241</v>
      </c>
      <c r="K13" t="s">
        <v>1048</v>
      </c>
      <c r="L13" s="13">
        <v>45741</v>
      </c>
      <c r="M13" t="s">
        <v>3581</v>
      </c>
      <c r="N13" t="s">
        <v>3582</v>
      </c>
      <c r="O13">
        <v>150</v>
      </c>
      <c r="P13" t="s">
        <v>388</v>
      </c>
    </row>
    <row r="14" spans="1:27" ht="15" customHeight="1" x14ac:dyDescent="0.4">
      <c r="A14" t="s">
        <v>15</v>
      </c>
      <c r="B14" t="s">
        <v>16</v>
      </c>
      <c r="C14" s="13">
        <v>45658</v>
      </c>
      <c r="D14" s="13">
        <v>46022</v>
      </c>
      <c r="E14" t="s">
        <v>17</v>
      </c>
      <c r="F14">
        <v>0</v>
      </c>
      <c r="G14" t="s">
        <v>18</v>
      </c>
      <c r="H14">
        <v>1</v>
      </c>
      <c r="I14" t="s">
        <v>19</v>
      </c>
      <c r="J14">
        <v>242</v>
      </c>
      <c r="K14" t="s">
        <v>40</v>
      </c>
      <c r="L14" s="13">
        <v>45675</v>
      </c>
      <c r="M14" t="s">
        <v>3583</v>
      </c>
      <c r="N14" t="s">
        <v>3584</v>
      </c>
      <c r="O14">
        <v>1754.23</v>
      </c>
      <c r="P14" t="s">
        <v>43</v>
      </c>
    </row>
    <row r="15" spans="1:27" ht="15" customHeight="1" x14ac:dyDescent="0.4">
      <c r="A15" t="s">
        <v>15</v>
      </c>
      <c r="B15" t="s">
        <v>16</v>
      </c>
      <c r="C15" s="13">
        <v>45658</v>
      </c>
      <c r="D15" s="13">
        <v>46022</v>
      </c>
      <c r="E15" t="s">
        <v>17</v>
      </c>
      <c r="F15">
        <v>0</v>
      </c>
      <c r="G15" t="s">
        <v>18</v>
      </c>
      <c r="H15">
        <v>1</v>
      </c>
      <c r="I15" t="s">
        <v>19</v>
      </c>
      <c r="J15">
        <v>268</v>
      </c>
      <c r="K15" t="s">
        <v>3585</v>
      </c>
      <c r="L15" s="13">
        <v>45677</v>
      </c>
      <c r="M15" t="s">
        <v>3586</v>
      </c>
      <c r="N15" t="s">
        <v>3587</v>
      </c>
      <c r="O15">
        <v>6.46</v>
      </c>
      <c r="P15" t="s">
        <v>52</v>
      </c>
    </row>
    <row r="16" spans="1:27" ht="15" customHeight="1" x14ac:dyDescent="0.4">
      <c r="A16" t="s">
        <v>15</v>
      </c>
      <c r="B16" t="s">
        <v>16</v>
      </c>
      <c r="C16" s="13">
        <v>45658</v>
      </c>
      <c r="D16" s="13">
        <v>46022</v>
      </c>
      <c r="E16" t="s">
        <v>17</v>
      </c>
      <c r="F16">
        <v>0</v>
      </c>
      <c r="G16" t="s">
        <v>18</v>
      </c>
      <c r="H16">
        <v>1</v>
      </c>
      <c r="I16" t="s">
        <v>19</v>
      </c>
      <c r="J16">
        <v>268</v>
      </c>
      <c r="K16" t="s">
        <v>3585</v>
      </c>
      <c r="L16" s="13">
        <v>45709</v>
      </c>
      <c r="M16" t="s">
        <v>76</v>
      </c>
      <c r="N16" t="s">
        <v>3588</v>
      </c>
      <c r="O16">
        <v>6.78</v>
      </c>
      <c r="P16" t="s">
        <v>52</v>
      </c>
    </row>
    <row r="17" spans="1:16" ht="15" customHeight="1" x14ac:dyDescent="0.4">
      <c r="A17" t="s">
        <v>15</v>
      </c>
      <c r="B17" t="s">
        <v>16</v>
      </c>
      <c r="C17" s="13">
        <v>45658</v>
      </c>
      <c r="D17" s="13">
        <v>46022</v>
      </c>
      <c r="E17" t="s">
        <v>17</v>
      </c>
      <c r="F17">
        <v>0</v>
      </c>
      <c r="G17" t="s">
        <v>18</v>
      </c>
      <c r="H17">
        <v>1</v>
      </c>
      <c r="I17" t="s">
        <v>19</v>
      </c>
      <c r="J17">
        <v>268</v>
      </c>
      <c r="K17" t="s">
        <v>3585</v>
      </c>
      <c r="L17" s="13">
        <v>45736</v>
      </c>
      <c r="M17" t="s">
        <v>3966</v>
      </c>
      <c r="N17" t="s">
        <v>3967</v>
      </c>
      <c r="O17">
        <v>5.29</v>
      </c>
      <c r="P17" t="s">
        <v>52</v>
      </c>
    </row>
    <row r="18" spans="1:16" ht="15" customHeight="1" x14ac:dyDescent="0.4">
      <c r="A18" t="s">
        <v>15</v>
      </c>
      <c r="B18" t="s">
        <v>16</v>
      </c>
      <c r="C18" s="13">
        <v>45658</v>
      </c>
      <c r="D18" s="13">
        <v>46022</v>
      </c>
      <c r="E18" t="s">
        <v>17</v>
      </c>
      <c r="F18">
        <v>0</v>
      </c>
      <c r="G18" t="s">
        <v>18</v>
      </c>
      <c r="H18">
        <v>1</v>
      </c>
      <c r="I18" t="s">
        <v>19</v>
      </c>
      <c r="J18">
        <v>268</v>
      </c>
      <c r="K18" t="s">
        <v>3585</v>
      </c>
      <c r="L18" s="13">
        <v>45767</v>
      </c>
      <c r="M18" t="s">
        <v>3968</v>
      </c>
      <c r="N18" t="s">
        <v>3969</v>
      </c>
      <c r="O18">
        <v>9.27</v>
      </c>
      <c r="P18" t="s">
        <v>52</v>
      </c>
    </row>
    <row r="19" spans="1:16" ht="15" customHeight="1" x14ac:dyDescent="0.4">
      <c r="A19" t="s">
        <v>15</v>
      </c>
      <c r="B19" t="s">
        <v>16</v>
      </c>
      <c r="C19" s="13">
        <v>45658</v>
      </c>
      <c r="D19" s="13">
        <v>46022</v>
      </c>
      <c r="E19" t="s">
        <v>17</v>
      </c>
      <c r="F19">
        <v>0</v>
      </c>
      <c r="G19" t="s">
        <v>18</v>
      </c>
      <c r="H19">
        <v>1</v>
      </c>
      <c r="I19" t="s">
        <v>19</v>
      </c>
      <c r="J19">
        <v>268</v>
      </c>
      <c r="K19" t="s">
        <v>3585</v>
      </c>
      <c r="L19" s="13">
        <v>45798</v>
      </c>
      <c r="M19" t="s">
        <v>3970</v>
      </c>
      <c r="N19" t="s">
        <v>3971</v>
      </c>
      <c r="O19">
        <v>26.79</v>
      </c>
      <c r="P19" t="s">
        <v>52</v>
      </c>
    </row>
    <row r="20" spans="1:16" ht="15" customHeight="1" x14ac:dyDescent="0.4">
      <c r="A20" t="s">
        <v>15</v>
      </c>
      <c r="B20" t="s">
        <v>16</v>
      </c>
      <c r="C20" s="13">
        <v>45658</v>
      </c>
      <c r="D20" s="13">
        <v>46022</v>
      </c>
      <c r="E20" t="s">
        <v>17</v>
      </c>
      <c r="F20">
        <v>0</v>
      </c>
      <c r="G20" t="s">
        <v>18</v>
      </c>
      <c r="H20">
        <v>1</v>
      </c>
      <c r="I20" t="s">
        <v>19</v>
      </c>
      <c r="J20">
        <v>268</v>
      </c>
      <c r="K20" t="s">
        <v>3585</v>
      </c>
      <c r="L20" s="13">
        <v>45832</v>
      </c>
      <c r="M20" t="s">
        <v>76</v>
      </c>
      <c r="N20" t="s">
        <v>3972</v>
      </c>
      <c r="O20">
        <v>28.56</v>
      </c>
      <c r="P20" t="s">
        <v>52</v>
      </c>
    </row>
    <row r="21" spans="1:16" ht="15" customHeight="1" x14ac:dyDescent="0.4">
      <c r="A21" t="s">
        <v>15</v>
      </c>
      <c r="B21" t="s">
        <v>16</v>
      </c>
      <c r="C21" s="13">
        <v>45658</v>
      </c>
      <c r="D21" s="13">
        <v>46022</v>
      </c>
      <c r="E21" t="s">
        <v>17</v>
      </c>
      <c r="F21">
        <v>0</v>
      </c>
      <c r="G21" t="s">
        <v>18</v>
      </c>
      <c r="H21">
        <v>1</v>
      </c>
      <c r="I21" t="s">
        <v>19</v>
      </c>
      <c r="J21">
        <v>268</v>
      </c>
      <c r="K21" t="s">
        <v>3585</v>
      </c>
      <c r="L21" s="13">
        <v>45859</v>
      </c>
      <c r="M21" t="s">
        <v>76</v>
      </c>
      <c r="N21" t="s">
        <v>3973</v>
      </c>
      <c r="O21">
        <v>39.19</v>
      </c>
      <c r="P21" t="s">
        <v>52</v>
      </c>
    </row>
    <row r="22" spans="1:16" ht="15" customHeight="1" x14ac:dyDescent="0.4">
      <c r="A22" t="s">
        <v>15</v>
      </c>
      <c r="B22" t="s">
        <v>16</v>
      </c>
      <c r="C22" s="13">
        <v>45658</v>
      </c>
      <c r="D22" s="13">
        <v>46022</v>
      </c>
      <c r="E22" t="s">
        <v>17</v>
      </c>
      <c r="F22">
        <v>0</v>
      </c>
      <c r="G22" t="s">
        <v>18</v>
      </c>
      <c r="H22">
        <v>1</v>
      </c>
      <c r="I22" t="s">
        <v>19</v>
      </c>
      <c r="J22">
        <v>268</v>
      </c>
      <c r="K22" t="s">
        <v>3585</v>
      </c>
      <c r="L22" s="13">
        <v>45891</v>
      </c>
      <c r="M22" t="s">
        <v>76</v>
      </c>
      <c r="N22" t="s">
        <v>3974</v>
      </c>
      <c r="O22">
        <v>38.6</v>
      </c>
      <c r="P22" t="s">
        <v>52</v>
      </c>
    </row>
    <row r="23" spans="1:16" ht="15" customHeight="1" x14ac:dyDescent="0.4">
      <c r="A23" t="s">
        <v>15</v>
      </c>
      <c r="B23" t="s">
        <v>16</v>
      </c>
      <c r="C23" s="13">
        <v>45658</v>
      </c>
      <c r="D23" s="13">
        <v>46022</v>
      </c>
      <c r="E23" t="s">
        <v>17</v>
      </c>
      <c r="F23">
        <v>0</v>
      </c>
      <c r="G23" t="s">
        <v>18</v>
      </c>
      <c r="H23">
        <v>1</v>
      </c>
      <c r="I23" t="s">
        <v>19</v>
      </c>
      <c r="J23">
        <v>269</v>
      </c>
      <c r="K23" t="s">
        <v>3589</v>
      </c>
      <c r="L23" s="13">
        <v>45677</v>
      </c>
      <c r="M23" t="s">
        <v>3586</v>
      </c>
      <c r="N23" t="s">
        <v>3587</v>
      </c>
      <c r="O23">
        <v>48.46</v>
      </c>
      <c r="P23" t="s">
        <v>52</v>
      </c>
    </row>
    <row r="24" spans="1:16" ht="15" customHeight="1" x14ac:dyDescent="0.4">
      <c r="A24" t="s">
        <v>15</v>
      </c>
      <c r="B24" t="s">
        <v>16</v>
      </c>
      <c r="C24" s="13">
        <v>45658</v>
      </c>
      <c r="D24" s="13">
        <v>46022</v>
      </c>
      <c r="E24" t="s">
        <v>17</v>
      </c>
      <c r="F24">
        <v>0</v>
      </c>
      <c r="G24" t="s">
        <v>18</v>
      </c>
      <c r="H24">
        <v>1</v>
      </c>
      <c r="I24" t="s">
        <v>19</v>
      </c>
      <c r="J24">
        <v>269</v>
      </c>
      <c r="K24" t="s">
        <v>3589</v>
      </c>
      <c r="L24" s="13">
        <v>45709</v>
      </c>
      <c r="M24" t="s">
        <v>76</v>
      </c>
      <c r="N24" t="s">
        <v>3588</v>
      </c>
      <c r="O24">
        <v>50.89</v>
      </c>
      <c r="P24" t="s">
        <v>52</v>
      </c>
    </row>
    <row r="25" spans="1:16" ht="15" customHeight="1" x14ac:dyDescent="0.4">
      <c r="A25" t="s">
        <v>15</v>
      </c>
      <c r="B25" t="s">
        <v>16</v>
      </c>
      <c r="C25" s="13">
        <v>45658</v>
      </c>
      <c r="D25" s="13">
        <v>46022</v>
      </c>
      <c r="E25" t="s">
        <v>17</v>
      </c>
      <c r="F25">
        <v>0</v>
      </c>
      <c r="G25" t="s">
        <v>18</v>
      </c>
      <c r="H25">
        <v>1</v>
      </c>
      <c r="I25" t="s">
        <v>19</v>
      </c>
      <c r="J25">
        <v>269</v>
      </c>
      <c r="K25" t="s">
        <v>3589</v>
      </c>
      <c r="L25" s="13">
        <v>45736</v>
      </c>
      <c r="M25" t="s">
        <v>3966</v>
      </c>
      <c r="N25" t="s">
        <v>3967</v>
      </c>
      <c r="O25">
        <v>39.71</v>
      </c>
      <c r="P25" t="s">
        <v>52</v>
      </c>
    </row>
    <row r="26" spans="1:16" ht="15" customHeight="1" x14ac:dyDescent="0.4">
      <c r="A26" t="s">
        <v>15</v>
      </c>
      <c r="B26" t="s">
        <v>16</v>
      </c>
      <c r="C26" s="13">
        <v>45658</v>
      </c>
      <c r="D26" s="13">
        <v>46022</v>
      </c>
      <c r="E26" t="s">
        <v>17</v>
      </c>
      <c r="F26">
        <v>0</v>
      </c>
      <c r="G26" t="s">
        <v>18</v>
      </c>
      <c r="H26">
        <v>1</v>
      </c>
      <c r="I26" t="s">
        <v>19</v>
      </c>
      <c r="J26">
        <v>269</v>
      </c>
      <c r="K26" t="s">
        <v>3589</v>
      </c>
      <c r="L26" s="13">
        <v>45767</v>
      </c>
      <c r="M26" t="s">
        <v>3968</v>
      </c>
      <c r="N26" t="s">
        <v>3969</v>
      </c>
      <c r="O26">
        <v>69.489999999999995</v>
      </c>
      <c r="P26" t="s">
        <v>52</v>
      </c>
    </row>
    <row r="27" spans="1:16" ht="15" customHeight="1" x14ac:dyDescent="0.4">
      <c r="A27" t="s">
        <v>15</v>
      </c>
      <c r="B27" t="s">
        <v>16</v>
      </c>
      <c r="C27" s="13">
        <v>45658</v>
      </c>
      <c r="D27" s="13">
        <v>46022</v>
      </c>
      <c r="E27" t="s">
        <v>17</v>
      </c>
      <c r="F27">
        <v>0</v>
      </c>
      <c r="G27" t="s">
        <v>18</v>
      </c>
      <c r="H27">
        <v>1</v>
      </c>
      <c r="I27" t="s">
        <v>19</v>
      </c>
      <c r="J27">
        <v>269</v>
      </c>
      <c r="K27" t="s">
        <v>3589</v>
      </c>
      <c r="L27" s="13">
        <v>45798</v>
      </c>
      <c r="M27" t="s">
        <v>3970</v>
      </c>
      <c r="N27" t="s">
        <v>3971</v>
      </c>
      <c r="O27">
        <v>200.96</v>
      </c>
      <c r="P27" t="s">
        <v>52</v>
      </c>
    </row>
    <row r="28" spans="1:16" ht="15" customHeight="1" x14ac:dyDescent="0.4">
      <c r="A28" t="s">
        <v>15</v>
      </c>
      <c r="B28" t="s">
        <v>16</v>
      </c>
      <c r="C28" s="13">
        <v>45658</v>
      </c>
      <c r="D28" s="13">
        <v>46022</v>
      </c>
      <c r="E28" t="s">
        <v>17</v>
      </c>
      <c r="F28">
        <v>0</v>
      </c>
      <c r="G28" t="s">
        <v>18</v>
      </c>
      <c r="H28">
        <v>1</v>
      </c>
      <c r="I28" t="s">
        <v>19</v>
      </c>
      <c r="J28">
        <v>269</v>
      </c>
      <c r="K28" t="s">
        <v>3589</v>
      </c>
      <c r="L28" s="13">
        <v>45832</v>
      </c>
      <c r="M28" t="s">
        <v>76</v>
      </c>
      <c r="N28" t="s">
        <v>3972</v>
      </c>
      <c r="O28">
        <v>214.16</v>
      </c>
      <c r="P28" t="s">
        <v>52</v>
      </c>
    </row>
    <row r="29" spans="1:16" ht="15" customHeight="1" x14ac:dyDescent="0.4">
      <c r="A29" t="s">
        <v>15</v>
      </c>
      <c r="B29" t="s">
        <v>16</v>
      </c>
      <c r="C29" s="13">
        <v>45658</v>
      </c>
      <c r="D29" s="13">
        <v>46022</v>
      </c>
      <c r="E29" t="s">
        <v>17</v>
      </c>
      <c r="F29">
        <v>0</v>
      </c>
      <c r="G29" t="s">
        <v>18</v>
      </c>
      <c r="H29">
        <v>1</v>
      </c>
      <c r="I29" t="s">
        <v>19</v>
      </c>
      <c r="J29">
        <v>269</v>
      </c>
      <c r="K29" t="s">
        <v>3589</v>
      </c>
      <c r="L29" s="13">
        <v>45859</v>
      </c>
      <c r="M29" t="s">
        <v>76</v>
      </c>
      <c r="N29" t="s">
        <v>3973</v>
      </c>
      <c r="O29">
        <v>293.92</v>
      </c>
      <c r="P29" t="s">
        <v>52</v>
      </c>
    </row>
    <row r="30" spans="1:16" ht="15" customHeight="1" x14ac:dyDescent="0.4">
      <c r="A30" t="s">
        <v>15</v>
      </c>
      <c r="B30" t="s">
        <v>16</v>
      </c>
      <c r="C30" s="13">
        <v>45658</v>
      </c>
      <c r="D30" s="13">
        <v>46022</v>
      </c>
      <c r="E30" t="s">
        <v>17</v>
      </c>
      <c r="F30">
        <v>0</v>
      </c>
      <c r="G30" t="s">
        <v>18</v>
      </c>
      <c r="H30">
        <v>1</v>
      </c>
      <c r="I30" t="s">
        <v>19</v>
      </c>
      <c r="J30">
        <v>269</v>
      </c>
      <c r="K30" t="s">
        <v>3589</v>
      </c>
      <c r="L30" s="13">
        <v>45891</v>
      </c>
      <c r="M30" t="s">
        <v>76</v>
      </c>
      <c r="N30" t="s">
        <v>3974</v>
      </c>
      <c r="O30">
        <v>289.52</v>
      </c>
      <c r="P30" t="s">
        <v>52</v>
      </c>
    </row>
    <row r="31" spans="1:16" ht="15" customHeight="1" x14ac:dyDescent="0.4">
      <c r="A31" t="s">
        <v>15</v>
      </c>
      <c r="B31" t="s">
        <v>16</v>
      </c>
      <c r="C31" s="13">
        <v>45658</v>
      </c>
      <c r="D31" s="13">
        <v>46022</v>
      </c>
      <c r="E31" t="s">
        <v>17</v>
      </c>
      <c r="F31">
        <v>0</v>
      </c>
      <c r="G31" t="s">
        <v>18</v>
      </c>
      <c r="H31">
        <v>1</v>
      </c>
      <c r="I31" t="s">
        <v>19</v>
      </c>
      <c r="J31">
        <v>281</v>
      </c>
      <c r="K31" t="s">
        <v>78</v>
      </c>
      <c r="L31" s="13">
        <v>45713</v>
      </c>
      <c r="M31" t="s">
        <v>1445</v>
      </c>
      <c r="N31" t="s">
        <v>3590</v>
      </c>
      <c r="O31">
        <v>8381.66</v>
      </c>
      <c r="P31" t="s">
        <v>81</v>
      </c>
    </row>
    <row r="32" spans="1:16" ht="15" customHeight="1" x14ac:dyDescent="0.4">
      <c r="A32" t="s">
        <v>15</v>
      </c>
      <c r="B32" t="s">
        <v>16</v>
      </c>
      <c r="C32" s="13">
        <v>45658</v>
      </c>
      <c r="D32" s="13">
        <v>46022</v>
      </c>
      <c r="E32" t="s">
        <v>17</v>
      </c>
      <c r="F32">
        <v>0</v>
      </c>
      <c r="G32" t="s">
        <v>18</v>
      </c>
      <c r="H32">
        <v>1</v>
      </c>
      <c r="I32" t="s">
        <v>19</v>
      </c>
      <c r="J32">
        <v>281</v>
      </c>
      <c r="K32" t="s">
        <v>78</v>
      </c>
      <c r="L32" s="13">
        <v>45892</v>
      </c>
      <c r="M32" t="s">
        <v>3975</v>
      </c>
      <c r="N32" t="s">
        <v>3976</v>
      </c>
      <c r="O32">
        <v>2977.12</v>
      </c>
      <c r="P32" t="s">
        <v>81</v>
      </c>
    </row>
    <row r="33" spans="1:16" ht="15" customHeight="1" x14ac:dyDescent="0.4">
      <c r="A33" t="s">
        <v>15</v>
      </c>
      <c r="B33" t="s">
        <v>16</v>
      </c>
      <c r="C33" s="13">
        <v>45658</v>
      </c>
      <c r="D33" s="13">
        <v>46022</v>
      </c>
      <c r="E33" t="s">
        <v>17</v>
      </c>
      <c r="F33">
        <v>0</v>
      </c>
      <c r="G33" t="s">
        <v>18</v>
      </c>
      <c r="H33">
        <v>1</v>
      </c>
      <c r="I33" t="s">
        <v>19</v>
      </c>
      <c r="J33">
        <v>285</v>
      </c>
      <c r="K33" t="s">
        <v>91</v>
      </c>
      <c r="L33" s="13">
        <v>45716</v>
      </c>
      <c r="M33" t="s">
        <v>3591</v>
      </c>
      <c r="N33" t="s">
        <v>3592</v>
      </c>
      <c r="O33">
        <v>2849.75</v>
      </c>
      <c r="P33" t="s">
        <v>81</v>
      </c>
    </row>
    <row r="34" spans="1:16" ht="15" customHeight="1" x14ac:dyDescent="0.4">
      <c r="A34" t="s">
        <v>15</v>
      </c>
      <c r="B34" t="s">
        <v>16</v>
      </c>
      <c r="C34" s="13">
        <v>45658</v>
      </c>
      <c r="D34" s="13">
        <v>46022</v>
      </c>
      <c r="E34" t="s">
        <v>17</v>
      </c>
      <c r="F34">
        <v>0</v>
      </c>
      <c r="G34" t="s">
        <v>18</v>
      </c>
      <c r="H34">
        <v>1</v>
      </c>
      <c r="I34" t="s">
        <v>19</v>
      </c>
      <c r="J34">
        <v>308</v>
      </c>
      <c r="K34" t="s">
        <v>100</v>
      </c>
      <c r="L34" s="13">
        <v>45673</v>
      </c>
      <c r="M34" t="s">
        <v>3593</v>
      </c>
      <c r="N34" t="s">
        <v>659</v>
      </c>
      <c r="O34">
        <v>102</v>
      </c>
      <c r="P34" t="s">
        <v>103</v>
      </c>
    </row>
    <row r="35" spans="1:16" ht="15" customHeight="1" x14ac:dyDescent="0.4">
      <c r="A35" t="s">
        <v>15</v>
      </c>
      <c r="B35" t="s">
        <v>16</v>
      </c>
      <c r="C35" s="13">
        <v>45658</v>
      </c>
      <c r="D35" s="13">
        <v>46022</v>
      </c>
      <c r="E35" t="s">
        <v>17</v>
      </c>
      <c r="F35">
        <v>0</v>
      </c>
      <c r="G35" t="s">
        <v>18</v>
      </c>
      <c r="H35">
        <v>1</v>
      </c>
      <c r="I35" t="s">
        <v>19</v>
      </c>
      <c r="J35">
        <v>321</v>
      </c>
      <c r="K35" t="s">
        <v>104</v>
      </c>
      <c r="L35" s="13">
        <v>45667</v>
      </c>
      <c r="M35" t="s">
        <v>3594</v>
      </c>
      <c r="N35" t="s">
        <v>106</v>
      </c>
      <c r="O35">
        <v>0.28999999999999998</v>
      </c>
      <c r="P35" t="s">
        <v>107</v>
      </c>
    </row>
    <row r="36" spans="1:16" ht="15" customHeight="1" x14ac:dyDescent="0.4">
      <c r="A36" t="s">
        <v>15</v>
      </c>
      <c r="B36" t="s">
        <v>16</v>
      </c>
      <c r="C36" s="13">
        <v>45658</v>
      </c>
      <c r="D36" s="13">
        <v>46022</v>
      </c>
      <c r="E36" t="s">
        <v>17</v>
      </c>
      <c r="F36">
        <v>0</v>
      </c>
      <c r="G36" t="s">
        <v>18</v>
      </c>
      <c r="H36">
        <v>1</v>
      </c>
      <c r="I36" t="s">
        <v>19</v>
      </c>
      <c r="J36">
        <v>321</v>
      </c>
      <c r="K36" t="s">
        <v>104</v>
      </c>
      <c r="L36" s="13">
        <v>45681</v>
      </c>
      <c r="M36" t="s">
        <v>3595</v>
      </c>
      <c r="N36" t="s">
        <v>3596</v>
      </c>
      <c r="O36">
        <v>2647.71</v>
      </c>
      <c r="P36" t="s">
        <v>34</v>
      </c>
    </row>
    <row r="37" spans="1:16" ht="15" customHeight="1" x14ac:dyDescent="0.4">
      <c r="A37" t="s">
        <v>15</v>
      </c>
      <c r="B37" t="s">
        <v>16</v>
      </c>
      <c r="C37" s="13">
        <v>45658</v>
      </c>
      <c r="D37" s="13">
        <v>46022</v>
      </c>
      <c r="E37" t="s">
        <v>17</v>
      </c>
      <c r="F37">
        <v>0</v>
      </c>
      <c r="G37" t="s">
        <v>18</v>
      </c>
      <c r="H37">
        <v>1</v>
      </c>
      <c r="I37" t="s">
        <v>19</v>
      </c>
      <c r="J37">
        <v>321</v>
      </c>
      <c r="K37" t="s">
        <v>104</v>
      </c>
      <c r="L37" s="13">
        <v>45688</v>
      </c>
      <c r="M37" t="s">
        <v>3597</v>
      </c>
      <c r="N37" t="s">
        <v>106</v>
      </c>
      <c r="O37">
        <v>-0.09</v>
      </c>
      <c r="P37" t="s">
        <v>107</v>
      </c>
    </row>
    <row r="38" spans="1:16" ht="15" customHeight="1" x14ac:dyDescent="0.4">
      <c r="A38" t="s">
        <v>15</v>
      </c>
      <c r="B38" t="s">
        <v>16</v>
      </c>
      <c r="C38" s="13">
        <v>45658</v>
      </c>
      <c r="D38" s="13">
        <v>46022</v>
      </c>
      <c r="E38" t="s">
        <v>17</v>
      </c>
      <c r="F38">
        <v>0</v>
      </c>
      <c r="G38" t="s">
        <v>18</v>
      </c>
      <c r="H38">
        <v>1</v>
      </c>
      <c r="I38" t="s">
        <v>19</v>
      </c>
      <c r="J38">
        <v>321</v>
      </c>
      <c r="K38" t="s">
        <v>104</v>
      </c>
      <c r="L38" s="13">
        <v>45713</v>
      </c>
      <c r="M38" t="s">
        <v>3598</v>
      </c>
      <c r="N38" t="s">
        <v>3599</v>
      </c>
      <c r="O38">
        <v>2647.71</v>
      </c>
      <c r="P38" t="s">
        <v>34</v>
      </c>
    </row>
    <row r="39" spans="1:16" ht="15" customHeight="1" x14ac:dyDescent="0.4">
      <c r="A39" t="s">
        <v>15</v>
      </c>
      <c r="B39" t="s">
        <v>16</v>
      </c>
      <c r="C39" s="13">
        <v>45658</v>
      </c>
      <c r="D39" s="13">
        <v>46022</v>
      </c>
      <c r="E39" t="s">
        <v>17</v>
      </c>
      <c r="F39">
        <v>0</v>
      </c>
      <c r="G39" t="s">
        <v>18</v>
      </c>
      <c r="H39">
        <v>1</v>
      </c>
      <c r="I39" t="s">
        <v>19</v>
      </c>
      <c r="J39">
        <v>321</v>
      </c>
      <c r="K39" t="s">
        <v>104</v>
      </c>
      <c r="L39" s="13">
        <v>45716</v>
      </c>
      <c r="M39" t="s">
        <v>3600</v>
      </c>
      <c r="N39" t="s">
        <v>106</v>
      </c>
      <c r="O39">
        <v>-0.09</v>
      </c>
      <c r="P39" t="s">
        <v>107</v>
      </c>
    </row>
    <row r="40" spans="1:16" ht="15" customHeight="1" x14ac:dyDescent="0.4">
      <c r="A40" t="s">
        <v>15</v>
      </c>
      <c r="B40" t="s">
        <v>16</v>
      </c>
      <c r="C40" s="13">
        <v>45658</v>
      </c>
      <c r="D40" s="13">
        <v>46022</v>
      </c>
      <c r="E40" t="s">
        <v>17</v>
      </c>
      <c r="F40">
        <v>0</v>
      </c>
      <c r="G40" t="s">
        <v>18</v>
      </c>
      <c r="H40">
        <v>1</v>
      </c>
      <c r="I40" t="s">
        <v>19</v>
      </c>
      <c r="J40">
        <v>321</v>
      </c>
      <c r="K40" t="s">
        <v>104</v>
      </c>
      <c r="L40" s="13">
        <v>45741</v>
      </c>
      <c r="M40" t="s">
        <v>3601</v>
      </c>
      <c r="N40" t="s">
        <v>3602</v>
      </c>
      <c r="O40">
        <v>2647.71</v>
      </c>
      <c r="P40" t="s">
        <v>34</v>
      </c>
    </row>
    <row r="41" spans="1:16" ht="15" customHeight="1" x14ac:dyDescent="0.4">
      <c r="A41" t="s">
        <v>15</v>
      </c>
      <c r="B41" t="s">
        <v>16</v>
      </c>
      <c r="C41" s="13">
        <v>45658</v>
      </c>
      <c r="D41" s="13">
        <v>46022</v>
      </c>
      <c r="E41" t="s">
        <v>17</v>
      </c>
      <c r="F41">
        <v>0</v>
      </c>
      <c r="G41" t="s">
        <v>18</v>
      </c>
      <c r="H41">
        <v>1</v>
      </c>
      <c r="I41" t="s">
        <v>19</v>
      </c>
      <c r="J41">
        <v>321</v>
      </c>
      <c r="K41" t="s">
        <v>104</v>
      </c>
      <c r="L41" s="13">
        <v>45747</v>
      </c>
      <c r="M41" t="s">
        <v>3977</v>
      </c>
      <c r="N41" t="s">
        <v>106</v>
      </c>
      <c r="O41">
        <v>-0.09</v>
      </c>
      <c r="P41" t="s">
        <v>107</v>
      </c>
    </row>
    <row r="42" spans="1:16" ht="15" customHeight="1" x14ac:dyDescent="0.4">
      <c r="A42" t="s">
        <v>15</v>
      </c>
      <c r="B42" t="s">
        <v>16</v>
      </c>
      <c r="C42" s="13">
        <v>45658</v>
      </c>
      <c r="D42" s="13">
        <v>46022</v>
      </c>
      <c r="E42" t="s">
        <v>17</v>
      </c>
      <c r="F42">
        <v>0</v>
      </c>
      <c r="G42" t="s">
        <v>18</v>
      </c>
      <c r="H42">
        <v>1</v>
      </c>
      <c r="I42" t="s">
        <v>19</v>
      </c>
      <c r="J42">
        <v>321</v>
      </c>
      <c r="K42" t="s">
        <v>104</v>
      </c>
      <c r="L42" s="13">
        <v>45772</v>
      </c>
      <c r="M42" t="s">
        <v>3978</v>
      </c>
      <c r="N42" t="s">
        <v>3979</v>
      </c>
      <c r="O42">
        <v>2662.28</v>
      </c>
      <c r="P42" t="s">
        <v>34</v>
      </c>
    </row>
    <row r="43" spans="1:16" ht="15" customHeight="1" x14ac:dyDescent="0.4">
      <c r="A43" t="s">
        <v>15</v>
      </c>
      <c r="B43" t="s">
        <v>16</v>
      </c>
      <c r="C43" s="13">
        <v>45658</v>
      </c>
      <c r="D43" s="13">
        <v>46022</v>
      </c>
      <c r="E43" t="s">
        <v>17</v>
      </c>
      <c r="F43">
        <v>0</v>
      </c>
      <c r="G43" t="s">
        <v>18</v>
      </c>
      <c r="H43">
        <v>1</v>
      </c>
      <c r="I43" t="s">
        <v>19</v>
      </c>
      <c r="J43">
        <v>321</v>
      </c>
      <c r="K43" t="s">
        <v>104</v>
      </c>
      <c r="L43" s="13">
        <v>45777</v>
      </c>
      <c r="M43" t="s">
        <v>3980</v>
      </c>
      <c r="N43" t="s">
        <v>106</v>
      </c>
      <c r="O43">
        <v>0.36</v>
      </c>
      <c r="P43" t="s">
        <v>107</v>
      </c>
    </row>
    <row r="44" spans="1:16" ht="15" customHeight="1" x14ac:dyDescent="0.4">
      <c r="A44" t="s">
        <v>15</v>
      </c>
      <c r="B44" t="s">
        <v>16</v>
      </c>
      <c r="C44" s="13">
        <v>45658</v>
      </c>
      <c r="D44" s="13">
        <v>46022</v>
      </c>
      <c r="E44" t="s">
        <v>17</v>
      </c>
      <c r="F44">
        <v>0</v>
      </c>
      <c r="G44" t="s">
        <v>18</v>
      </c>
      <c r="H44">
        <v>1</v>
      </c>
      <c r="I44" t="s">
        <v>19</v>
      </c>
      <c r="J44">
        <v>321</v>
      </c>
      <c r="K44" t="s">
        <v>104</v>
      </c>
      <c r="L44" s="13">
        <v>45797</v>
      </c>
      <c r="M44" t="s">
        <v>3981</v>
      </c>
      <c r="N44" t="s">
        <v>3982</v>
      </c>
      <c r="O44">
        <v>2696.2</v>
      </c>
      <c r="P44" t="s">
        <v>34</v>
      </c>
    </row>
    <row r="45" spans="1:16" ht="15" customHeight="1" x14ac:dyDescent="0.4">
      <c r="A45" t="s">
        <v>15</v>
      </c>
      <c r="B45" t="s">
        <v>16</v>
      </c>
      <c r="C45" s="13">
        <v>45658</v>
      </c>
      <c r="D45" s="13">
        <v>46022</v>
      </c>
      <c r="E45" t="s">
        <v>17</v>
      </c>
      <c r="F45">
        <v>0</v>
      </c>
      <c r="G45" t="s">
        <v>18</v>
      </c>
      <c r="H45">
        <v>1</v>
      </c>
      <c r="I45" t="s">
        <v>19</v>
      </c>
      <c r="J45">
        <v>321</v>
      </c>
      <c r="K45" t="s">
        <v>104</v>
      </c>
      <c r="L45" s="13">
        <v>45808</v>
      </c>
      <c r="M45" t="s">
        <v>3983</v>
      </c>
      <c r="N45" t="s">
        <v>106</v>
      </c>
      <c r="O45">
        <v>0.06</v>
      </c>
      <c r="P45" t="s">
        <v>107</v>
      </c>
    </row>
    <row r="46" spans="1:16" ht="15" customHeight="1" x14ac:dyDescent="0.4">
      <c r="A46" t="s">
        <v>15</v>
      </c>
      <c r="B46" t="s">
        <v>16</v>
      </c>
      <c r="C46" s="13">
        <v>45658</v>
      </c>
      <c r="D46" s="13">
        <v>46022</v>
      </c>
      <c r="E46" t="s">
        <v>17</v>
      </c>
      <c r="F46">
        <v>0</v>
      </c>
      <c r="G46" t="s">
        <v>18</v>
      </c>
      <c r="H46">
        <v>1</v>
      </c>
      <c r="I46" t="s">
        <v>19</v>
      </c>
      <c r="J46">
        <v>321</v>
      </c>
      <c r="K46" t="s">
        <v>104</v>
      </c>
      <c r="L46" s="13">
        <v>45833</v>
      </c>
      <c r="M46" t="s">
        <v>3984</v>
      </c>
      <c r="N46" t="s">
        <v>3985</v>
      </c>
      <c r="O46">
        <v>2767.85</v>
      </c>
      <c r="P46" t="s">
        <v>34</v>
      </c>
    </row>
    <row r="47" spans="1:16" ht="15" customHeight="1" x14ac:dyDescent="0.4">
      <c r="A47" t="s">
        <v>15</v>
      </c>
      <c r="B47" t="s">
        <v>16</v>
      </c>
      <c r="C47" s="13">
        <v>45658</v>
      </c>
      <c r="D47" s="13">
        <v>46022</v>
      </c>
      <c r="E47" t="s">
        <v>17</v>
      </c>
      <c r="F47">
        <v>0</v>
      </c>
      <c r="G47" t="s">
        <v>18</v>
      </c>
      <c r="H47">
        <v>1</v>
      </c>
      <c r="I47" t="s">
        <v>19</v>
      </c>
      <c r="J47">
        <v>321</v>
      </c>
      <c r="K47" t="s">
        <v>104</v>
      </c>
      <c r="L47" s="13">
        <v>45838</v>
      </c>
      <c r="M47" t="s">
        <v>3986</v>
      </c>
      <c r="N47" t="s">
        <v>106</v>
      </c>
      <c r="O47">
        <v>0.32</v>
      </c>
      <c r="P47" t="s">
        <v>107</v>
      </c>
    </row>
    <row r="48" spans="1:16" ht="15" customHeight="1" x14ac:dyDescent="0.4">
      <c r="A48" t="s">
        <v>15</v>
      </c>
      <c r="B48" t="s">
        <v>16</v>
      </c>
      <c r="C48" s="13">
        <v>45658</v>
      </c>
      <c r="D48" s="13">
        <v>46022</v>
      </c>
      <c r="E48" t="s">
        <v>17</v>
      </c>
      <c r="F48">
        <v>0</v>
      </c>
      <c r="G48" t="s">
        <v>18</v>
      </c>
      <c r="H48">
        <v>1</v>
      </c>
      <c r="I48" t="s">
        <v>19</v>
      </c>
      <c r="J48">
        <v>321</v>
      </c>
      <c r="K48" t="s">
        <v>104</v>
      </c>
      <c r="L48" s="13">
        <v>45863</v>
      </c>
      <c r="M48" t="s">
        <v>3987</v>
      </c>
      <c r="N48" t="s">
        <v>3988</v>
      </c>
      <c r="O48">
        <v>2696.2</v>
      </c>
      <c r="P48" t="s">
        <v>34</v>
      </c>
    </row>
    <row r="49" spans="1:16" ht="15" customHeight="1" x14ac:dyDescent="0.4">
      <c r="A49" t="s">
        <v>15</v>
      </c>
      <c r="B49" t="s">
        <v>16</v>
      </c>
      <c r="C49" s="13">
        <v>45658</v>
      </c>
      <c r="D49" s="13">
        <v>46022</v>
      </c>
      <c r="E49" t="s">
        <v>17</v>
      </c>
      <c r="F49">
        <v>0</v>
      </c>
      <c r="G49" t="s">
        <v>18</v>
      </c>
      <c r="H49">
        <v>1</v>
      </c>
      <c r="I49" t="s">
        <v>19</v>
      </c>
      <c r="J49">
        <v>321</v>
      </c>
      <c r="K49" t="s">
        <v>104</v>
      </c>
      <c r="L49" s="13">
        <v>45869</v>
      </c>
      <c r="M49" t="s">
        <v>3989</v>
      </c>
      <c r="N49" t="s">
        <v>106</v>
      </c>
      <c r="O49">
        <v>0.06</v>
      </c>
      <c r="P49" t="s">
        <v>107</v>
      </c>
    </row>
    <row r="50" spans="1:16" ht="15" customHeight="1" x14ac:dyDescent="0.4">
      <c r="A50" t="s">
        <v>15</v>
      </c>
      <c r="B50" t="s">
        <v>16</v>
      </c>
      <c r="C50" s="13">
        <v>45658</v>
      </c>
      <c r="D50" s="13">
        <v>46022</v>
      </c>
      <c r="E50" t="s">
        <v>17</v>
      </c>
      <c r="F50">
        <v>0</v>
      </c>
      <c r="G50" t="s">
        <v>18</v>
      </c>
      <c r="H50">
        <v>1</v>
      </c>
      <c r="I50" t="s">
        <v>19</v>
      </c>
      <c r="J50">
        <v>321</v>
      </c>
      <c r="K50" t="s">
        <v>104</v>
      </c>
      <c r="L50" s="13">
        <v>45895</v>
      </c>
      <c r="M50" t="s">
        <v>3990</v>
      </c>
      <c r="N50" t="s">
        <v>3991</v>
      </c>
      <c r="O50">
        <v>2696.2</v>
      </c>
      <c r="P50" t="s">
        <v>34</v>
      </c>
    </row>
    <row r="51" spans="1:16" ht="15" customHeight="1" x14ac:dyDescent="0.4">
      <c r="A51" t="s">
        <v>15</v>
      </c>
      <c r="B51" t="s">
        <v>16</v>
      </c>
      <c r="C51" s="13">
        <v>45658</v>
      </c>
      <c r="D51" s="13">
        <v>46022</v>
      </c>
      <c r="E51" t="s">
        <v>17</v>
      </c>
      <c r="F51">
        <v>0</v>
      </c>
      <c r="G51" t="s">
        <v>18</v>
      </c>
      <c r="H51">
        <v>1</v>
      </c>
      <c r="I51" t="s">
        <v>19</v>
      </c>
      <c r="J51">
        <v>321</v>
      </c>
      <c r="K51" t="s">
        <v>104</v>
      </c>
      <c r="L51" s="13">
        <v>45900</v>
      </c>
      <c r="M51" t="s">
        <v>3992</v>
      </c>
      <c r="N51" t="s">
        <v>106</v>
      </c>
      <c r="O51">
        <v>0.06</v>
      </c>
      <c r="P51" t="s">
        <v>107</v>
      </c>
    </row>
    <row r="52" spans="1:16" ht="15" customHeight="1" x14ac:dyDescent="0.4">
      <c r="A52" t="s">
        <v>15</v>
      </c>
      <c r="B52" t="s">
        <v>16</v>
      </c>
      <c r="C52" s="13">
        <v>45658</v>
      </c>
      <c r="D52" s="13">
        <v>46022</v>
      </c>
      <c r="E52" t="s">
        <v>17</v>
      </c>
      <c r="F52">
        <v>0</v>
      </c>
      <c r="G52" t="s">
        <v>18</v>
      </c>
      <c r="H52">
        <v>1</v>
      </c>
      <c r="I52" t="s">
        <v>19</v>
      </c>
      <c r="J52">
        <v>322</v>
      </c>
      <c r="K52" t="s">
        <v>143</v>
      </c>
      <c r="L52" s="13">
        <v>45667</v>
      </c>
      <c r="M52" t="s">
        <v>3603</v>
      </c>
      <c r="N52" t="s">
        <v>3604</v>
      </c>
      <c r="O52">
        <v>-1.19</v>
      </c>
      <c r="P52" t="s">
        <v>146</v>
      </c>
    </row>
    <row r="53" spans="1:16" ht="15" customHeight="1" x14ac:dyDescent="0.4">
      <c r="A53" t="s">
        <v>15</v>
      </c>
      <c r="B53" t="s">
        <v>16</v>
      </c>
      <c r="C53" s="13">
        <v>45658</v>
      </c>
      <c r="D53" s="13">
        <v>46022</v>
      </c>
      <c r="E53" t="s">
        <v>17</v>
      </c>
      <c r="F53">
        <v>0</v>
      </c>
      <c r="G53" t="s">
        <v>18</v>
      </c>
      <c r="H53">
        <v>1</v>
      </c>
      <c r="I53" t="s">
        <v>19</v>
      </c>
      <c r="J53">
        <v>322</v>
      </c>
      <c r="K53" t="s">
        <v>143</v>
      </c>
      <c r="L53" s="13">
        <v>45681</v>
      </c>
      <c r="M53" t="s">
        <v>3605</v>
      </c>
      <c r="N53" t="s">
        <v>3596</v>
      </c>
      <c r="O53">
        <v>669.23</v>
      </c>
      <c r="P53" t="s">
        <v>34</v>
      </c>
    </row>
    <row r="54" spans="1:16" ht="15" customHeight="1" x14ac:dyDescent="0.4">
      <c r="A54" t="s">
        <v>15</v>
      </c>
      <c r="B54" t="s">
        <v>16</v>
      </c>
      <c r="C54" s="13">
        <v>45658</v>
      </c>
      <c r="D54" s="13">
        <v>46022</v>
      </c>
      <c r="E54" t="s">
        <v>17</v>
      </c>
      <c r="F54">
        <v>0</v>
      </c>
      <c r="G54" t="s">
        <v>18</v>
      </c>
      <c r="H54">
        <v>1</v>
      </c>
      <c r="I54" t="s">
        <v>19</v>
      </c>
      <c r="J54">
        <v>322</v>
      </c>
      <c r="K54" t="s">
        <v>143</v>
      </c>
      <c r="L54" s="13">
        <v>45688</v>
      </c>
      <c r="M54" t="s">
        <v>3606</v>
      </c>
      <c r="N54" t="s">
        <v>3607</v>
      </c>
      <c r="O54">
        <v>-0.6</v>
      </c>
      <c r="P54" t="s">
        <v>146</v>
      </c>
    </row>
    <row r="55" spans="1:16" ht="15" customHeight="1" x14ac:dyDescent="0.4">
      <c r="A55" t="s">
        <v>15</v>
      </c>
      <c r="B55" t="s">
        <v>16</v>
      </c>
      <c r="C55" s="13">
        <v>45658</v>
      </c>
      <c r="D55" s="13">
        <v>46022</v>
      </c>
      <c r="E55" t="s">
        <v>17</v>
      </c>
      <c r="F55">
        <v>0</v>
      </c>
      <c r="G55" t="s">
        <v>18</v>
      </c>
      <c r="H55">
        <v>1</v>
      </c>
      <c r="I55" t="s">
        <v>19</v>
      </c>
      <c r="J55">
        <v>322</v>
      </c>
      <c r="K55" t="s">
        <v>143</v>
      </c>
      <c r="L55" s="13">
        <v>45713</v>
      </c>
      <c r="M55" t="s">
        <v>3608</v>
      </c>
      <c r="N55" t="s">
        <v>3599</v>
      </c>
      <c r="O55">
        <v>669.23</v>
      </c>
      <c r="P55" t="s">
        <v>34</v>
      </c>
    </row>
    <row r="56" spans="1:16" ht="15" customHeight="1" x14ac:dyDescent="0.4">
      <c r="A56" t="s">
        <v>15</v>
      </c>
      <c r="B56" t="s">
        <v>16</v>
      </c>
      <c r="C56" s="13">
        <v>45658</v>
      </c>
      <c r="D56" s="13">
        <v>46022</v>
      </c>
      <c r="E56" t="s">
        <v>17</v>
      </c>
      <c r="F56">
        <v>0</v>
      </c>
      <c r="G56" t="s">
        <v>18</v>
      </c>
      <c r="H56">
        <v>1</v>
      </c>
      <c r="I56" t="s">
        <v>19</v>
      </c>
      <c r="J56">
        <v>322</v>
      </c>
      <c r="K56" t="s">
        <v>143</v>
      </c>
      <c r="L56" s="13">
        <v>45716</v>
      </c>
      <c r="M56" t="s">
        <v>3609</v>
      </c>
      <c r="N56" t="s">
        <v>3610</v>
      </c>
      <c r="O56">
        <v>-0.6</v>
      </c>
      <c r="P56" t="s">
        <v>146</v>
      </c>
    </row>
    <row r="57" spans="1:16" ht="15" customHeight="1" x14ac:dyDescent="0.4">
      <c r="A57" t="s">
        <v>15</v>
      </c>
      <c r="B57" t="s">
        <v>16</v>
      </c>
      <c r="C57" s="13">
        <v>45658</v>
      </c>
      <c r="D57" s="13">
        <v>46022</v>
      </c>
      <c r="E57" t="s">
        <v>17</v>
      </c>
      <c r="F57">
        <v>0</v>
      </c>
      <c r="G57" t="s">
        <v>18</v>
      </c>
      <c r="H57">
        <v>1</v>
      </c>
      <c r="I57" t="s">
        <v>19</v>
      </c>
      <c r="J57">
        <v>322</v>
      </c>
      <c r="K57" t="s">
        <v>143</v>
      </c>
      <c r="L57" s="13">
        <v>45741</v>
      </c>
      <c r="M57" t="s">
        <v>3611</v>
      </c>
      <c r="N57" t="s">
        <v>3602</v>
      </c>
      <c r="O57">
        <v>669.23</v>
      </c>
      <c r="P57" t="s">
        <v>34</v>
      </c>
    </row>
    <row r="58" spans="1:16" ht="15" customHeight="1" x14ac:dyDescent="0.4">
      <c r="A58" t="s">
        <v>15</v>
      </c>
      <c r="B58" t="s">
        <v>16</v>
      </c>
      <c r="C58" s="13">
        <v>45658</v>
      </c>
      <c r="D58" s="13">
        <v>46022</v>
      </c>
      <c r="E58" t="s">
        <v>17</v>
      </c>
      <c r="F58">
        <v>0</v>
      </c>
      <c r="G58" t="s">
        <v>18</v>
      </c>
      <c r="H58">
        <v>1</v>
      </c>
      <c r="I58" t="s">
        <v>19</v>
      </c>
      <c r="J58">
        <v>322</v>
      </c>
      <c r="K58" t="s">
        <v>143</v>
      </c>
      <c r="L58" s="13">
        <v>45747</v>
      </c>
      <c r="M58" t="s">
        <v>3993</v>
      </c>
      <c r="N58" t="s">
        <v>3994</v>
      </c>
      <c r="O58">
        <v>-0.6</v>
      </c>
      <c r="P58" t="s">
        <v>146</v>
      </c>
    </row>
    <row r="59" spans="1:16" ht="15" customHeight="1" x14ac:dyDescent="0.4">
      <c r="A59" t="s">
        <v>15</v>
      </c>
      <c r="B59" t="s">
        <v>16</v>
      </c>
      <c r="C59" s="13">
        <v>45658</v>
      </c>
      <c r="D59" s="13">
        <v>46022</v>
      </c>
      <c r="E59" t="s">
        <v>17</v>
      </c>
      <c r="F59">
        <v>0</v>
      </c>
      <c r="G59" t="s">
        <v>18</v>
      </c>
      <c r="H59">
        <v>1</v>
      </c>
      <c r="I59" t="s">
        <v>19</v>
      </c>
      <c r="J59">
        <v>322</v>
      </c>
      <c r="K59" t="s">
        <v>143</v>
      </c>
      <c r="L59" s="13">
        <v>45772</v>
      </c>
      <c r="M59" t="s">
        <v>3995</v>
      </c>
      <c r="N59" t="s">
        <v>3979</v>
      </c>
      <c r="O59">
        <v>679.81</v>
      </c>
      <c r="P59" t="s">
        <v>34</v>
      </c>
    </row>
    <row r="60" spans="1:16" ht="15" customHeight="1" x14ac:dyDescent="0.4">
      <c r="A60" t="s">
        <v>15</v>
      </c>
      <c r="B60" t="s">
        <v>16</v>
      </c>
      <c r="C60" s="13">
        <v>45658</v>
      </c>
      <c r="D60" s="13">
        <v>46022</v>
      </c>
      <c r="E60" t="s">
        <v>17</v>
      </c>
      <c r="F60">
        <v>0</v>
      </c>
      <c r="G60" t="s">
        <v>18</v>
      </c>
      <c r="H60">
        <v>1</v>
      </c>
      <c r="I60" t="s">
        <v>19</v>
      </c>
      <c r="J60">
        <v>322</v>
      </c>
      <c r="K60" t="s">
        <v>143</v>
      </c>
      <c r="L60" s="13">
        <v>45777</v>
      </c>
      <c r="M60" t="s">
        <v>3996</v>
      </c>
      <c r="N60" t="s">
        <v>3997</v>
      </c>
      <c r="O60">
        <v>0.35</v>
      </c>
      <c r="P60" t="s">
        <v>146</v>
      </c>
    </row>
    <row r="61" spans="1:16" ht="15" customHeight="1" x14ac:dyDescent="0.4">
      <c r="A61" t="s">
        <v>15</v>
      </c>
      <c r="B61" t="s">
        <v>16</v>
      </c>
      <c r="C61" s="13">
        <v>45658</v>
      </c>
      <c r="D61" s="13">
        <v>46022</v>
      </c>
      <c r="E61" t="s">
        <v>17</v>
      </c>
      <c r="F61">
        <v>0</v>
      </c>
      <c r="G61" t="s">
        <v>18</v>
      </c>
      <c r="H61">
        <v>1</v>
      </c>
      <c r="I61" t="s">
        <v>19</v>
      </c>
      <c r="J61">
        <v>322</v>
      </c>
      <c r="K61" t="s">
        <v>143</v>
      </c>
      <c r="L61" s="13">
        <v>45797</v>
      </c>
      <c r="M61" t="s">
        <v>3998</v>
      </c>
      <c r="N61" t="s">
        <v>3982</v>
      </c>
      <c r="O61">
        <v>709.4</v>
      </c>
      <c r="P61" t="s">
        <v>34</v>
      </c>
    </row>
    <row r="62" spans="1:16" ht="15" customHeight="1" x14ac:dyDescent="0.4">
      <c r="A62" t="s">
        <v>15</v>
      </c>
      <c r="B62" t="s">
        <v>16</v>
      </c>
      <c r="C62" s="13">
        <v>45658</v>
      </c>
      <c r="D62" s="13">
        <v>46022</v>
      </c>
      <c r="E62" t="s">
        <v>17</v>
      </c>
      <c r="F62">
        <v>0</v>
      </c>
      <c r="G62" t="s">
        <v>18</v>
      </c>
      <c r="H62">
        <v>1</v>
      </c>
      <c r="I62" t="s">
        <v>19</v>
      </c>
      <c r="J62">
        <v>322</v>
      </c>
      <c r="K62" t="s">
        <v>143</v>
      </c>
      <c r="L62" s="13">
        <v>45808</v>
      </c>
      <c r="M62" t="s">
        <v>3999</v>
      </c>
      <c r="N62" t="s">
        <v>4000</v>
      </c>
      <c r="O62">
        <v>1.02</v>
      </c>
      <c r="P62" t="s">
        <v>146</v>
      </c>
    </row>
    <row r="63" spans="1:16" ht="15" customHeight="1" x14ac:dyDescent="0.4">
      <c r="A63" t="s">
        <v>15</v>
      </c>
      <c r="B63" t="s">
        <v>16</v>
      </c>
      <c r="C63" s="13">
        <v>45658</v>
      </c>
      <c r="D63" s="13">
        <v>46022</v>
      </c>
      <c r="E63" t="s">
        <v>17</v>
      </c>
      <c r="F63">
        <v>0</v>
      </c>
      <c r="G63" t="s">
        <v>18</v>
      </c>
      <c r="H63">
        <v>1</v>
      </c>
      <c r="I63" t="s">
        <v>19</v>
      </c>
      <c r="J63">
        <v>322</v>
      </c>
      <c r="K63" t="s">
        <v>143</v>
      </c>
      <c r="L63" s="13">
        <v>45833</v>
      </c>
      <c r="M63" t="s">
        <v>4001</v>
      </c>
      <c r="N63" t="s">
        <v>3985</v>
      </c>
      <c r="O63">
        <v>760.14</v>
      </c>
      <c r="P63" t="s">
        <v>34</v>
      </c>
    </row>
    <row r="64" spans="1:16" ht="15" customHeight="1" x14ac:dyDescent="0.4">
      <c r="A64" t="s">
        <v>15</v>
      </c>
      <c r="B64" t="s">
        <v>16</v>
      </c>
      <c r="C64" s="13">
        <v>45658</v>
      </c>
      <c r="D64" s="13">
        <v>46022</v>
      </c>
      <c r="E64" t="s">
        <v>17</v>
      </c>
      <c r="F64">
        <v>0</v>
      </c>
      <c r="G64" t="s">
        <v>18</v>
      </c>
      <c r="H64">
        <v>1</v>
      </c>
      <c r="I64" t="s">
        <v>19</v>
      </c>
      <c r="J64">
        <v>322</v>
      </c>
      <c r="K64" t="s">
        <v>143</v>
      </c>
      <c r="L64" s="13">
        <v>45838</v>
      </c>
      <c r="M64" t="s">
        <v>4002</v>
      </c>
      <c r="N64" t="s">
        <v>4003</v>
      </c>
      <c r="O64">
        <v>1.17</v>
      </c>
      <c r="P64" t="s">
        <v>146</v>
      </c>
    </row>
    <row r="65" spans="1:16" ht="15" customHeight="1" x14ac:dyDescent="0.4">
      <c r="A65" t="s">
        <v>15</v>
      </c>
      <c r="B65" t="s">
        <v>16</v>
      </c>
      <c r="C65" s="13">
        <v>45658</v>
      </c>
      <c r="D65" s="13">
        <v>46022</v>
      </c>
      <c r="E65" t="s">
        <v>17</v>
      </c>
      <c r="F65">
        <v>0</v>
      </c>
      <c r="G65" t="s">
        <v>18</v>
      </c>
      <c r="H65">
        <v>1</v>
      </c>
      <c r="I65" t="s">
        <v>19</v>
      </c>
      <c r="J65">
        <v>322</v>
      </c>
      <c r="K65" t="s">
        <v>143</v>
      </c>
      <c r="L65" s="13">
        <v>45863</v>
      </c>
      <c r="M65" t="s">
        <v>4004</v>
      </c>
      <c r="N65" t="s">
        <v>3988</v>
      </c>
      <c r="O65">
        <v>709.64</v>
      </c>
      <c r="P65" t="s">
        <v>34</v>
      </c>
    </row>
    <row r="66" spans="1:16" ht="15" customHeight="1" x14ac:dyDescent="0.4">
      <c r="A66" t="s">
        <v>15</v>
      </c>
      <c r="B66" t="s">
        <v>16</v>
      </c>
      <c r="C66" s="13">
        <v>45658</v>
      </c>
      <c r="D66" s="13">
        <v>46022</v>
      </c>
      <c r="E66" t="s">
        <v>17</v>
      </c>
      <c r="F66">
        <v>0</v>
      </c>
      <c r="G66" t="s">
        <v>18</v>
      </c>
      <c r="H66">
        <v>1</v>
      </c>
      <c r="I66" t="s">
        <v>19</v>
      </c>
      <c r="J66">
        <v>322</v>
      </c>
      <c r="K66" t="s">
        <v>143</v>
      </c>
      <c r="L66" s="13">
        <v>45869</v>
      </c>
      <c r="M66" t="s">
        <v>4005</v>
      </c>
      <c r="N66" t="s">
        <v>4006</v>
      </c>
      <c r="O66">
        <v>0.78</v>
      </c>
      <c r="P66" t="s">
        <v>146</v>
      </c>
    </row>
    <row r="67" spans="1:16" ht="15" customHeight="1" x14ac:dyDescent="0.4">
      <c r="A67" t="s">
        <v>15</v>
      </c>
      <c r="B67" t="s">
        <v>16</v>
      </c>
      <c r="C67" s="13">
        <v>45658</v>
      </c>
      <c r="D67" s="13">
        <v>46022</v>
      </c>
      <c r="E67" t="s">
        <v>17</v>
      </c>
      <c r="F67">
        <v>0</v>
      </c>
      <c r="G67" t="s">
        <v>18</v>
      </c>
      <c r="H67">
        <v>1</v>
      </c>
      <c r="I67" t="s">
        <v>19</v>
      </c>
      <c r="J67">
        <v>322</v>
      </c>
      <c r="K67" t="s">
        <v>143</v>
      </c>
      <c r="L67" s="13">
        <v>45895</v>
      </c>
      <c r="M67" t="s">
        <v>4007</v>
      </c>
      <c r="N67" t="s">
        <v>3991</v>
      </c>
      <c r="O67">
        <v>708.78</v>
      </c>
      <c r="P67" t="s">
        <v>34</v>
      </c>
    </row>
    <row r="68" spans="1:16" ht="15" customHeight="1" x14ac:dyDescent="0.4">
      <c r="A68" t="s">
        <v>15</v>
      </c>
      <c r="B68" t="s">
        <v>16</v>
      </c>
      <c r="C68" s="13">
        <v>45658</v>
      </c>
      <c r="D68" s="13">
        <v>46022</v>
      </c>
      <c r="E68" t="s">
        <v>17</v>
      </c>
      <c r="F68">
        <v>0</v>
      </c>
      <c r="G68" t="s">
        <v>18</v>
      </c>
      <c r="H68">
        <v>1</v>
      </c>
      <c r="I68" t="s">
        <v>19</v>
      </c>
      <c r="J68">
        <v>322</v>
      </c>
      <c r="K68" t="s">
        <v>143</v>
      </c>
      <c r="L68" s="13">
        <v>45900</v>
      </c>
      <c r="M68" t="s">
        <v>4008</v>
      </c>
      <c r="N68" t="s">
        <v>4009</v>
      </c>
      <c r="O68">
        <v>0.64</v>
      </c>
      <c r="P68" t="s">
        <v>146</v>
      </c>
    </row>
    <row r="69" spans="1:16" ht="15" customHeight="1" x14ac:dyDescent="0.4">
      <c r="A69" t="s">
        <v>15</v>
      </c>
      <c r="B69" t="s">
        <v>16</v>
      </c>
      <c r="C69" s="13">
        <v>45658</v>
      </c>
      <c r="D69" s="13">
        <v>46022</v>
      </c>
      <c r="E69" t="s">
        <v>17</v>
      </c>
      <c r="F69">
        <v>0</v>
      </c>
      <c r="G69" t="s">
        <v>18</v>
      </c>
      <c r="H69">
        <v>1</v>
      </c>
      <c r="I69" t="s">
        <v>19</v>
      </c>
      <c r="J69">
        <v>323</v>
      </c>
      <c r="K69" t="s">
        <v>181</v>
      </c>
      <c r="L69" s="13">
        <v>45681</v>
      </c>
      <c r="M69" t="s">
        <v>3612</v>
      </c>
      <c r="N69" t="s">
        <v>3596</v>
      </c>
      <c r="O69">
        <v>158.6</v>
      </c>
      <c r="P69" t="s">
        <v>34</v>
      </c>
    </row>
    <row r="70" spans="1:16" ht="15" customHeight="1" x14ac:dyDescent="0.4">
      <c r="A70" t="s">
        <v>15</v>
      </c>
      <c r="B70" t="s">
        <v>16</v>
      </c>
      <c r="C70" s="13">
        <v>45658</v>
      </c>
      <c r="D70" s="13">
        <v>46022</v>
      </c>
      <c r="E70" t="s">
        <v>17</v>
      </c>
      <c r="F70">
        <v>0</v>
      </c>
      <c r="G70" t="s">
        <v>18</v>
      </c>
      <c r="H70">
        <v>1</v>
      </c>
      <c r="I70" t="s">
        <v>19</v>
      </c>
      <c r="J70">
        <v>323</v>
      </c>
      <c r="K70" t="s">
        <v>181</v>
      </c>
      <c r="L70" s="13">
        <v>45713</v>
      </c>
      <c r="M70" t="s">
        <v>3613</v>
      </c>
      <c r="N70" t="s">
        <v>3599</v>
      </c>
      <c r="O70">
        <v>158.61000000000001</v>
      </c>
      <c r="P70" t="s">
        <v>34</v>
      </c>
    </row>
    <row r="71" spans="1:16" ht="15" customHeight="1" x14ac:dyDescent="0.4">
      <c r="A71" t="s">
        <v>15</v>
      </c>
      <c r="B71" t="s">
        <v>16</v>
      </c>
      <c r="C71" s="13">
        <v>45658</v>
      </c>
      <c r="D71" s="13">
        <v>46022</v>
      </c>
      <c r="E71" t="s">
        <v>17</v>
      </c>
      <c r="F71">
        <v>0</v>
      </c>
      <c r="G71" t="s">
        <v>18</v>
      </c>
      <c r="H71">
        <v>1</v>
      </c>
      <c r="I71" t="s">
        <v>19</v>
      </c>
      <c r="J71">
        <v>323</v>
      </c>
      <c r="K71" t="s">
        <v>181</v>
      </c>
      <c r="L71" s="13">
        <v>45741</v>
      </c>
      <c r="M71" t="s">
        <v>3614</v>
      </c>
      <c r="N71" t="s">
        <v>3602</v>
      </c>
      <c r="O71">
        <v>158.6</v>
      </c>
      <c r="P71" t="s">
        <v>34</v>
      </c>
    </row>
    <row r="72" spans="1:16" ht="15" customHeight="1" x14ac:dyDescent="0.4">
      <c r="A72" t="s">
        <v>15</v>
      </c>
      <c r="B72" t="s">
        <v>16</v>
      </c>
      <c r="C72" s="13">
        <v>45658</v>
      </c>
      <c r="D72" s="13">
        <v>46022</v>
      </c>
      <c r="E72" t="s">
        <v>17</v>
      </c>
      <c r="F72">
        <v>0</v>
      </c>
      <c r="G72" t="s">
        <v>18</v>
      </c>
      <c r="H72">
        <v>1</v>
      </c>
      <c r="I72" t="s">
        <v>19</v>
      </c>
      <c r="J72">
        <v>323</v>
      </c>
      <c r="K72" t="s">
        <v>181</v>
      </c>
      <c r="L72" s="13">
        <v>45772</v>
      </c>
      <c r="M72" t="s">
        <v>4010</v>
      </c>
      <c r="N72" t="s">
        <v>3979</v>
      </c>
      <c r="O72">
        <v>161.06</v>
      </c>
      <c r="P72" t="s">
        <v>34</v>
      </c>
    </row>
    <row r="73" spans="1:16" ht="15" customHeight="1" x14ac:dyDescent="0.4">
      <c r="A73" t="s">
        <v>15</v>
      </c>
      <c r="B73" t="s">
        <v>16</v>
      </c>
      <c r="C73" s="13">
        <v>45658</v>
      </c>
      <c r="D73" s="13">
        <v>46022</v>
      </c>
      <c r="E73" t="s">
        <v>17</v>
      </c>
      <c r="F73">
        <v>0</v>
      </c>
      <c r="G73" t="s">
        <v>18</v>
      </c>
      <c r="H73">
        <v>1</v>
      </c>
      <c r="I73" t="s">
        <v>19</v>
      </c>
      <c r="J73">
        <v>323</v>
      </c>
      <c r="K73" t="s">
        <v>181</v>
      </c>
      <c r="L73" s="13">
        <v>45797</v>
      </c>
      <c r="M73" t="s">
        <v>4011</v>
      </c>
      <c r="N73" t="s">
        <v>3982</v>
      </c>
      <c r="O73">
        <v>166.94</v>
      </c>
      <c r="P73" t="s">
        <v>34</v>
      </c>
    </row>
    <row r="74" spans="1:16" ht="15" customHeight="1" x14ac:dyDescent="0.4">
      <c r="A74" t="s">
        <v>15</v>
      </c>
      <c r="B74" t="s">
        <v>16</v>
      </c>
      <c r="C74" s="13">
        <v>45658</v>
      </c>
      <c r="D74" s="13">
        <v>46022</v>
      </c>
      <c r="E74" t="s">
        <v>17</v>
      </c>
      <c r="F74">
        <v>0</v>
      </c>
      <c r="G74" t="s">
        <v>18</v>
      </c>
      <c r="H74">
        <v>1</v>
      </c>
      <c r="I74" t="s">
        <v>19</v>
      </c>
      <c r="J74">
        <v>323</v>
      </c>
      <c r="K74" t="s">
        <v>181</v>
      </c>
      <c r="L74" s="13">
        <v>45808</v>
      </c>
      <c r="M74" t="s">
        <v>4012</v>
      </c>
      <c r="N74" t="s">
        <v>106</v>
      </c>
      <c r="O74">
        <v>-0.01</v>
      </c>
      <c r="P74" t="s">
        <v>184</v>
      </c>
    </row>
    <row r="75" spans="1:16" ht="15" customHeight="1" x14ac:dyDescent="0.4">
      <c r="A75" t="s">
        <v>15</v>
      </c>
      <c r="B75" t="s">
        <v>16</v>
      </c>
      <c r="C75" s="13">
        <v>45658</v>
      </c>
      <c r="D75" s="13">
        <v>46022</v>
      </c>
      <c r="E75" t="s">
        <v>17</v>
      </c>
      <c r="F75">
        <v>0</v>
      </c>
      <c r="G75" t="s">
        <v>18</v>
      </c>
      <c r="H75">
        <v>1</v>
      </c>
      <c r="I75" t="s">
        <v>19</v>
      </c>
      <c r="J75">
        <v>323</v>
      </c>
      <c r="K75" t="s">
        <v>181</v>
      </c>
      <c r="L75" s="13">
        <v>45833</v>
      </c>
      <c r="M75" t="s">
        <v>4013</v>
      </c>
      <c r="N75" t="s">
        <v>3985</v>
      </c>
      <c r="O75">
        <v>178.76</v>
      </c>
      <c r="P75" t="s">
        <v>34</v>
      </c>
    </row>
    <row r="76" spans="1:16" ht="15" customHeight="1" x14ac:dyDescent="0.4">
      <c r="A76" t="s">
        <v>15</v>
      </c>
      <c r="B76" t="s">
        <v>16</v>
      </c>
      <c r="C76" s="13">
        <v>45658</v>
      </c>
      <c r="D76" s="13">
        <v>46022</v>
      </c>
      <c r="E76" t="s">
        <v>17</v>
      </c>
      <c r="F76">
        <v>0</v>
      </c>
      <c r="G76" t="s">
        <v>18</v>
      </c>
      <c r="H76">
        <v>1</v>
      </c>
      <c r="I76" t="s">
        <v>19</v>
      </c>
      <c r="J76">
        <v>323</v>
      </c>
      <c r="K76" t="s">
        <v>181</v>
      </c>
      <c r="L76" s="13">
        <v>45863</v>
      </c>
      <c r="M76" t="s">
        <v>4014</v>
      </c>
      <c r="N76" t="s">
        <v>3988</v>
      </c>
      <c r="O76">
        <v>167</v>
      </c>
      <c r="P76" t="s">
        <v>34</v>
      </c>
    </row>
    <row r="77" spans="1:16" ht="15" customHeight="1" x14ac:dyDescent="0.4">
      <c r="A77" t="s">
        <v>15</v>
      </c>
      <c r="B77" t="s">
        <v>16</v>
      </c>
      <c r="C77" s="13">
        <v>45658</v>
      </c>
      <c r="D77" s="13">
        <v>46022</v>
      </c>
      <c r="E77" t="s">
        <v>17</v>
      </c>
      <c r="F77">
        <v>0</v>
      </c>
      <c r="G77" t="s">
        <v>18</v>
      </c>
      <c r="H77">
        <v>1</v>
      </c>
      <c r="I77" t="s">
        <v>19</v>
      </c>
      <c r="J77">
        <v>323</v>
      </c>
      <c r="K77" t="s">
        <v>181</v>
      </c>
      <c r="L77" s="13">
        <v>45869</v>
      </c>
      <c r="M77" t="s">
        <v>4015</v>
      </c>
      <c r="N77" t="s">
        <v>106</v>
      </c>
      <c r="O77">
        <v>-0.01</v>
      </c>
      <c r="P77" t="s">
        <v>184</v>
      </c>
    </row>
    <row r="78" spans="1:16" ht="15" customHeight="1" x14ac:dyDescent="0.4">
      <c r="A78" t="s">
        <v>15</v>
      </c>
      <c r="B78" t="s">
        <v>16</v>
      </c>
      <c r="C78" s="13">
        <v>45658</v>
      </c>
      <c r="D78" s="13">
        <v>46022</v>
      </c>
      <c r="E78" t="s">
        <v>17</v>
      </c>
      <c r="F78">
        <v>0</v>
      </c>
      <c r="G78" t="s">
        <v>18</v>
      </c>
      <c r="H78">
        <v>1</v>
      </c>
      <c r="I78" t="s">
        <v>19</v>
      </c>
      <c r="J78">
        <v>323</v>
      </c>
      <c r="K78" t="s">
        <v>181</v>
      </c>
      <c r="L78" s="13">
        <v>45895</v>
      </c>
      <c r="M78" t="s">
        <v>4016</v>
      </c>
      <c r="N78" t="s">
        <v>3991</v>
      </c>
      <c r="O78">
        <v>166.8</v>
      </c>
      <c r="P78" t="s">
        <v>34</v>
      </c>
    </row>
    <row r="79" spans="1:16" ht="15" customHeight="1" x14ac:dyDescent="0.4">
      <c r="A79" t="s">
        <v>15</v>
      </c>
      <c r="B79" t="s">
        <v>16</v>
      </c>
      <c r="C79" s="13">
        <v>45658</v>
      </c>
      <c r="D79" s="13">
        <v>46022</v>
      </c>
      <c r="E79" t="s">
        <v>17</v>
      </c>
      <c r="F79">
        <v>0</v>
      </c>
      <c r="G79" t="s">
        <v>18</v>
      </c>
      <c r="H79">
        <v>1</v>
      </c>
      <c r="I79" t="s">
        <v>19</v>
      </c>
      <c r="J79">
        <v>323</v>
      </c>
      <c r="K79" t="s">
        <v>181</v>
      </c>
      <c r="L79" s="13">
        <v>45900</v>
      </c>
      <c r="M79" t="s">
        <v>4017</v>
      </c>
      <c r="N79" t="s">
        <v>106</v>
      </c>
      <c r="O79">
        <v>-0.01</v>
      </c>
      <c r="P79" t="s">
        <v>184</v>
      </c>
    </row>
    <row r="80" spans="1:16" ht="15" customHeight="1" x14ac:dyDescent="0.4">
      <c r="A80" t="s">
        <v>15</v>
      </c>
      <c r="B80" t="s">
        <v>16</v>
      </c>
      <c r="C80" s="13">
        <v>45658</v>
      </c>
      <c r="D80" s="13">
        <v>46022</v>
      </c>
      <c r="E80" t="s">
        <v>17</v>
      </c>
      <c r="F80">
        <v>0</v>
      </c>
      <c r="G80" t="s">
        <v>18</v>
      </c>
      <c r="H80">
        <v>1</v>
      </c>
      <c r="I80" t="s">
        <v>19</v>
      </c>
      <c r="J80">
        <v>337</v>
      </c>
      <c r="K80" t="s">
        <v>203</v>
      </c>
      <c r="L80" s="13">
        <v>45667</v>
      </c>
      <c r="M80" t="s">
        <v>3615</v>
      </c>
      <c r="N80" t="s">
        <v>106</v>
      </c>
      <c r="O80">
        <v>-0.01</v>
      </c>
      <c r="P80" t="s">
        <v>1160</v>
      </c>
    </row>
    <row r="81" spans="1:16" ht="15" customHeight="1" x14ac:dyDescent="0.4">
      <c r="A81" t="s">
        <v>15</v>
      </c>
      <c r="B81" t="s">
        <v>16</v>
      </c>
      <c r="C81" s="13">
        <v>45658</v>
      </c>
      <c r="D81" s="13">
        <v>46022</v>
      </c>
      <c r="E81" t="s">
        <v>17</v>
      </c>
      <c r="F81">
        <v>0</v>
      </c>
      <c r="G81" t="s">
        <v>18</v>
      </c>
      <c r="H81">
        <v>1</v>
      </c>
      <c r="I81" t="s">
        <v>19</v>
      </c>
      <c r="J81">
        <v>337</v>
      </c>
      <c r="K81" t="s">
        <v>203</v>
      </c>
      <c r="L81" s="13">
        <v>45681</v>
      </c>
      <c r="M81" t="s">
        <v>3617</v>
      </c>
      <c r="N81" t="s">
        <v>3596</v>
      </c>
      <c r="O81">
        <v>46.59</v>
      </c>
      <c r="P81" t="s">
        <v>34</v>
      </c>
    </row>
    <row r="82" spans="1:16" ht="15" customHeight="1" x14ac:dyDescent="0.4">
      <c r="A82" t="s">
        <v>15</v>
      </c>
      <c r="B82" t="s">
        <v>16</v>
      </c>
      <c r="C82" s="13">
        <v>45658</v>
      </c>
      <c r="D82" s="13">
        <v>46022</v>
      </c>
      <c r="E82" t="s">
        <v>17</v>
      </c>
      <c r="F82">
        <v>0</v>
      </c>
      <c r="G82" t="s">
        <v>18</v>
      </c>
      <c r="H82">
        <v>1</v>
      </c>
      <c r="I82" t="s">
        <v>19</v>
      </c>
      <c r="J82">
        <v>337</v>
      </c>
      <c r="K82" t="s">
        <v>203</v>
      </c>
      <c r="L82" s="13">
        <v>45681</v>
      </c>
      <c r="M82" t="s">
        <v>3616</v>
      </c>
      <c r="N82" t="s">
        <v>3596</v>
      </c>
      <c r="O82">
        <v>23.04</v>
      </c>
      <c r="P82" t="s">
        <v>34</v>
      </c>
    </row>
    <row r="83" spans="1:16" ht="15" customHeight="1" x14ac:dyDescent="0.4">
      <c r="A83" t="s">
        <v>15</v>
      </c>
      <c r="B83" t="s">
        <v>16</v>
      </c>
      <c r="C83" s="13">
        <v>45658</v>
      </c>
      <c r="D83" s="13">
        <v>46022</v>
      </c>
      <c r="E83" t="s">
        <v>17</v>
      </c>
      <c r="F83">
        <v>0</v>
      </c>
      <c r="G83" t="s">
        <v>18</v>
      </c>
      <c r="H83">
        <v>1</v>
      </c>
      <c r="I83" t="s">
        <v>19</v>
      </c>
      <c r="J83">
        <v>337</v>
      </c>
      <c r="K83" t="s">
        <v>203</v>
      </c>
      <c r="L83" s="13">
        <v>45688</v>
      </c>
      <c r="M83" t="s">
        <v>3618</v>
      </c>
      <c r="N83" t="s">
        <v>106</v>
      </c>
      <c r="O83">
        <v>-0.01</v>
      </c>
      <c r="P83" t="s">
        <v>205</v>
      </c>
    </row>
    <row r="84" spans="1:16" ht="15" customHeight="1" x14ac:dyDescent="0.4">
      <c r="A84" t="s">
        <v>15</v>
      </c>
      <c r="B84" t="s">
        <v>16</v>
      </c>
      <c r="C84" s="13">
        <v>45658</v>
      </c>
      <c r="D84" s="13">
        <v>46022</v>
      </c>
      <c r="E84" t="s">
        <v>17</v>
      </c>
      <c r="F84">
        <v>0</v>
      </c>
      <c r="G84" t="s">
        <v>18</v>
      </c>
      <c r="H84">
        <v>1</v>
      </c>
      <c r="I84" t="s">
        <v>19</v>
      </c>
      <c r="J84">
        <v>337</v>
      </c>
      <c r="K84" t="s">
        <v>203</v>
      </c>
      <c r="L84" s="13">
        <v>45713</v>
      </c>
      <c r="M84" t="s">
        <v>3619</v>
      </c>
      <c r="N84" t="s">
        <v>3599</v>
      </c>
      <c r="O84">
        <v>46.59</v>
      </c>
      <c r="P84" t="s">
        <v>34</v>
      </c>
    </row>
    <row r="85" spans="1:16" ht="15" customHeight="1" x14ac:dyDescent="0.4">
      <c r="A85" t="s">
        <v>15</v>
      </c>
      <c r="B85" t="s">
        <v>16</v>
      </c>
      <c r="C85" s="13">
        <v>45658</v>
      </c>
      <c r="D85" s="13">
        <v>46022</v>
      </c>
      <c r="E85" t="s">
        <v>17</v>
      </c>
      <c r="F85">
        <v>0</v>
      </c>
      <c r="G85" t="s">
        <v>18</v>
      </c>
      <c r="H85">
        <v>1</v>
      </c>
      <c r="I85" t="s">
        <v>19</v>
      </c>
      <c r="J85">
        <v>337</v>
      </c>
      <c r="K85" t="s">
        <v>203</v>
      </c>
      <c r="L85" s="13">
        <v>45713</v>
      </c>
      <c r="M85" t="s">
        <v>3620</v>
      </c>
      <c r="N85" t="s">
        <v>3599</v>
      </c>
      <c r="O85">
        <v>23.04</v>
      </c>
      <c r="P85" t="s">
        <v>34</v>
      </c>
    </row>
    <row r="86" spans="1:16" ht="15" customHeight="1" x14ac:dyDescent="0.4">
      <c r="A86" t="s">
        <v>15</v>
      </c>
      <c r="B86" t="s">
        <v>16</v>
      </c>
      <c r="C86" s="13">
        <v>45658</v>
      </c>
      <c r="D86" s="13">
        <v>46022</v>
      </c>
      <c r="E86" t="s">
        <v>17</v>
      </c>
      <c r="F86">
        <v>0</v>
      </c>
      <c r="G86" t="s">
        <v>18</v>
      </c>
      <c r="H86">
        <v>1</v>
      </c>
      <c r="I86" t="s">
        <v>19</v>
      </c>
      <c r="J86">
        <v>337</v>
      </c>
      <c r="K86" t="s">
        <v>203</v>
      </c>
      <c r="L86" s="13">
        <v>45716</v>
      </c>
      <c r="M86" t="s">
        <v>3621</v>
      </c>
      <c r="N86" t="s">
        <v>106</v>
      </c>
      <c r="O86">
        <v>-0.01</v>
      </c>
      <c r="P86" t="s">
        <v>205</v>
      </c>
    </row>
    <row r="87" spans="1:16" ht="15" customHeight="1" x14ac:dyDescent="0.4">
      <c r="A87" t="s">
        <v>15</v>
      </c>
      <c r="B87" t="s">
        <v>16</v>
      </c>
      <c r="C87" s="13">
        <v>45658</v>
      </c>
      <c r="D87" s="13">
        <v>46022</v>
      </c>
      <c r="E87" t="s">
        <v>17</v>
      </c>
      <c r="F87">
        <v>0</v>
      </c>
      <c r="G87" t="s">
        <v>18</v>
      </c>
      <c r="H87">
        <v>1</v>
      </c>
      <c r="I87" t="s">
        <v>19</v>
      </c>
      <c r="J87">
        <v>337</v>
      </c>
      <c r="K87" t="s">
        <v>203</v>
      </c>
      <c r="L87" s="13">
        <v>45741</v>
      </c>
      <c r="M87" t="s">
        <v>3622</v>
      </c>
      <c r="N87" t="s">
        <v>3602</v>
      </c>
      <c r="O87">
        <v>46.59</v>
      </c>
      <c r="P87" t="s">
        <v>34</v>
      </c>
    </row>
    <row r="88" spans="1:16" ht="15" customHeight="1" x14ac:dyDescent="0.4">
      <c r="A88" t="s">
        <v>15</v>
      </c>
      <c r="B88" t="s">
        <v>16</v>
      </c>
      <c r="C88" s="13">
        <v>45658</v>
      </c>
      <c r="D88" s="13">
        <v>46022</v>
      </c>
      <c r="E88" t="s">
        <v>17</v>
      </c>
      <c r="F88">
        <v>0</v>
      </c>
      <c r="G88" t="s">
        <v>18</v>
      </c>
      <c r="H88">
        <v>1</v>
      </c>
      <c r="I88" t="s">
        <v>19</v>
      </c>
      <c r="J88">
        <v>337</v>
      </c>
      <c r="K88" t="s">
        <v>203</v>
      </c>
      <c r="L88" s="13">
        <v>45741</v>
      </c>
      <c r="M88" t="s">
        <v>3623</v>
      </c>
      <c r="N88" t="s">
        <v>3602</v>
      </c>
      <c r="O88">
        <v>23.04</v>
      </c>
      <c r="P88" t="s">
        <v>34</v>
      </c>
    </row>
    <row r="89" spans="1:16" ht="15" customHeight="1" x14ac:dyDescent="0.4">
      <c r="A89" t="s">
        <v>15</v>
      </c>
      <c r="B89" t="s">
        <v>16</v>
      </c>
      <c r="C89" s="13">
        <v>45658</v>
      </c>
      <c r="D89" s="13">
        <v>46022</v>
      </c>
      <c r="E89" t="s">
        <v>17</v>
      </c>
      <c r="F89">
        <v>0</v>
      </c>
      <c r="G89" t="s">
        <v>18</v>
      </c>
      <c r="H89">
        <v>1</v>
      </c>
      <c r="I89" t="s">
        <v>19</v>
      </c>
      <c r="J89">
        <v>337</v>
      </c>
      <c r="K89" t="s">
        <v>203</v>
      </c>
      <c r="L89" s="13">
        <v>45747</v>
      </c>
      <c r="M89" t="s">
        <v>4018</v>
      </c>
      <c r="N89" t="s">
        <v>106</v>
      </c>
      <c r="O89">
        <v>-0.01</v>
      </c>
      <c r="P89" t="s">
        <v>205</v>
      </c>
    </row>
    <row r="90" spans="1:16" ht="15" customHeight="1" x14ac:dyDescent="0.4">
      <c r="A90" t="s">
        <v>15</v>
      </c>
      <c r="B90" t="s">
        <v>16</v>
      </c>
      <c r="C90" s="13">
        <v>45658</v>
      </c>
      <c r="D90" s="13">
        <v>46022</v>
      </c>
      <c r="E90" t="s">
        <v>17</v>
      </c>
      <c r="F90">
        <v>0</v>
      </c>
      <c r="G90" t="s">
        <v>18</v>
      </c>
      <c r="H90">
        <v>1</v>
      </c>
      <c r="I90" t="s">
        <v>19</v>
      </c>
      <c r="J90">
        <v>337</v>
      </c>
      <c r="K90" t="s">
        <v>203</v>
      </c>
      <c r="L90" s="13">
        <v>45772</v>
      </c>
      <c r="M90" t="s">
        <v>4019</v>
      </c>
      <c r="N90" t="s">
        <v>3979</v>
      </c>
      <c r="O90">
        <v>23.16</v>
      </c>
      <c r="P90" t="s">
        <v>34</v>
      </c>
    </row>
    <row r="91" spans="1:16" ht="15" customHeight="1" x14ac:dyDescent="0.4">
      <c r="A91" t="s">
        <v>15</v>
      </c>
      <c r="B91" t="s">
        <v>16</v>
      </c>
      <c r="C91" s="13">
        <v>45658</v>
      </c>
      <c r="D91" s="13">
        <v>46022</v>
      </c>
      <c r="E91" t="s">
        <v>17</v>
      </c>
      <c r="F91">
        <v>0</v>
      </c>
      <c r="G91" t="s">
        <v>18</v>
      </c>
      <c r="H91">
        <v>1</v>
      </c>
      <c r="I91" t="s">
        <v>19</v>
      </c>
      <c r="J91">
        <v>337</v>
      </c>
      <c r="K91" t="s">
        <v>203</v>
      </c>
      <c r="L91" s="13">
        <v>45772</v>
      </c>
      <c r="M91" t="s">
        <v>4020</v>
      </c>
      <c r="N91" t="s">
        <v>3979</v>
      </c>
      <c r="O91">
        <v>46.59</v>
      </c>
      <c r="P91" t="s">
        <v>34</v>
      </c>
    </row>
    <row r="92" spans="1:16" ht="15" customHeight="1" x14ac:dyDescent="0.4">
      <c r="A92" t="s">
        <v>15</v>
      </c>
      <c r="B92" t="s">
        <v>16</v>
      </c>
      <c r="C92" s="13">
        <v>45658</v>
      </c>
      <c r="D92" s="13">
        <v>46022</v>
      </c>
      <c r="E92" t="s">
        <v>17</v>
      </c>
      <c r="F92">
        <v>0</v>
      </c>
      <c r="G92" t="s">
        <v>18</v>
      </c>
      <c r="H92">
        <v>1</v>
      </c>
      <c r="I92" t="s">
        <v>19</v>
      </c>
      <c r="J92">
        <v>337</v>
      </c>
      <c r="K92" t="s">
        <v>203</v>
      </c>
      <c r="L92" s="13">
        <v>45797</v>
      </c>
      <c r="M92" t="s">
        <v>4021</v>
      </c>
      <c r="N92" t="s">
        <v>3982</v>
      </c>
      <c r="O92">
        <v>23.46</v>
      </c>
      <c r="P92" t="s">
        <v>34</v>
      </c>
    </row>
    <row r="93" spans="1:16" ht="15" customHeight="1" x14ac:dyDescent="0.4">
      <c r="A93" t="s">
        <v>15</v>
      </c>
      <c r="B93" t="s">
        <v>16</v>
      </c>
      <c r="C93" s="13">
        <v>45658</v>
      </c>
      <c r="D93" s="13">
        <v>46022</v>
      </c>
      <c r="E93" t="s">
        <v>17</v>
      </c>
      <c r="F93">
        <v>0</v>
      </c>
      <c r="G93" t="s">
        <v>18</v>
      </c>
      <c r="H93">
        <v>1</v>
      </c>
      <c r="I93" t="s">
        <v>19</v>
      </c>
      <c r="J93">
        <v>337</v>
      </c>
      <c r="K93" t="s">
        <v>203</v>
      </c>
      <c r="L93" s="13">
        <v>45797</v>
      </c>
      <c r="M93" t="s">
        <v>4022</v>
      </c>
      <c r="N93" t="s">
        <v>3982</v>
      </c>
      <c r="O93">
        <v>46.59</v>
      </c>
      <c r="P93" t="s">
        <v>34</v>
      </c>
    </row>
    <row r="94" spans="1:16" ht="15" customHeight="1" x14ac:dyDescent="0.4">
      <c r="A94" t="s">
        <v>15</v>
      </c>
      <c r="B94" t="s">
        <v>16</v>
      </c>
      <c r="C94" s="13">
        <v>45658</v>
      </c>
      <c r="D94" s="13">
        <v>46022</v>
      </c>
      <c r="E94" t="s">
        <v>17</v>
      </c>
      <c r="F94">
        <v>0</v>
      </c>
      <c r="G94" t="s">
        <v>18</v>
      </c>
      <c r="H94">
        <v>1</v>
      </c>
      <c r="I94" t="s">
        <v>19</v>
      </c>
      <c r="J94">
        <v>337</v>
      </c>
      <c r="K94" t="s">
        <v>203</v>
      </c>
      <c r="L94" s="13">
        <v>45808</v>
      </c>
      <c r="M94" t="s">
        <v>4023</v>
      </c>
      <c r="N94" t="s">
        <v>106</v>
      </c>
      <c r="O94">
        <v>-0.01</v>
      </c>
      <c r="P94" t="s">
        <v>205</v>
      </c>
    </row>
    <row r="95" spans="1:16" ht="15" customHeight="1" x14ac:dyDescent="0.4">
      <c r="A95" t="s">
        <v>15</v>
      </c>
      <c r="B95" t="s">
        <v>16</v>
      </c>
      <c r="C95" s="13">
        <v>45658</v>
      </c>
      <c r="D95" s="13">
        <v>46022</v>
      </c>
      <c r="E95" t="s">
        <v>17</v>
      </c>
      <c r="F95">
        <v>0</v>
      </c>
      <c r="G95" t="s">
        <v>18</v>
      </c>
      <c r="H95">
        <v>1</v>
      </c>
      <c r="I95" t="s">
        <v>19</v>
      </c>
      <c r="J95">
        <v>337</v>
      </c>
      <c r="K95" t="s">
        <v>203</v>
      </c>
      <c r="L95" s="13">
        <v>45833</v>
      </c>
      <c r="M95" t="s">
        <v>4024</v>
      </c>
      <c r="N95" t="s">
        <v>3985</v>
      </c>
      <c r="O95">
        <v>46.59</v>
      </c>
      <c r="P95" t="s">
        <v>34</v>
      </c>
    </row>
    <row r="96" spans="1:16" ht="15" customHeight="1" x14ac:dyDescent="0.4">
      <c r="A96" t="s">
        <v>15</v>
      </c>
      <c r="B96" t="s">
        <v>16</v>
      </c>
      <c r="C96" s="13">
        <v>45658</v>
      </c>
      <c r="D96" s="13">
        <v>46022</v>
      </c>
      <c r="E96" t="s">
        <v>17</v>
      </c>
      <c r="F96">
        <v>0</v>
      </c>
      <c r="G96" t="s">
        <v>18</v>
      </c>
      <c r="H96">
        <v>1</v>
      </c>
      <c r="I96" t="s">
        <v>19</v>
      </c>
      <c r="J96">
        <v>337</v>
      </c>
      <c r="K96" t="s">
        <v>203</v>
      </c>
      <c r="L96" s="13">
        <v>45833</v>
      </c>
      <c r="M96" t="s">
        <v>4025</v>
      </c>
      <c r="N96" t="s">
        <v>3985</v>
      </c>
      <c r="O96">
        <v>24.08</v>
      </c>
      <c r="P96" t="s">
        <v>34</v>
      </c>
    </row>
    <row r="97" spans="1:16" ht="15" customHeight="1" x14ac:dyDescent="0.4">
      <c r="A97" t="s">
        <v>15</v>
      </c>
      <c r="B97" t="s">
        <v>16</v>
      </c>
      <c r="C97" s="13">
        <v>45658</v>
      </c>
      <c r="D97" s="13">
        <v>46022</v>
      </c>
      <c r="E97" t="s">
        <v>17</v>
      </c>
      <c r="F97">
        <v>0</v>
      </c>
      <c r="G97" t="s">
        <v>18</v>
      </c>
      <c r="H97">
        <v>1</v>
      </c>
      <c r="I97" t="s">
        <v>19</v>
      </c>
      <c r="J97">
        <v>337</v>
      </c>
      <c r="K97" t="s">
        <v>203</v>
      </c>
      <c r="L97" s="13">
        <v>45863</v>
      </c>
      <c r="M97" t="s">
        <v>4026</v>
      </c>
      <c r="N97" t="s">
        <v>3988</v>
      </c>
      <c r="O97">
        <v>46.59</v>
      </c>
      <c r="P97" t="s">
        <v>34</v>
      </c>
    </row>
    <row r="98" spans="1:16" ht="15" customHeight="1" x14ac:dyDescent="0.4">
      <c r="A98" t="s">
        <v>15</v>
      </c>
      <c r="B98" t="s">
        <v>16</v>
      </c>
      <c r="C98" s="13">
        <v>45658</v>
      </c>
      <c r="D98" s="13">
        <v>46022</v>
      </c>
      <c r="E98" t="s">
        <v>17</v>
      </c>
      <c r="F98">
        <v>0</v>
      </c>
      <c r="G98" t="s">
        <v>18</v>
      </c>
      <c r="H98">
        <v>1</v>
      </c>
      <c r="I98" t="s">
        <v>19</v>
      </c>
      <c r="J98">
        <v>337</v>
      </c>
      <c r="K98" t="s">
        <v>203</v>
      </c>
      <c r="L98" s="13">
        <v>45863</v>
      </c>
      <c r="M98" t="s">
        <v>4027</v>
      </c>
      <c r="N98" t="s">
        <v>3988</v>
      </c>
      <c r="O98">
        <v>23.46</v>
      </c>
      <c r="P98" t="s">
        <v>34</v>
      </c>
    </row>
    <row r="99" spans="1:16" ht="15" customHeight="1" x14ac:dyDescent="0.4">
      <c r="A99" t="s">
        <v>15</v>
      </c>
      <c r="B99" t="s">
        <v>16</v>
      </c>
      <c r="C99" s="13">
        <v>45658</v>
      </c>
      <c r="D99" s="13">
        <v>46022</v>
      </c>
      <c r="E99" t="s">
        <v>17</v>
      </c>
      <c r="F99">
        <v>0</v>
      </c>
      <c r="G99" t="s">
        <v>18</v>
      </c>
      <c r="H99">
        <v>1</v>
      </c>
      <c r="I99" t="s">
        <v>19</v>
      </c>
      <c r="J99">
        <v>337</v>
      </c>
      <c r="K99" t="s">
        <v>203</v>
      </c>
      <c r="L99" s="13">
        <v>45869</v>
      </c>
      <c r="M99" t="s">
        <v>4028</v>
      </c>
      <c r="N99" t="s">
        <v>106</v>
      </c>
      <c r="O99">
        <v>-0.01</v>
      </c>
      <c r="P99" t="s">
        <v>205</v>
      </c>
    </row>
    <row r="100" spans="1:16" ht="15" customHeight="1" x14ac:dyDescent="0.4">
      <c r="A100" t="s">
        <v>15</v>
      </c>
      <c r="B100" t="s">
        <v>16</v>
      </c>
      <c r="C100" s="13">
        <v>45658</v>
      </c>
      <c r="D100" s="13">
        <v>46022</v>
      </c>
      <c r="E100" t="s">
        <v>17</v>
      </c>
      <c r="F100">
        <v>0</v>
      </c>
      <c r="G100" t="s">
        <v>18</v>
      </c>
      <c r="H100">
        <v>1</v>
      </c>
      <c r="I100" t="s">
        <v>19</v>
      </c>
      <c r="J100">
        <v>337</v>
      </c>
      <c r="K100" t="s">
        <v>203</v>
      </c>
      <c r="L100" s="13">
        <v>45895</v>
      </c>
      <c r="M100" t="s">
        <v>4029</v>
      </c>
      <c r="N100" t="s">
        <v>3991</v>
      </c>
      <c r="O100">
        <v>46.59</v>
      </c>
      <c r="P100" t="s">
        <v>34</v>
      </c>
    </row>
    <row r="101" spans="1:16" ht="15" customHeight="1" x14ac:dyDescent="0.4">
      <c r="A101" t="s">
        <v>15</v>
      </c>
      <c r="B101" t="s">
        <v>16</v>
      </c>
      <c r="C101" s="13">
        <v>45658</v>
      </c>
      <c r="D101" s="13">
        <v>46022</v>
      </c>
      <c r="E101" t="s">
        <v>17</v>
      </c>
      <c r="F101">
        <v>0</v>
      </c>
      <c r="G101" t="s">
        <v>18</v>
      </c>
      <c r="H101">
        <v>1</v>
      </c>
      <c r="I101" t="s">
        <v>19</v>
      </c>
      <c r="J101">
        <v>337</v>
      </c>
      <c r="K101" t="s">
        <v>203</v>
      </c>
      <c r="L101" s="13">
        <v>45895</v>
      </c>
      <c r="M101" t="s">
        <v>4030</v>
      </c>
      <c r="N101" t="s">
        <v>3991</v>
      </c>
      <c r="O101">
        <v>23.46</v>
      </c>
      <c r="P101" t="s">
        <v>34</v>
      </c>
    </row>
    <row r="102" spans="1:16" ht="15" customHeight="1" x14ac:dyDescent="0.4">
      <c r="A102" t="s">
        <v>15</v>
      </c>
      <c r="B102" t="s">
        <v>16</v>
      </c>
      <c r="C102" s="13">
        <v>45658</v>
      </c>
      <c r="D102" s="13">
        <v>46022</v>
      </c>
      <c r="E102" t="s">
        <v>17</v>
      </c>
      <c r="F102">
        <v>0</v>
      </c>
      <c r="G102" t="s">
        <v>18</v>
      </c>
      <c r="H102">
        <v>1</v>
      </c>
      <c r="I102" t="s">
        <v>19</v>
      </c>
      <c r="J102">
        <v>337</v>
      </c>
      <c r="K102" t="s">
        <v>203</v>
      </c>
      <c r="L102" s="13">
        <v>45900</v>
      </c>
      <c r="M102" t="s">
        <v>4031</v>
      </c>
      <c r="N102" t="s">
        <v>106</v>
      </c>
      <c r="O102">
        <v>-0.01</v>
      </c>
      <c r="P102" t="s">
        <v>205</v>
      </c>
    </row>
    <row r="103" spans="1:16" ht="15" customHeight="1" x14ac:dyDescent="0.4">
      <c r="A103" t="s">
        <v>15</v>
      </c>
      <c r="B103" t="s">
        <v>16</v>
      </c>
      <c r="C103" s="13">
        <v>45658</v>
      </c>
      <c r="D103" s="13">
        <v>46022</v>
      </c>
      <c r="E103" t="s">
        <v>17</v>
      </c>
      <c r="F103">
        <v>0</v>
      </c>
      <c r="G103" t="s">
        <v>18</v>
      </c>
      <c r="H103">
        <v>1</v>
      </c>
      <c r="I103" t="s">
        <v>19</v>
      </c>
      <c r="J103">
        <v>349</v>
      </c>
      <c r="K103" t="s">
        <v>236</v>
      </c>
      <c r="L103" s="13">
        <v>45694</v>
      </c>
      <c r="M103" t="s">
        <v>1589</v>
      </c>
      <c r="N103" t="s">
        <v>1923</v>
      </c>
      <c r="O103">
        <v>38.700000000000003</v>
      </c>
      <c r="P103" t="s">
        <v>239</v>
      </c>
    </row>
    <row r="104" spans="1:16" ht="15" customHeight="1" x14ac:dyDescent="0.4">
      <c r="A104" t="s">
        <v>15</v>
      </c>
      <c r="B104" t="s">
        <v>16</v>
      </c>
      <c r="C104" s="13">
        <v>45658</v>
      </c>
      <c r="D104" s="13">
        <v>46022</v>
      </c>
      <c r="E104" t="s">
        <v>17</v>
      </c>
      <c r="F104">
        <v>0</v>
      </c>
      <c r="G104" t="s">
        <v>18</v>
      </c>
      <c r="H104">
        <v>1</v>
      </c>
      <c r="I104" t="s">
        <v>19</v>
      </c>
      <c r="J104">
        <v>349</v>
      </c>
      <c r="K104" t="s">
        <v>236</v>
      </c>
      <c r="L104" s="13">
        <v>45737</v>
      </c>
      <c r="M104" t="s">
        <v>1589</v>
      </c>
      <c r="N104" t="s">
        <v>4032</v>
      </c>
      <c r="O104">
        <v>23.04</v>
      </c>
      <c r="P104" t="s">
        <v>239</v>
      </c>
    </row>
    <row r="105" spans="1:16" ht="15" customHeight="1" x14ac:dyDescent="0.4">
      <c r="A105" t="s">
        <v>15</v>
      </c>
      <c r="B105" t="s">
        <v>16</v>
      </c>
      <c r="C105" s="13">
        <v>45658</v>
      </c>
      <c r="D105" s="13">
        <v>46022</v>
      </c>
      <c r="E105" t="s">
        <v>17</v>
      </c>
      <c r="F105">
        <v>0</v>
      </c>
      <c r="G105" t="s">
        <v>18</v>
      </c>
      <c r="H105">
        <v>1</v>
      </c>
      <c r="I105" t="s">
        <v>19</v>
      </c>
      <c r="J105">
        <v>349</v>
      </c>
      <c r="K105" t="s">
        <v>236</v>
      </c>
      <c r="L105" s="13">
        <v>45819</v>
      </c>
      <c r="M105" t="s">
        <v>1589</v>
      </c>
      <c r="N105" t="s">
        <v>1923</v>
      </c>
      <c r="O105">
        <v>36.56</v>
      </c>
      <c r="P105" t="s">
        <v>239</v>
      </c>
    </row>
    <row r="106" spans="1:16" ht="15" customHeight="1" x14ac:dyDescent="0.4">
      <c r="A106" t="s">
        <v>15</v>
      </c>
      <c r="B106" t="s">
        <v>16</v>
      </c>
      <c r="C106" s="13">
        <v>45658</v>
      </c>
      <c r="D106" s="13">
        <v>46022</v>
      </c>
      <c r="E106" t="s">
        <v>17</v>
      </c>
      <c r="F106">
        <v>0</v>
      </c>
      <c r="G106" t="s">
        <v>18</v>
      </c>
      <c r="H106">
        <v>1</v>
      </c>
      <c r="I106" t="s">
        <v>19</v>
      </c>
      <c r="J106">
        <v>349</v>
      </c>
      <c r="K106" t="s">
        <v>236</v>
      </c>
      <c r="L106" s="13">
        <v>45860</v>
      </c>
      <c r="M106" t="s">
        <v>1589</v>
      </c>
      <c r="N106" t="s">
        <v>4033</v>
      </c>
      <c r="O106">
        <v>29.51</v>
      </c>
      <c r="P106" t="s">
        <v>239</v>
      </c>
    </row>
    <row r="107" spans="1:16" ht="15" customHeight="1" x14ac:dyDescent="0.4">
      <c r="A107" t="s">
        <v>15</v>
      </c>
      <c r="B107" t="s">
        <v>16</v>
      </c>
      <c r="C107" s="13">
        <v>45658</v>
      </c>
      <c r="D107" s="13">
        <v>46022</v>
      </c>
      <c r="E107" t="s">
        <v>17</v>
      </c>
      <c r="F107">
        <v>0</v>
      </c>
      <c r="G107" t="s">
        <v>18</v>
      </c>
      <c r="H107">
        <v>1</v>
      </c>
      <c r="I107" t="s">
        <v>19</v>
      </c>
      <c r="J107">
        <v>352</v>
      </c>
      <c r="K107" t="s">
        <v>389</v>
      </c>
      <c r="L107" s="13">
        <v>45729</v>
      </c>
      <c r="M107" t="s">
        <v>3452</v>
      </c>
      <c r="N107" t="s">
        <v>3624</v>
      </c>
      <c r="O107">
        <v>0.79</v>
      </c>
      <c r="P107" t="s">
        <v>392</v>
      </c>
    </row>
    <row r="108" spans="1:16" ht="15" customHeight="1" x14ac:dyDescent="0.4">
      <c r="A108" t="s">
        <v>15</v>
      </c>
      <c r="B108" t="s">
        <v>16</v>
      </c>
      <c r="C108" s="13">
        <v>45658</v>
      </c>
      <c r="D108" s="13">
        <v>46022</v>
      </c>
      <c r="E108" t="s">
        <v>17</v>
      </c>
      <c r="F108">
        <v>0</v>
      </c>
      <c r="G108" t="s">
        <v>18</v>
      </c>
      <c r="H108">
        <v>1</v>
      </c>
      <c r="I108" t="s">
        <v>19</v>
      </c>
      <c r="J108">
        <v>352</v>
      </c>
      <c r="K108" t="s">
        <v>389</v>
      </c>
      <c r="L108" s="13">
        <v>45729</v>
      </c>
      <c r="M108" t="s">
        <v>3452</v>
      </c>
      <c r="N108" t="s">
        <v>3625</v>
      </c>
      <c r="O108">
        <v>7.26</v>
      </c>
      <c r="P108" t="s">
        <v>392</v>
      </c>
    </row>
    <row r="109" spans="1:16" ht="15" customHeight="1" x14ac:dyDescent="0.4">
      <c r="A109" t="s">
        <v>15</v>
      </c>
      <c r="B109" t="s">
        <v>16</v>
      </c>
      <c r="C109" s="13">
        <v>45658</v>
      </c>
      <c r="D109" s="13">
        <v>46022</v>
      </c>
      <c r="E109" t="s">
        <v>17</v>
      </c>
      <c r="F109">
        <v>0</v>
      </c>
      <c r="G109" t="s">
        <v>18</v>
      </c>
      <c r="H109">
        <v>1</v>
      </c>
      <c r="I109" t="s">
        <v>19</v>
      </c>
      <c r="J109">
        <v>352</v>
      </c>
      <c r="K109" t="s">
        <v>389</v>
      </c>
      <c r="L109" s="13">
        <v>45740</v>
      </c>
      <c r="M109" t="s">
        <v>3452</v>
      </c>
      <c r="N109" t="s">
        <v>4034</v>
      </c>
      <c r="O109">
        <v>7.26</v>
      </c>
      <c r="P109" t="s">
        <v>392</v>
      </c>
    </row>
    <row r="110" spans="1:16" ht="15" customHeight="1" x14ac:dyDescent="0.4">
      <c r="A110" t="s">
        <v>15</v>
      </c>
      <c r="B110" t="s">
        <v>16</v>
      </c>
      <c r="C110" s="13">
        <v>45658</v>
      </c>
      <c r="D110" s="13">
        <v>46022</v>
      </c>
      <c r="E110" t="s">
        <v>17</v>
      </c>
      <c r="F110">
        <v>0</v>
      </c>
      <c r="G110" t="s">
        <v>18</v>
      </c>
      <c r="H110">
        <v>1</v>
      </c>
      <c r="I110" t="s">
        <v>19</v>
      </c>
      <c r="J110">
        <v>352</v>
      </c>
      <c r="K110" t="s">
        <v>389</v>
      </c>
      <c r="L110" s="13">
        <v>45740</v>
      </c>
      <c r="M110" t="s">
        <v>3452</v>
      </c>
      <c r="N110" t="s">
        <v>4035</v>
      </c>
      <c r="O110">
        <v>0.78</v>
      </c>
      <c r="P110" t="s">
        <v>392</v>
      </c>
    </row>
    <row r="111" spans="1:16" ht="15" customHeight="1" x14ac:dyDescent="0.4">
      <c r="A111" t="s">
        <v>15</v>
      </c>
      <c r="B111" t="s">
        <v>16</v>
      </c>
      <c r="C111" s="13">
        <v>45658</v>
      </c>
      <c r="D111" s="13">
        <v>46022</v>
      </c>
      <c r="E111" t="s">
        <v>17</v>
      </c>
      <c r="F111">
        <v>0</v>
      </c>
      <c r="G111" t="s">
        <v>18</v>
      </c>
      <c r="H111">
        <v>1</v>
      </c>
      <c r="I111" t="s">
        <v>19</v>
      </c>
      <c r="J111">
        <v>352</v>
      </c>
      <c r="K111" t="s">
        <v>389</v>
      </c>
      <c r="L111" s="13">
        <v>45741</v>
      </c>
      <c r="M111" t="s">
        <v>3452</v>
      </c>
      <c r="N111" t="s">
        <v>4036</v>
      </c>
      <c r="O111">
        <v>46.06</v>
      </c>
      <c r="P111" t="s">
        <v>392</v>
      </c>
    </row>
    <row r="112" spans="1:16" ht="15" customHeight="1" x14ac:dyDescent="0.4">
      <c r="A112" t="s">
        <v>15</v>
      </c>
      <c r="B112" t="s">
        <v>16</v>
      </c>
      <c r="C112" s="13">
        <v>45658</v>
      </c>
      <c r="D112" s="13">
        <v>46022</v>
      </c>
      <c r="E112" t="s">
        <v>17</v>
      </c>
      <c r="F112">
        <v>0</v>
      </c>
      <c r="G112" t="s">
        <v>18</v>
      </c>
      <c r="H112">
        <v>1</v>
      </c>
      <c r="I112" t="s">
        <v>19</v>
      </c>
      <c r="J112">
        <v>352</v>
      </c>
      <c r="K112" t="s">
        <v>389</v>
      </c>
      <c r="L112" s="13">
        <v>45742</v>
      </c>
      <c r="M112" t="s">
        <v>3452</v>
      </c>
      <c r="N112" t="s">
        <v>4037</v>
      </c>
      <c r="O112">
        <v>172.21</v>
      </c>
      <c r="P112" t="s">
        <v>392</v>
      </c>
    </row>
    <row r="113" spans="1:16" ht="15" customHeight="1" x14ac:dyDescent="0.4">
      <c r="A113" t="s">
        <v>15</v>
      </c>
      <c r="B113" t="s">
        <v>16</v>
      </c>
      <c r="C113" s="13">
        <v>45658</v>
      </c>
      <c r="D113" s="13">
        <v>46022</v>
      </c>
      <c r="E113" t="s">
        <v>17</v>
      </c>
      <c r="F113">
        <v>0</v>
      </c>
      <c r="G113" t="s">
        <v>18</v>
      </c>
      <c r="H113">
        <v>1</v>
      </c>
      <c r="I113" t="s">
        <v>19</v>
      </c>
      <c r="J113">
        <v>352</v>
      </c>
      <c r="K113" t="s">
        <v>389</v>
      </c>
      <c r="L113" s="13">
        <v>45770</v>
      </c>
      <c r="M113" t="s">
        <v>3452</v>
      </c>
      <c r="N113" t="s">
        <v>4038</v>
      </c>
      <c r="O113">
        <v>319.16000000000003</v>
      </c>
      <c r="P113" t="s">
        <v>392</v>
      </c>
    </row>
    <row r="114" spans="1:16" ht="15" customHeight="1" x14ac:dyDescent="0.4">
      <c r="A114" t="s">
        <v>15</v>
      </c>
      <c r="B114" t="s">
        <v>16</v>
      </c>
      <c r="C114" s="13">
        <v>45658</v>
      </c>
      <c r="D114" s="13">
        <v>46022</v>
      </c>
      <c r="E114" t="s">
        <v>17</v>
      </c>
      <c r="F114">
        <v>0</v>
      </c>
      <c r="G114" t="s">
        <v>18</v>
      </c>
      <c r="H114">
        <v>1</v>
      </c>
      <c r="I114" t="s">
        <v>19</v>
      </c>
      <c r="J114">
        <v>352</v>
      </c>
      <c r="K114" t="s">
        <v>389</v>
      </c>
      <c r="L114" s="13">
        <v>45818</v>
      </c>
      <c r="M114" t="s">
        <v>3452</v>
      </c>
      <c r="N114" t="s">
        <v>4039</v>
      </c>
      <c r="O114">
        <v>236.29</v>
      </c>
      <c r="P114" t="s">
        <v>392</v>
      </c>
    </row>
    <row r="115" spans="1:16" ht="15" customHeight="1" x14ac:dyDescent="0.4">
      <c r="A115" t="s">
        <v>15</v>
      </c>
      <c r="B115" t="s">
        <v>16</v>
      </c>
      <c r="C115" s="13">
        <v>45658</v>
      </c>
      <c r="D115" s="13">
        <v>46022</v>
      </c>
      <c r="E115" t="s">
        <v>17</v>
      </c>
      <c r="F115">
        <v>0</v>
      </c>
      <c r="G115" t="s">
        <v>18</v>
      </c>
      <c r="H115">
        <v>1</v>
      </c>
      <c r="I115" t="s">
        <v>19</v>
      </c>
      <c r="J115">
        <v>352</v>
      </c>
      <c r="K115" t="s">
        <v>389</v>
      </c>
      <c r="L115" s="13">
        <v>45821</v>
      </c>
      <c r="M115" t="s">
        <v>4040</v>
      </c>
      <c r="N115" t="s">
        <v>4041</v>
      </c>
      <c r="O115">
        <v>7.26</v>
      </c>
      <c r="P115" t="s">
        <v>392</v>
      </c>
    </row>
    <row r="116" spans="1:16" ht="15" customHeight="1" x14ac:dyDescent="0.4">
      <c r="A116" t="s">
        <v>15</v>
      </c>
      <c r="B116" t="s">
        <v>16</v>
      </c>
      <c r="C116" s="13">
        <v>45658</v>
      </c>
      <c r="D116" s="13">
        <v>46022</v>
      </c>
      <c r="E116" t="s">
        <v>17</v>
      </c>
      <c r="F116">
        <v>0</v>
      </c>
      <c r="G116" t="s">
        <v>18</v>
      </c>
      <c r="H116">
        <v>1</v>
      </c>
      <c r="I116" t="s">
        <v>19</v>
      </c>
      <c r="J116">
        <v>352</v>
      </c>
      <c r="K116" t="s">
        <v>389</v>
      </c>
      <c r="L116" s="13">
        <v>45846</v>
      </c>
      <c r="M116" t="s">
        <v>4042</v>
      </c>
      <c r="N116" t="s">
        <v>4043</v>
      </c>
      <c r="O116">
        <v>49.62</v>
      </c>
      <c r="P116" t="s">
        <v>392</v>
      </c>
    </row>
    <row r="117" spans="1:16" ht="15" customHeight="1" x14ac:dyDescent="0.4">
      <c r="A117" t="s">
        <v>15</v>
      </c>
      <c r="B117" t="s">
        <v>16</v>
      </c>
      <c r="C117" s="13">
        <v>45658</v>
      </c>
      <c r="D117" s="13">
        <v>46022</v>
      </c>
      <c r="E117" t="s">
        <v>17</v>
      </c>
      <c r="F117">
        <v>0</v>
      </c>
      <c r="G117" t="s">
        <v>18</v>
      </c>
      <c r="H117">
        <v>1</v>
      </c>
      <c r="I117" t="s">
        <v>19</v>
      </c>
      <c r="J117">
        <v>352</v>
      </c>
      <c r="K117" t="s">
        <v>389</v>
      </c>
      <c r="L117" s="13">
        <v>45847</v>
      </c>
      <c r="M117" t="s">
        <v>4042</v>
      </c>
      <c r="N117" t="s">
        <v>4044</v>
      </c>
      <c r="O117">
        <v>49.62</v>
      </c>
      <c r="P117" t="s">
        <v>392</v>
      </c>
    </row>
    <row r="118" spans="1:16" ht="15" customHeight="1" x14ac:dyDescent="0.4">
      <c r="A118" t="s">
        <v>15</v>
      </c>
      <c r="B118" t="s">
        <v>16</v>
      </c>
      <c r="C118" s="13">
        <v>45658</v>
      </c>
      <c r="D118" s="13">
        <v>46022</v>
      </c>
      <c r="E118" t="s">
        <v>17</v>
      </c>
      <c r="F118">
        <v>0</v>
      </c>
      <c r="G118" t="s">
        <v>18</v>
      </c>
      <c r="H118">
        <v>1</v>
      </c>
      <c r="I118" t="s">
        <v>19</v>
      </c>
      <c r="J118">
        <v>352</v>
      </c>
      <c r="K118" t="s">
        <v>389</v>
      </c>
      <c r="L118" s="13">
        <v>45854</v>
      </c>
      <c r="M118" t="s">
        <v>3452</v>
      </c>
      <c r="N118" t="s">
        <v>4045</v>
      </c>
      <c r="O118">
        <v>9.4</v>
      </c>
      <c r="P118" t="s">
        <v>392</v>
      </c>
    </row>
    <row r="119" spans="1:16" ht="15" customHeight="1" x14ac:dyDescent="0.4">
      <c r="A119" t="s">
        <v>15</v>
      </c>
      <c r="B119" t="s">
        <v>16</v>
      </c>
      <c r="C119" s="13">
        <v>45658</v>
      </c>
      <c r="D119" s="13">
        <v>46022</v>
      </c>
      <c r="E119" t="s">
        <v>17</v>
      </c>
      <c r="F119">
        <v>0</v>
      </c>
      <c r="G119" t="s">
        <v>18</v>
      </c>
      <c r="H119">
        <v>1</v>
      </c>
      <c r="I119" t="s">
        <v>19</v>
      </c>
      <c r="J119">
        <v>352</v>
      </c>
      <c r="K119" t="s">
        <v>389</v>
      </c>
      <c r="L119" s="13">
        <v>45862</v>
      </c>
      <c r="M119" t="s">
        <v>3452</v>
      </c>
      <c r="N119" t="s">
        <v>4046</v>
      </c>
      <c r="O119">
        <v>30.68</v>
      </c>
      <c r="P119" t="s">
        <v>392</v>
      </c>
    </row>
    <row r="120" spans="1:16" ht="15" customHeight="1" x14ac:dyDescent="0.4">
      <c r="A120" t="s">
        <v>15</v>
      </c>
      <c r="B120" t="s">
        <v>16</v>
      </c>
      <c r="C120" s="13">
        <v>45658</v>
      </c>
      <c r="D120" s="13">
        <v>46022</v>
      </c>
      <c r="E120" t="s">
        <v>17</v>
      </c>
      <c r="F120">
        <v>0</v>
      </c>
      <c r="G120" t="s">
        <v>18</v>
      </c>
      <c r="H120">
        <v>1</v>
      </c>
      <c r="I120" t="s">
        <v>19</v>
      </c>
      <c r="J120">
        <v>352</v>
      </c>
      <c r="K120" t="s">
        <v>389</v>
      </c>
      <c r="L120" s="13">
        <v>45877</v>
      </c>
      <c r="M120" t="s">
        <v>3452</v>
      </c>
      <c r="N120" t="s">
        <v>4047</v>
      </c>
      <c r="O120">
        <v>30.68</v>
      </c>
      <c r="P120" t="s">
        <v>392</v>
      </c>
    </row>
    <row r="121" spans="1:16" ht="15" customHeight="1" x14ac:dyDescent="0.4">
      <c r="A121" t="s">
        <v>15</v>
      </c>
      <c r="B121" t="s">
        <v>16</v>
      </c>
      <c r="C121" s="13">
        <v>45658</v>
      </c>
      <c r="D121" s="13">
        <v>46022</v>
      </c>
      <c r="E121" t="s">
        <v>17</v>
      </c>
      <c r="F121">
        <v>0</v>
      </c>
      <c r="G121" t="s">
        <v>18</v>
      </c>
      <c r="H121">
        <v>1</v>
      </c>
      <c r="I121" t="s">
        <v>19</v>
      </c>
      <c r="J121">
        <v>355</v>
      </c>
      <c r="K121" t="s">
        <v>250</v>
      </c>
      <c r="L121" s="13">
        <v>45750</v>
      </c>
      <c r="M121" t="s">
        <v>4048</v>
      </c>
      <c r="N121" t="s">
        <v>46</v>
      </c>
      <c r="O121">
        <v>30</v>
      </c>
      <c r="P121" t="s">
        <v>46</v>
      </c>
    </row>
    <row r="122" spans="1:16" ht="15" customHeight="1" x14ac:dyDescent="0.4">
      <c r="A122" t="s">
        <v>15</v>
      </c>
      <c r="B122" t="s">
        <v>16</v>
      </c>
      <c r="C122" s="13">
        <v>45658</v>
      </c>
      <c r="D122" s="13">
        <v>46022</v>
      </c>
      <c r="E122" t="s">
        <v>17</v>
      </c>
      <c r="F122">
        <v>0</v>
      </c>
      <c r="G122" t="s">
        <v>18</v>
      </c>
      <c r="H122">
        <v>1</v>
      </c>
      <c r="I122" t="s">
        <v>19</v>
      </c>
      <c r="J122">
        <v>355</v>
      </c>
      <c r="K122" t="s">
        <v>250</v>
      </c>
      <c r="L122" s="13">
        <v>45841</v>
      </c>
      <c r="M122" t="s">
        <v>251</v>
      </c>
      <c r="N122" t="s">
        <v>46</v>
      </c>
      <c r="O122">
        <v>30</v>
      </c>
      <c r="P122" t="s">
        <v>46</v>
      </c>
    </row>
    <row r="123" spans="1:16" ht="15" customHeight="1" x14ac:dyDescent="0.4">
      <c r="A123" t="s">
        <v>15</v>
      </c>
      <c r="B123" t="s">
        <v>16</v>
      </c>
      <c r="C123" s="13">
        <v>45658</v>
      </c>
      <c r="D123" s="13">
        <v>46022</v>
      </c>
      <c r="E123" t="s">
        <v>17</v>
      </c>
      <c r="F123">
        <v>0</v>
      </c>
      <c r="G123" t="s">
        <v>18</v>
      </c>
      <c r="H123">
        <v>1</v>
      </c>
      <c r="I123" t="s">
        <v>19</v>
      </c>
      <c r="J123">
        <v>382</v>
      </c>
      <c r="K123" t="s">
        <v>253</v>
      </c>
      <c r="L123" s="13">
        <v>45734</v>
      </c>
      <c r="M123" t="s">
        <v>4049</v>
      </c>
      <c r="N123" t="s">
        <v>4050</v>
      </c>
      <c r="O123">
        <v>175.96</v>
      </c>
      <c r="P123" t="s">
        <v>4051</v>
      </c>
    </row>
    <row r="124" spans="1:16" ht="15" customHeight="1" x14ac:dyDescent="0.4">
      <c r="A124" t="s">
        <v>15</v>
      </c>
      <c r="B124" t="s">
        <v>16</v>
      </c>
      <c r="C124" s="13">
        <v>45658</v>
      </c>
      <c r="D124" s="13">
        <v>46022</v>
      </c>
      <c r="E124" t="s">
        <v>17</v>
      </c>
      <c r="F124">
        <v>0</v>
      </c>
      <c r="G124" t="s">
        <v>18</v>
      </c>
      <c r="H124">
        <v>1</v>
      </c>
      <c r="I124" t="s">
        <v>19</v>
      </c>
      <c r="J124">
        <v>401</v>
      </c>
      <c r="K124" t="s">
        <v>3626</v>
      </c>
      <c r="L124" s="13">
        <v>45747</v>
      </c>
      <c r="M124" t="s">
        <v>3458</v>
      </c>
      <c r="N124" t="s">
        <v>3627</v>
      </c>
      <c r="O124">
        <v>1043</v>
      </c>
      <c r="P124" t="s">
        <v>437</v>
      </c>
    </row>
    <row r="125" spans="1:16" ht="15" customHeight="1" x14ac:dyDescent="0.4">
      <c r="A125" t="s">
        <v>15</v>
      </c>
      <c r="B125" t="s">
        <v>16</v>
      </c>
      <c r="C125" s="13">
        <v>45658</v>
      </c>
      <c r="D125" s="13">
        <v>46022</v>
      </c>
      <c r="E125" t="s">
        <v>17</v>
      </c>
      <c r="F125">
        <v>0</v>
      </c>
      <c r="G125" t="s">
        <v>18</v>
      </c>
      <c r="H125">
        <v>1</v>
      </c>
      <c r="I125" t="s">
        <v>19</v>
      </c>
      <c r="J125">
        <v>401</v>
      </c>
      <c r="K125" t="s">
        <v>3626</v>
      </c>
      <c r="L125" s="13">
        <v>45777</v>
      </c>
      <c r="M125" t="s">
        <v>3460</v>
      </c>
      <c r="N125" t="s">
        <v>4052</v>
      </c>
      <c r="O125">
        <v>1043</v>
      </c>
      <c r="P125" t="s">
        <v>437</v>
      </c>
    </row>
    <row r="126" spans="1:16" ht="15" customHeight="1" x14ac:dyDescent="0.4">
      <c r="A126" t="s">
        <v>15</v>
      </c>
      <c r="B126" t="s">
        <v>16</v>
      </c>
      <c r="C126" s="13">
        <v>45658</v>
      </c>
      <c r="D126" s="13">
        <v>46022</v>
      </c>
      <c r="E126" t="s">
        <v>17</v>
      </c>
      <c r="F126">
        <v>0</v>
      </c>
      <c r="G126" t="s">
        <v>18</v>
      </c>
      <c r="H126">
        <v>1</v>
      </c>
      <c r="I126" t="s">
        <v>19</v>
      </c>
      <c r="J126">
        <v>401</v>
      </c>
      <c r="K126" t="s">
        <v>3626</v>
      </c>
      <c r="L126" s="13">
        <v>45808</v>
      </c>
      <c r="M126" t="s">
        <v>3462</v>
      </c>
      <c r="N126" t="s">
        <v>4053</v>
      </c>
      <c r="O126">
        <v>1043</v>
      </c>
      <c r="P126" t="s">
        <v>437</v>
      </c>
    </row>
    <row r="127" spans="1:16" ht="15" customHeight="1" x14ac:dyDescent="0.4">
      <c r="A127" t="s">
        <v>15</v>
      </c>
      <c r="B127" t="s">
        <v>16</v>
      </c>
      <c r="C127" s="13">
        <v>45658</v>
      </c>
      <c r="D127" s="13">
        <v>46022</v>
      </c>
      <c r="E127" t="s">
        <v>17</v>
      </c>
      <c r="F127">
        <v>0</v>
      </c>
      <c r="G127" t="s">
        <v>18</v>
      </c>
      <c r="H127">
        <v>1</v>
      </c>
      <c r="I127" t="s">
        <v>19</v>
      </c>
      <c r="J127">
        <v>401</v>
      </c>
      <c r="K127" t="s">
        <v>3626</v>
      </c>
      <c r="L127" s="13">
        <v>45838</v>
      </c>
      <c r="M127" t="s">
        <v>3464</v>
      </c>
      <c r="N127" t="s">
        <v>4054</v>
      </c>
      <c r="O127">
        <v>1043</v>
      </c>
      <c r="P127" t="s">
        <v>437</v>
      </c>
    </row>
    <row r="128" spans="1:16" ht="15" customHeight="1" x14ac:dyDescent="0.4">
      <c r="A128" t="s">
        <v>15</v>
      </c>
      <c r="B128" t="s">
        <v>16</v>
      </c>
      <c r="C128" s="13">
        <v>45658</v>
      </c>
      <c r="D128" s="13">
        <v>46022</v>
      </c>
      <c r="E128" t="s">
        <v>17</v>
      </c>
      <c r="F128">
        <v>0</v>
      </c>
      <c r="G128" t="s">
        <v>18</v>
      </c>
      <c r="H128">
        <v>1</v>
      </c>
      <c r="I128" t="s">
        <v>19</v>
      </c>
      <c r="J128">
        <v>401</v>
      </c>
      <c r="K128" t="s">
        <v>3626</v>
      </c>
      <c r="L128" s="13">
        <v>45863</v>
      </c>
      <c r="M128" t="s">
        <v>3859</v>
      </c>
      <c r="N128" t="s">
        <v>4055</v>
      </c>
      <c r="O128">
        <v>1043</v>
      </c>
      <c r="P128" t="s">
        <v>437</v>
      </c>
    </row>
    <row r="129" spans="1:16" ht="15" customHeight="1" x14ac:dyDescent="0.4">
      <c r="A129" t="s">
        <v>15</v>
      </c>
      <c r="B129" t="s">
        <v>16</v>
      </c>
      <c r="C129" s="13">
        <v>45658</v>
      </c>
      <c r="D129" s="13">
        <v>46022</v>
      </c>
      <c r="E129" t="s">
        <v>17</v>
      </c>
      <c r="F129">
        <v>0</v>
      </c>
      <c r="G129" t="s">
        <v>18</v>
      </c>
      <c r="H129">
        <v>1</v>
      </c>
      <c r="I129" t="s">
        <v>19</v>
      </c>
      <c r="J129">
        <v>401</v>
      </c>
      <c r="K129" t="s">
        <v>3626</v>
      </c>
      <c r="L129" s="13">
        <v>45890</v>
      </c>
      <c r="M129" t="s">
        <v>3155</v>
      </c>
      <c r="N129" t="s">
        <v>4056</v>
      </c>
      <c r="O129">
        <v>1043</v>
      </c>
      <c r="P129" t="s">
        <v>437</v>
      </c>
    </row>
    <row r="130" spans="1:16" ht="15" customHeight="1" x14ac:dyDescent="0.4">
      <c r="A130" t="s">
        <v>15</v>
      </c>
      <c r="B130" t="s">
        <v>16</v>
      </c>
      <c r="C130" s="13">
        <v>45658</v>
      </c>
      <c r="D130" s="13">
        <v>46022</v>
      </c>
      <c r="E130" t="s">
        <v>17</v>
      </c>
      <c r="F130">
        <v>0</v>
      </c>
      <c r="G130" t="s">
        <v>18</v>
      </c>
      <c r="H130">
        <v>1</v>
      </c>
      <c r="I130" t="s">
        <v>19</v>
      </c>
      <c r="J130">
        <v>401</v>
      </c>
      <c r="K130" t="s">
        <v>3626</v>
      </c>
      <c r="L130" s="13">
        <v>45922</v>
      </c>
      <c r="M130" t="s">
        <v>3157</v>
      </c>
      <c r="N130" t="s">
        <v>4057</v>
      </c>
      <c r="O130">
        <v>1043</v>
      </c>
      <c r="P130" t="s">
        <v>437</v>
      </c>
    </row>
    <row r="131" spans="1:16" ht="15" customHeight="1" x14ac:dyDescent="0.4">
      <c r="A131" t="s">
        <v>15</v>
      </c>
      <c r="B131" t="s">
        <v>16</v>
      </c>
      <c r="C131" s="13">
        <v>45658</v>
      </c>
      <c r="D131" s="13">
        <v>46022</v>
      </c>
      <c r="E131" t="s">
        <v>30</v>
      </c>
      <c r="F131">
        <v>0</v>
      </c>
      <c r="G131" t="s">
        <v>18</v>
      </c>
      <c r="H131">
        <v>1</v>
      </c>
      <c r="I131" t="s">
        <v>19</v>
      </c>
      <c r="J131">
        <v>403</v>
      </c>
      <c r="K131" t="s">
        <v>261</v>
      </c>
      <c r="L131" s="13">
        <v>45686</v>
      </c>
      <c r="M131" t="s">
        <v>3628</v>
      </c>
      <c r="N131" t="s">
        <v>3629</v>
      </c>
      <c r="O131">
        <v>260</v>
      </c>
      <c r="P131" t="s">
        <v>267</v>
      </c>
    </row>
    <row r="132" spans="1:16" ht="15" customHeight="1" x14ac:dyDescent="0.4">
      <c r="A132" t="s">
        <v>15</v>
      </c>
      <c r="B132" t="s">
        <v>16</v>
      </c>
      <c r="C132" s="13">
        <v>45658</v>
      </c>
      <c r="D132" s="13">
        <v>46022</v>
      </c>
      <c r="E132" t="s">
        <v>30</v>
      </c>
      <c r="F132">
        <v>0</v>
      </c>
      <c r="G132" t="s">
        <v>18</v>
      </c>
      <c r="H132">
        <v>1</v>
      </c>
      <c r="I132" t="s">
        <v>19</v>
      </c>
      <c r="J132">
        <v>403</v>
      </c>
      <c r="K132" t="s">
        <v>261</v>
      </c>
      <c r="L132" s="13">
        <v>45736</v>
      </c>
      <c r="M132" t="s">
        <v>3630</v>
      </c>
      <c r="N132" t="s">
        <v>3631</v>
      </c>
      <c r="O132">
        <v>130</v>
      </c>
      <c r="P132" t="s">
        <v>808</v>
      </c>
    </row>
    <row r="133" spans="1:16" ht="15" customHeight="1" x14ac:dyDescent="0.4">
      <c r="A133" t="s">
        <v>15</v>
      </c>
      <c r="B133" t="s">
        <v>16</v>
      </c>
      <c r="C133" s="13">
        <v>45658</v>
      </c>
      <c r="D133" s="13">
        <v>46022</v>
      </c>
      <c r="E133" t="s">
        <v>30</v>
      </c>
      <c r="F133">
        <v>0</v>
      </c>
      <c r="G133" t="s">
        <v>18</v>
      </c>
      <c r="H133">
        <v>1</v>
      </c>
      <c r="I133" t="s">
        <v>19</v>
      </c>
      <c r="J133">
        <v>403</v>
      </c>
      <c r="K133" t="s">
        <v>261</v>
      </c>
      <c r="L133" s="13">
        <v>45747</v>
      </c>
      <c r="M133" t="s">
        <v>3632</v>
      </c>
      <c r="N133" t="s">
        <v>3633</v>
      </c>
      <c r="O133">
        <v>185</v>
      </c>
      <c r="P133" t="s">
        <v>264</v>
      </c>
    </row>
    <row r="134" spans="1:16" ht="15" customHeight="1" x14ac:dyDescent="0.4">
      <c r="A134" t="s">
        <v>15</v>
      </c>
      <c r="B134" t="s">
        <v>16</v>
      </c>
      <c r="C134" s="13">
        <v>45658</v>
      </c>
      <c r="D134" s="13">
        <v>46022</v>
      </c>
      <c r="E134" t="s">
        <v>30</v>
      </c>
      <c r="F134">
        <v>0</v>
      </c>
      <c r="G134" t="s">
        <v>18</v>
      </c>
      <c r="H134">
        <v>1</v>
      </c>
      <c r="I134" t="s">
        <v>19</v>
      </c>
      <c r="J134">
        <v>403</v>
      </c>
      <c r="K134" t="s">
        <v>261</v>
      </c>
      <c r="L134" s="13">
        <v>45747</v>
      </c>
      <c r="M134" t="s">
        <v>3634</v>
      </c>
      <c r="N134" t="s">
        <v>3635</v>
      </c>
      <c r="O134">
        <v>130</v>
      </c>
      <c r="P134" t="s">
        <v>264</v>
      </c>
    </row>
    <row r="135" spans="1:16" ht="15" customHeight="1" x14ac:dyDescent="0.4">
      <c r="A135" t="s">
        <v>15</v>
      </c>
      <c r="B135" t="s">
        <v>16</v>
      </c>
      <c r="C135" s="13">
        <v>45658</v>
      </c>
      <c r="D135" s="13">
        <v>46022</v>
      </c>
      <c r="E135" t="s">
        <v>30</v>
      </c>
      <c r="F135">
        <v>0</v>
      </c>
      <c r="G135" t="s">
        <v>18</v>
      </c>
      <c r="H135">
        <v>1</v>
      </c>
      <c r="I135" t="s">
        <v>19</v>
      </c>
      <c r="J135">
        <v>403</v>
      </c>
      <c r="K135" t="s">
        <v>261</v>
      </c>
      <c r="L135" s="13">
        <v>45762</v>
      </c>
      <c r="M135" t="s">
        <v>4058</v>
      </c>
      <c r="N135" t="s">
        <v>4059</v>
      </c>
      <c r="O135">
        <v>130</v>
      </c>
      <c r="P135" t="s">
        <v>808</v>
      </c>
    </row>
    <row r="136" spans="1:16" ht="15" customHeight="1" x14ac:dyDescent="0.4">
      <c r="A136" t="s">
        <v>15</v>
      </c>
      <c r="B136" t="s">
        <v>16</v>
      </c>
      <c r="C136" s="13">
        <v>45658</v>
      </c>
      <c r="D136" s="13">
        <v>46022</v>
      </c>
      <c r="E136" t="s">
        <v>30</v>
      </c>
      <c r="F136">
        <v>0</v>
      </c>
      <c r="G136" t="s">
        <v>18</v>
      </c>
      <c r="H136">
        <v>1</v>
      </c>
      <c r="I136" t="s">
        <v>19</v>
      </c>
      <c r="J136">
        <v>403</v>
      </c>
      <c r="K136" t="s">
        <v>261</v>
      </c>
      <c r="L136" s="13">
        <v>45832</v>
      </c>
      <c r="M136" t="s">
        <v>4060</v>
      </c>
      <c r="N136" t="s">
        <v>4061</v>
      </c>
      <c r="O136">
        <v>130</v>
      </c>
      <c r="P136" t="s">
        <v>267</v>
      </c>
    </row>
    <row r="137" spans="1:16" ht="15" customHeight="1" x14ac:dyDescent="0.4">
      <c r="A137" t="s">
        <v>15</v>
      </c>
      <c r="B137" t="s">
        <v>16</v>
      </c>
      <c r="C137" s="13">
        <v>45658</v>
      </c>
      <c r="D137" s="13">
        <v>46022</v>
      </c>
      <c r="E137" t="s">
        <v>30</v>
      </c>
      <c r="F137">
        <v>0</v>
      </c>
      <c r="G137" t="s">
        <v>18</v>
      </c>
      <c r="H137">
        <v>1</v>
      </c>
      <c r="I137" t="s">
        <v>19</v>
      </c>
      <c r="J137">
        <v>403</v>
      </c>
      <c r="K137" t="s">
        <v>261</v>
      </c>
      <c r="L137" s="13">
        <v>45833</v>
      </c>
      <c r="M137" t="s">
        <v>4062</v>
      </c>
      <c r="N137" t="s">
        <v>4063</v>
      </c>
      <c r="O137">
        <v>130</v>
      </c>
      <c r="P137" t="s">
        <v>808</v>
      </c>
    </row>
    <row r="138" spans="1:16" ht="15" customHeight="1" x14ac:dyDescent="0.4">
      <c r="A138" t="s">
        <v>15</v>
      </c>
      <c r="B138" t="s">
        <v>16</v>
      </c>
      <c r="C138" s="13">
        <v>45658</v>
      </c>
      <c r="D138" s="13">
        <v>46022</v>
      </c>
      <c r="E138" t="s">
        <v>30</v>
      </c>
      <c r="F138">
        <v>0</v>
      </c>
      <c r="G138" t="s">
        <v>18</v>
      </c>
      <c r="H138">
        <v>1</v>
      </c>
      <c r="I138" t="s">
        <v>19</v>
      </c>
      <c r="J138">
        <v>403</v>
      </c>
      <c r="K138" t="s">
        <v>261</v>
      </c>
      <c r="L138" s="13">
        <v>45845</v>
      </c>
      <c r="M138" t="s">
        <v>4064</v>
      </c>
      <c r="N138" t="s">
        <v>4065</v>
      </c>
      <c r="O138">
        <v>130</v>
      </c>
      <c r="P138" t="s">
        <v>808</v>
      </c>
    </row>
    <row r="139" spans="1:16" ht="15" customHeight="1" x14ac:dyDescent="0.4">
      <c r="A139" t="s">
        <v>15</v>
      </c>
      <c r="B139" t="s">
        <v>16</v>
      </c>
      <c r="C139" s="13">
        <v>45658</v>
      </c>
      <c r="D139" s="13">
        <v>46022</v>
      </c>
      <c r="E139" t="s">
        <v>30</v>
      </c>
      <c r="F139">
        <v>0</v>
      </c>
      <c r="G139" t="s">
        <v>18</v>
      </c>
      <c r="H139">
        <v>1</v>
      </c>
      <c r="I139" t="s">
        <v>19</v>
      </c>
      <c r="J139">
        <v>403</v>
      </c>
      <c r="K139" t="s">
        <v>261</v>
      </c>
      <c r="L139" s="13">
        <v>45866</v>
      </c>
      <c r="M139" t="s">
        <v>4066</v>
      </c>
      <c r="N139" t="s">
        <v>4067</v>
      </c>
      <c r="O139">
        <v>130</v>
      </c>
      <c r="P139" t="s">
        <v>264</v>
      </c>
    </row>
    <row r="140" spans="1:16" ht="15" customHeight="1" x14ac:dyDescent="0.4">
      <c r="A140" t="s">
        <v>15</v>
      </c>
      <c r="B140" t="s">
        <v>16</v>
      </c>
      <c r="C140" s="13">
        <v>45658</v>
      </c>
      <c r="D140" s="13">
        <v>46022</v>
      </c>
      <c r="E140" t="s">
        <v>30</v>
      </c>
      <c r="F140">
        <v>0</v>
      </c>
      <c r="G140" t="s">
        <v>18</v>
      </c>
      <c r="H140">
        <v>1</v>
      </c>
      <c r="I140" t="s">
        <v>19</v>
      </c>
      <c r="J140">
        <v>403</v>
      </c>
      <c r="K140" t="s">
        <v>261</v>
      </c>
      <c r="L140" s="13">
        <v>45883</v>
      </c>
      <c r="M140" t="s">
        <v>4068</v>
      </c>
      <c r="N140" t="s">
        <v>4069</v>
      </c>
      <c r="O140">
        <v>130</v>
      </c>
      <c r="P140" t="s">
        <v>808</v>
      </c>
    </row>
    <row r="141" spans="1:16" ht="15" customHeight="1" x14ac:dyDescent="0.4">
      <c r="A141" t="s">
        <v>15</v>
      </c>
      <c r="B141" t="s">
        <v>16</v>
      </c>
      <c r="C141" s="13">
        <v>45658</v>
      </c>
      <c r="D141" s="13">
        <v>46022</v>
      </c>
      <c r="E141" t="s">
        <v>30</v>
      </c>
      <c r="F141">
        <v>0</v>
      </c>
      <c r="G141" t="s">
        <v>18</v>
      </c>
      <c r="H141">
        <v>1</v>
      </c>
      <c r="I141" t="s">
        <v>19</v>
      </c>
      <c r="J141">
        <v>403</v>
      </c>
      <c r="K141" t="s">
        <v>261</v>
      </c>
      <c r="L141" s="13">
        <v>45887</v>
      </c>
      <c r="M141" t="s">
        <v>4070</v>
      </c>
      <c r="N141" t="s">
        <v>4071</v>
      </c>
      <c r="O141">
        <v>130</v>
      </c>
      <c r="P141" t="s">
        <v>808</v>
      </c>
    </row>
    <row r="142" spans="1:16" ht="15" customHeight="1" x14ac:dyDescent="0.4">
      <c r="A142" t="s">
        <v>15</v>
      </c>
      <c r="B142" t="s">
        <v>16</v>
      </c>
      <c r="C142" s="13">
        <v>45658</v>
      </c>
      <c r="D142" s="13">
        <v>46022</v>
      </c>
      <c r="E142" t="s">
        <v>17</v>
      </c>
      <c r="F142">
        <v>0</v>
      </c>
      <c r="G142" t="s">
        <v>18</v>
      </c>
      <c r="H142">
        <v>1</v>
      </c>
      <c r="I142" t="s">
        <v>19</v>
      </c>
      <c r="J142">
        <v>409</v>
      </c>
      <c r="K142" t="s">
        <v>1600</v>
      </c>
      <c r="L142" s="13">
        <v>45719</v>
      </c>
      <c r="M142" t="s">
        <v>3636</v>
      </c>
      <c r="N142" t="s">
        <v>3637</v>
      </c>
      <c r="O142">
        <v>130</v>
      </c>
      <c r="P142" t="s">
        <v>808</v>
      </c>
    </row>
    <row r="143" spans="1:16" ht="15" customHeight="1" x14ac:dyDescent="0.4">
      <c r="A143" t="s">
        <v>15</v>
      </c>
      <c r="B143" t="s">
        <v>16</v>
      </c>
      <c r="C143" s="13">
        <v>45658</v>
      </c>
      <c r="D143" s="13">
        <v>46022</v>
      </c>
      <c r="E143" t="s">
        <v>17</v>
      </c>
      <c r="F143">
        <v>0</v>
      </c>
      <c r="G143" t="s">
        <v>18</v>
      </c>
      <c r="H143">
        <v>1</v>
      </c>
      <c r="I143" t="s">
        <v>19</v>
      </c>
      <c r="J143">
        <v>441</v>
      </c>
      <c r="K143" t="s">
        <v>268</v>
      </c>
      <c r="L143" s="13">
        <v>45658</v>
      </c>
      <c r="M143" t="s">
        <v>4072</v>
      </c>
      <c r="N143" t="s">
        <v>4073</v>
      </c>
      <c r="O143">
        <v>8021.96</v>
      </c>
      <c r="P143" t="s">
        <v>271</v>
      </c>
    </row>
    <row r="144" spans="1:16" ht="15" customHeight="1" x14ac:dyDescent="0.4">
      <c r="A144" t="s">
        <v>15</v>
      </c>
      <c r="B144" t="s">
        <v>16</v>
      </c>
      <c r="C144" s="13">
        <v>45658</v>
      </c>
      <c r="D144" s="13">
        <v>46022</v>
      </c>
      <c r="E144" t="s">
        <v>17</v>
      </c>
      <c r="F144">
        <v>0</v>
      </c>
      <c r="G144" t="s">
        <v>18</v>
      </c>
      <c r="H144">
        <v>1</v>
      </c>
      <c r="I144" t="s">
        <v>19</v>
      </c>
      <c r="J144">
        <v>441</v>
      </c>
      <c r="K144" t="s">
        <v>268</v>
      </c>
      <c r="L144" s="13">
        <v>45658</v>
      </c>
      <c r="M144" t="s">
        <v>4074</v>
      </c>
      <c r="N144" t="s">
        <v>4075</v>
      </c>
      <c r="O144">
        <v>-8021.96</v>
      </c>
      <c r="P144" t="s">
        <v>3640</v>
      </c>
    </row>
    <row r="145" spans="1:16" ht="15" customHeight="1" x14ac:dyDescent="0.4">
      <c r="A145" t="s">
        <v>15</v>
      </c>
      <c r="B145" t="s">
        <v>16</v>
      </c>
      <c r="C145" s="13">
        <v>45658</v>
      </c>
      <c r="D145" s="13">
        <v>46022</v>
      </c>
      <c r="E145" t="s">
        <v>17</v>
      </c>
      <c r="F145">
        <v>0</v>
      </c>
      <c r="G145" t="s">
        <v>18</v>
      </c>
      <c r="H145">
        <v>1</v>
      </c>
      <c r="I145" t="s">
        <v>19</v>
      </c>
      <c r="J145">
        <v>441</v>
      </c>
      <c r="K145" t="s">
        <v>268</v>
      </c>
      <c r="L145" s="13">
        <v>45728</v>
      </c>
      <c r="M145" t="s">
        <v>3638</v>
      </c>
      <c r="N145" t="s">
        <v>3639</v>
      </c>
      <c r="O145">
        <v>8021.96</v>
      </c>
      <c r="P145" t="s">
        <v>3640</v>
      </c>
    </row>
    <row r="146" spans="1:16" ht="15" customHeight="1" x14ac:dyDescent="0.4">
      <c r="A146" t="s">
        <v>15</v>
      </c>
      <c r="B146" t="s">
        <v>16</v>
      </c>
      <c r="C146" s="13">
        <v>45658</v>
      </c>
      <c r="D146" s="13">
        <v>46022</v>
      </c>
      <c r="E146" t="s">
        <v>17</v>
      </c>
      <c r="F146">
        <v>0</v>
      </c>
      <c r="G146" t="s">
        <v>18</v>
      </c>
      <c r="H146">
        <v>1</v>
      </c>
      <c r="I146" t="s">
        <v>19</v>
      </c>
      <c r="J146">
        <v>443</v>
      </c>
      <c r="K146" t="s">
        <v>4076</v>
      </c>
      <c r="L146" s="13">
        <v>45792</v>
      </c>
      <c r="M146" t="s">
        <v>1344</v>
      </c>
      <c r="N146" t="s">
        <v>4077</v>
      </c>
      <c r="O146">
        <v>50.23</v>
      </c>
      <c r="P146" t="s">
        <v>494</v>
      </c>
    </row>
    <row r="147" spans="1:16" ht="15" customHeight="1" x14ac:dyDescent="0.4">
      <c r="A147" t="s">
        <v>15</v>
      </c>
      <c r="B147" t="s">
        <v>16</v>
      </c>
      <c r="C147" s="13">
        <v>45658</v>
      </c>
      <c r="D147" s="13">
        <v>46022</v>
      </c>
      <c r="E147" t="s">
        <v>17</v>
      </c>
      <c r="F147">
        <v>0</v>
      </c>
      <c r="G147" t="s">
        <v>18</v>
      </c>
      <c r="H147">
        <v>1</v>
      </c>
      <c r="I147" t="s">
        <v>19</v>
      </c>
      <c r="J147">
        <v>461</v>
      </c>
      <c r="K147" t="s">
        <v>272</v>
      </c>
      <c r="L147" s="13">
        <v>45874</v>
      </c>
      <c r="M147" t="s">
        <v>4078</v>
      </c>
      <c r="N147" t="s">
        <v>4079</v>
      </c>
      <c r="O147">
        <v>588</v>
      </c>
      <c r="P147" t="s">
        <v>3949</v>
      </c>
    </row>
    <row r="148" spans="1:16" ht="15" customHeight="1" x14ac:dyDescent="0.4">
      <c r="A148" t="s">
        <v>15</v>
      </c>
      <c r="B148" t="s">
        <v>16</v>
      </c>
      <c r="C148" s="13">
        <v>45658</v>
      </c>
      <c r="D148" s="13">
        <v>46022</v>
      </c>
      <c r="E148" t="s">
        <v>30</v>
      </c>
      <c r="F148">
        <v>0</v>
      </c>
      <c r="G148" t="s">
        <v>18</v>
      </c>
      <c r="H148">
        <v>1</v>
      </c>
      <c r="I148" t="s">
        <v>19</v>
      </c>
      <c r="J148">
        <v>606</v>
      </c>
      <c r="K148" t="s">
        <v>4080</v>
      </c>
      <c r="L148" s="13">
        <v>45775</v>
      </c>
      <c r="M148" t="s">
        <v>4081</v>
      </c>
      <c r="N148" t="s">
        <v>4082</v>
      </c>
      <c r="O148">
        <v>126.17</v>
      </c>
      <c r="P148" t="s">
        <v>965</v>
      </c>
    </row>
    <row r="149" spans="1:16" ht="15" customHeight="1" x14ac:dyDescent="0.4">
      <c r="A149" t="s">
        <v>15</v>
      </c>
      <c r="B149" t="s">
        <v>16</v>
      </c>
      <c r="C149" s="13">
        <v>45658</v>
      </c>
      <c r="D149" s="13">
        <v>46022</v>
      </c>
      <c r="E149" t="s">
        <v>17</v>
      </c>
      <c r="F149">
        <v>0</v>
      </c>
      <c r="G149" t="s">
        <v>18</v>
      </c>
      <c r="H149">
        <v>1</v>
      </c>
      <c r="I149" t="s">
        <v>19</v>
      </c>
      <c r="J149">
        <v>705</v>
      </c>
      <c r="K149" t="s">
        <v>4083</v>
      </c>
      <c r="L149" s="13">
        <v>45776</v>
      </c>
      <c r="M149" t="s">
        <v>366</v>
      </c>
      <c r="N149" t="s">
        <v>4084</v>
      </c>
      <c r="O149">
        <v>61.75</v>
      </c>
      <c r="P149" t="s">
        <v>368</v>
      </c>
    </row>
    <row r="150" spans="1:16" ht="15" customHeight="1" x14ac:dyDescent="0.4">
      <c r="A150" t="s">
        <v>15</v>
      </c>
      <c r="B150" t="s">
        <v>16</v>
      </c>
      <c r="C150" s="13">
        <v>45658</v>
      </c>
      <c r="D150" s="13">
        <v>46022</v>
      </c>
      <c r="E150" t="s">
        <v>17</v>
      </c>
      <c r="F150">
        <v>0</v>
      </c>
      <c r="G150" t="s">
        <v>18</v>
      </c>
      <c r="H150">
        <v>1</v>
      </c>
      <c r="I150" t="s">
        <v>19</v>
      </c>
      <c r="J150">
        <v>706</v>
      </c>
      <c r="K150" t="s">
        <v>365</v>
      </c>
      <c r="L150" s="13">
        <v>45776</v>
      </c>
      <c r="M150" t="s">
        <v>4085</v>
      </c>
      <c r="N150" t="s">
        <v>4086</v>
      </c>
      <c r="O150">
        <v>323.76</v>
      </c>
      <c r="P150" t="s">
        <v>368</v>
      </c>
    </row>
    <row r="151" spans="1:16" ht="15" customHeight="1" x14ac:dyDescent="0.4">
      <c r="A151" t="s">
        <v>15</v>
      </c>
      <c r="B151" t="s">
        <v>16</v>
      </c>
      <c r="C151" s="13">
        <v>45658</v>
      </c>
      <c r="D151" s="13">
        <v>46022</v>
      </c>
      <c r="E151" t="s">
        <v>17</v>
      </c>
      <c r="F151">
        <v>0</v>
      </c>
      <c r="G151" t="s">
        <v>18</v>
      </c>
      <c r="H151">
        <v>1</v>
      </c>
      <c r="I151" t="s">
        <v>19</v>
      </c>
      <c r="J151">
        <v>791</v>
      </c>
      <c r="K151" t="s">
        <v>277</v>
      </c>
      <c r="L151" s="13">
        <v>45658</v>
      </c>
      <c r="M151" t="s">
        <v>4087</v>
      </c>
      <c r="N151" t="s">
        <v>4088</v>
      </c>
      <c r="O151">
        <v>-412.63</v>
      </c>
      <c r="P151" t="s">
        <v>280</v>
      </c>
    </row>
    <row r="152" spans="1:16" ht="15" customHeight="1" x14ac:dyDescent="0.4">
      <c r="A152" t="s">
        <v>15</v>
      </c>
      <c r="B152" t="s">
        <v>16</v>
      </c>
      <c r="C152" s="13">
        <v>45658</v>
      </c>
      <c r="D152" s="13">
        <v>46022</v>
      </c>
      <c r="E152" t="s">
        <v>17</v>
      </c>
      <c r="F152">
        <v>0</v>
      </c>
      <c r="G152" t="s">
        <v>18</v>
      </c>
      <c r="H152">
        <v>1</v>
      </c>
      <c r="I152" t="s">
        <v>19</v>
      </c>
      <c r="J152">
        <v>791</v>
      </c>
      <c r="K152" t="s">
        <v>277</v>
      </c>
      <c r="L152" s="13">
        <v>45658</v>
      </c>
      <c r="M152" t="s">
        <v>4087</v>
      </c>
      <c r="N152" t="s">
        <v>4089</v>
      </c>
      <c r="O152">
        <v>378.25</v>
      </c>
      <c r="P152" t="s">
        <v>280</v>
      </c>
    </row>
    <row r="153" spans="1:16" ht="15" customHeight="1" x14ac:dyDescent="0.4">
      <c r="A153" t="s">
        <v>15</v>
      </c>
      <c r="B153" t="s">
        <v>16</v>
      </c>
      <c r="C153" s="13">
        <v>45658</v>
      </c>
      <c r="D153" s="13">
        <v>46022</v>
      </c>
      <c r="E153" t="s">
        <v>17</v>
      </c>
      <c r="F153">
        <v>0</v>
      </c>
      <c r="G153" t="s">
        <v>18</v>
      </c>
      <c r="H153">
        <v>1</v>
      </c>
      <c r="I153" t="s">
        <v>19</v>
      </c>
      <c r="J153">
        <v>791</v>
      </c>
      <c r="K153" t="s">
        <v>277</v>
      </c>
      <c r="L153" s="13">
        <v>45667</v>
      </c>
      <c r="M153" t="s">
        <v>3641</v>
      </c>
      <c r="N153" t="s">
        <v>3642</v>
      </c>
      <c r="O153">
        <v>412.63</v>
      </c>
      <c r="P153" t="s">
        <v>280</v>
      </c>
    </row>
    <row r="154" spans="1:16" ht="15" customHeight="1" x14ac:dyDescent="0.4">
      <c r="A154" t="s">
        <v>15</v>
      </c>
      <c r="B154" t="s">
        <v>16</v>
      </c>
      <c r="C154" s="13">
        <v>45658</v>
      </c>
      <c r="D154" s="13">
        <v>46022</v>
      </c>
      <c r="E154" t="s">
        <v>17</v>
      </c>
      <c r="F154">
        <v>0</v>
      </c>
      <c r="G154" t="s">
        <v>18</v>
      </c>
      <c r="H154">
        <v>1</v>
      </c>
      <c r="I154" t="s">
        <v>19</v>
      </c>
      <c r="J154">
        <v>791</v>
      </c>
      <c r="K154" t="s">
        <v>277</v>
      </c>
      <c r="L154" s="13">
        <v>45726</v>
      </c>
      <c r="M154" t="s">
        <v>3643</v>
      </c>
      <c r="N154" t="s">
        <v>3644</v>
      </c>
      <c r="O154">
        <v>412.63</v>
      </c>
      <c r="P154" t="s">
        <v>280</v>
      </c>
    </row>
    <row r="155" spans="1:16" ht="15" customHeight="1" x14ac:dyDescent="0.4">
      <c r="A155" t="s">
        <v>15</v>
      </c>
      <c r="B155" t="s">
        <v>16</v>
      </c>
      <c r="C155" s="13">
        <v>45658</v>
      </c>
      <c r="D155" s="13">
        <v>46022</v>
      </c>
      <c r="E155" t="s">
        <v>17</v>
      </c>
      <c r="F155">
        <v>0</v>
      </c>
      <c r="G155" t="s">
        <v>18</v>
      </c>
      <c r="H155">
        <v>1</v>
      </c>
      <c r="I155" t="s">
        <v>19</v>
      </c>
      <c r="J155">
        <v>791</v>
      </c>
      <c r="K155" t="s">
        <v>277</v>
      </c>
      <c r="L155" s="13">
        <v>45748</v>
      </c>
      <c r="M155" t="s">
        <v>4090</v>
      </c>
      <c r="N155" t="s">
        <v>4091</v>
      </c>
      <c r="O155">
        <v>-412.63</v>
      </c>
      <c r="P155" t="s">
        <v>280</v>
      </c>
    </row>
    <row r="156" spans="1:16" ht="15" customHeight="1" x14ac:dyDescent="0.4">
      <c r="A156" t="s">
        <v>15</v>
      </c>
      <c r="B156" t="s">
        <v>16</v>
      </c>
      <c r="C156" s="13">
        <v>45658</v>
      </c>
      <c r="D156" s="13">
        <v>46022</v>
      </c>
      <c r="E156" t="s">
        <v>17</v>
      </c>
      <c r="F156">
        <v>0</v>
      </c>
      <c r="G156" t="s">
        <v>18</v>
      </c>
      <c r="H156">
        <v>1</v>
      </c>
      <c r="I156" t="s">
        <v>19</v>
      </c>
      <c r="J156">
        <v>791</v>
      </c>
      <c r="K156" t="s">
        <v>277</v>
      </c>
      <c r="L156" s="13">
        <v>45748</v>
      </c>
      <c r="M156" t="s">
        <v>4090</v>
      </c>
      <c r="N156" t="s">
        <v>4092</v>
      </c>
      <c r="O156">
        <v>378.25</v>
      </c>
      <c r="P156" t="s">
        <v>280</v>
      </c>
    </row>
    <row r="157" spans="1:16" ht="15" customHeight="1" x14ac:dyDescent="0.4">
      <c r="A157" t="s">
        <v>15</v>
      </c>
      <c r="B157" t="s">
        <v>16</v>
      </c>
      <c r="C157" s="13">
        <v>45658</v>
      </c>
      <c r="D157" s="13">
        <v>46022</v>
      </c>
      <c r="E157" t="s">
        <v>17</v>
      </c>
      <c r="F157">
        <v>0</v>
      </c>
      <c r="G157" t="s">
        <v>18</v>
      </c>
      <c r="H157">
        <v>1</v>
      </c>
      <c r="I157" t="s">
        <v>19</v>
      </c>
      <c r="J157">
        <v>791</v>
      </c>
      <c r="K157" t="s">
        <v>277</v>
      </c>
      <c r="L157" s="13">
        <v>45824</v>
      </c>
      <c r="M157" t="s">
        <v>4093</v>
      </c>
      <c r="N157" t="s">
        <v>4094</v>
      </c>
      <c r="O157">
        <v>412.63</v>
      </c>
      <c r="P157" t="s">
        <v>280</v>
      </c>
    </row>
    <row r="158" spans="1:16" ht="15" customHeight="1" x14ac:dyDescent="0.4">
      <c r="A158" t="s">
        <v>15</v>
      </c>
      <c r="B158" t="s">
        <v>16</v>
      </c>
      <c r="C158" s="13">
        <v>45658</v>
      </c>
      <c r="D158" s="13">
        <v>46022</v>
      </c>
      <c r="E158" t="s">
        <v>17</v>
      </c>
      <c r="F158">
        <v>0</v>
      </c>
      <c r="G158" t="s">
        <v>18</v>
      </c>
      <c r="H158">
        <v>1</v>
      </c>
      <c r="I158" t="s">
        <v>19</v>
      </c>
      <c r="J158">
        <v>791</v>
      </c>
      <c r="K158" t="s">
        <v>277</v>
      </c>
      <c r="L158" s="13">
        <v>45839</v>
      </c>
      <c r="M158" t="s">
        <v>4095</v>
      </c>
      <c r="N158" t="s">
        <v>4096</v>
      </c>
      <c r="O158">
        <v>-412.63</v>
      </c>
      <c r="P158" t="s">
        <v>280</v>
      </c>
    </row>
    <row r="159" spans="1:16" ht="15" customHeight="1" x14ac:dyDescent="0.4">
      <c r="A159" t="s">
        <v>15</v>
      </c>
      <c r="B159" t="s">
        <v>16</v>
      </c>
      <c r="C159" s="13">
        <v>45658</v>
      </c>
      <c r="D159" s="13">
        <v>46022</v>
      </c>
      <c r="E159" t="s">
        <v>17</v>
      </c>
      <c r="F159">
        <v>0</v>
      </c>
      <c r="G159" t="s">
        <v>18</v>
      </c>
      <c r="H159">
        <v>1</v>
      </c>
      <c r="I159" t="s">
        <v>19</v>
      </c>
      <c r="J159">
        <v>791</v>
      </c>
      <c r="K159" t="s">
        <v>277</v>
      </c>
      <c r="L159" s="13">
        <v>45839</v>
      </c>
      <c r="M159" t="s">
        <v>4095</v>
      </c>
      <c r="N159" t="s">
        <v>4097</v>
      </c>
      <c r="O159">
        <v>378.25</v>
      </c>
      <c r="P159" t="s">
        <v>280</v>
      </c>
    </row>
    <row r="160" spans="1:16" ht="15" customHeight="1" x14ac:dyDescent="0.4">
      <c r="A160" t="s">
        <v>15</v>
      </c>
      <c r="B160" t="s">
        <v>16</v>
      </c>
      <c r="C160" s="13">
        <v>45658</v>
      </c>
      <c r="D160" s="13">
        <v>46022</v>
      </c>
      <c r="E160" t="s">
        <v>17</v>
      </c>
      <c r="F160">
        <v>0</v>
      </c>
      <c r="G160" t="s">
        <v>18</v>
      </c>
      <c r="H160">
        <v>1</v>
      </c>
      <c r="I160" t="s">
        <v>19</v>
      </c>
      <c r="J160">
        <v>791</v>
      </c>
      <c r="K160" t="s">
        <v>277</v>
      </c>
      <c r="L160" s="13">
        <v>45931</v>
      </c>
      <c r="M160" t="s">
        <v>4098</v>
      </c>
      <c r="N160" t="s">
        <v>4099</v>
      </c>
      <c r="O160">
        <v>378.25</v>
      </c>
      <c r="P160" t="s">
        <v>280</v>
      </c>
    </row>
    <row r="161" spans="1:16" ht="15" customHeight="1" x14ac:dyDescent="0.4">
      <c r="A161" t="s">
        <v>15</v>
      </c>
      <c r="B161" t="s">
        <v>16</v>
      </c>
      <c r="C161" s="13">
        <v>45658</v>
      </c>
      <c r="D161" s="13">
        <v>46022</v>
      </c>
      <c r="E161" t="s">
        <v>30</v>
      </c>
      <c r="F161">
        <v>0</v>
      </c>
      <c r="G161" t="s">
        <v>18</v>
      </c>
      <c r="H161">
        <v>1</v>
      </c>
      <c r="I161" t="s">
        <v>19</v>
      </c>
      <c r="J161">
        <v>793</v>
      </c>
      <c r="K161" t="s">
        <v>2786</v>
      </c>
      <c r="L161" s="13">
        <v>45803</v>
      </c>
      <c r="M161" t="s">
        <v>4100</v>
      </c>
      <c r="N161" t="s">
        <v>4101</v>
      </c>
      <c r="O161">
        <v>358.62</v>
      </c>
      <c r="P161" t="s">
        <v>280</v>
      </c>
    </row>
    <row r="162" spans="1:16" ht="15" customHeight="1" x14ac:dyDescent="0.4">
      <c r="A162" t="s">
        <v>15</v>
      </c>
      <c r="B162" t="s">
        <v>16</v>
      </c>
      <c r="C162" s="13">
        <v>45658</v>
      </c>
      <c r="D162" s="13">
        <v>46022</v>
      </c>
      <c r="E162" t="s">
        <v>30</v>
      </c>
      <c r="F162">
        <v>0</v>
      </c>
      <c r="G162" t="s">
        <v>18</v>
      </c>
      <c r="H162">
        <v>1</v>
      </c>
      <c r="I162" t="s">
        <v>19</v>
      </c>
      <c r="J162">
        <v>793</v>
      </c>
      <c r="K162" t="s">
        <v>2786</v>
      </c>
      <c r="L162" s="13">
        <v>45888</v>
      </c>
      <c r="M162" t="s">
        <v>4102</v>
      </c>
      <c r="N162" t="s">
        <v>4103</v>
      </c>
      <c r="O162">
        <v>1814.91</v>
      </c>
      <c r="P162" t="s">
        <v>280</v>
      </c>
    </row>
    <row r="163" spans="1:16" ht="15" customHeight="1" x14ac:dyDescent="0.4">
      <c r="A163" t="s">
        <v>15</v>
      </c>
      <c r="B163" t="s">
        <v>16</v>
      </c>
      <c r="C163" s="13">
        <v>45658</v>
      </c>
      <c r="D163" s="13">
        <v>46022</v>
      </c>
      <c r="E163" t="s">
        <v>17</v>
      </c>
      <c r="F163">
        <v>0</v>
      </c>
      <c r="G163" t="s">
        <v>18</v>
      </c>
      <c r="H163">
        <v>1</v>
      </c>
      <c r="I163" t="s">
        <v>19</v>
      </c>
      <c r="J163">
        <v>801</v>
      </c>
      <c r="K163" t="s">
        <v>3645</v>
      </c>
      <c r="L163" s="13">
        <v>45658</v>
      </c>
      <c r="M163" t="s">
        <v>3646</v>
      </c>
      <c r="N163" t="s">
        <v>3647</v>
      </c>
      <c r="O163">
        <v>247.5</v>
      </c>
      <c r="P163" t="s">
        <v>508</v>
      </c>
    </row>
    <row r="164" spans="1:16" ht="15" customHeight="1" x14ac:dyDescent="0.4">
      <c r="A164" t="s">
        <v>15</v>
      </c>
      <c r="B164" t="s">
        <v>16</v>
      </c>
      <c r="C164" s="13">
        <v>45658</v>
      </c>
      <c r="D164" s="13">
        <v>46022</v>
      </c>
      <c r="E164" t="s">
        <v>17</v>
      </c>
      <c r="F164">
        <v>0</v>
      </c>
      <c r="G164" t="s">
        <v>18</v>
      </c>
      <c r="H164">
        <v>1</v>
      </c>
      <c r="I164" t="s">
        <v>19</v>
      </c>
      <c r="J164">
        <v>801</v>
      </c>
      <c r="K164" t="s">
        <v>3645</v>
      </c>
      <c r="L164" s="13">
        <v>45733</v>
      </c>
      <c r="M164" t="s">
        <v>3648</v>
      </c>
      <c r="N164" t="s">
        <v>3649</v>
      </c>
      <c r="O164">
        <v>284.16000000000003</v>
      </c>
      <c r="P164" t="s">
        <v>508</v>
      </c>
    </row>
    <row r="165" spans="1:16" ht="15" customHeight="1" x14ac:dyDescent="0.4">
      <c r="A165" t="s">
        <v>15</v>
      </c>
      <c r="B165" t="s">
        <v>16</v>
      </c>
      <c r="C165" s="13">
        <v>45658</v>
      </c>
      <c r="D165" s="13">
        <v>46022</v>
      </c>
      <c r="E165" t="s">
        <v>17</v>
      </c>
      <c r="F165">
        <v>0</v>
      </c>
      <c r="G165" t="s">
        <v>18</v>
      </c>
      <c r="H165">
        <v>1</v>
      </c>
      <c r="I165" t="s">
        <v>19</v>
      </c>
      <c r="J165">
        <v>841</v>
      </c>
      <c r="K165" t="s">
        <v>289</v>
      </c>
      <c r="L165" s="13">
        <v>45671</v>
      </c>
      <c r="M165" t="s">
        <v>3650</v>
      </c>
      <c r="N165" t="s">
        <v>3651</v>
      </c>
      <c r="O165">
        <v>1056.43</v>
      </c>
      <c r="P165" t="s">
        <v>292</v>
      </c>
    </row>
    <row r="166" spans="1:16" ht="15" customHeight="1" x14ac:dyDescent="0.4">
      <c r="A166" t="s">
        <v>15</v>
      </c>
      <c r="B166" t="s">
        <v>16</v>
      </c>
      <c r="C166" s="13">
        <v>45658</v>
      </c>
      <c r="D166" s="13">
        <v>46022</v>
      </c>
      <c r="E166" t="s">
        <v>17</v>
      </c>
      <c r="F166">
        <v>0</v>
      </c>
      <c r="G166" t="s">
        <v>18</v>
      </c>
      <c r="H166">
        <v>1</v>
      </c>
      <c r="I166" t="s">
        <v>19</v>
      </c>
      <c r="J166">
        <v>841</v>
      </c>
      <c r="K166" t="s">
        <v>289</v>
      </c>
      <c r="L166" s="13">
        <v>45699</v>
      </c>
      <c r="M166" t="s">
        <v>3652</v>
      </c>
      <c r="N166" t="s">
        <v>3653</v>
      </c>
      <c r="O166">
        <v>1056.43</v>
      </c>
      <c r="P166" t="s">
        <v>292</v>
      </c>
    </row>
    <row r="167" spans="1:16" ht="15" customHeight="1" x14ac:dyDescent="0.4">
      <c r="A167" t="s">
        <v>15</v>
      </c>
      <c r="B167" t="s">
        <v>16</v>
      </c>
      <c r="C167" s="13">
        <v>45658</v>
      </c>
      <c r="D167" s="13">
        <v>46022</v>
      </c>
      <c r="E167" t="s">
        <v>17</v>
      </c>
      <c r="F167">
        <v>0</v>
      </c>
      <c r="G167" t="s">
        <v>18</v>
      </c>
      <c r="H167">
        <v>1</v>
      </c>
      <c r="I167" t="s">
        <v>19</v>
      </c>
      <c r="J167">
        <v>841</v>
      </c>
      <c r="K167" t="s">
        <v>289</v>
      </c>
      <c r="L167" s="13">
        <v>45742</v>
      </c>
      <c r="M167" t="s">
        <v>3654</v>
      </c>
      <c r="N167" t="s">
        <v>3655</v>
      </c>
      <c r="O167">
        <v>1056.47</v>
      </c>
      <c r="P167" t="s">
        <v>292</v>
      </c>
    </row>
    <row r="168" spans="1:16" ht="15" customHeight="1" x14ac:dyDescent="0.4">
      <c r="A168" t="s">
        <v>15</v>
      </c>
      <c r="B168" t="s">
        <v>16</v>
      </c>
      <c r="C168" s="13">
        <v>45658</v>
      </c>
      <c r="D168" s="13">
        <v>46022</v>
      </c>
      <c r="E168" t="s">
        <v>17</v>
      </c>
      <c r="F168">
        <v>0</v>
      </c>
      <c r="G168" t="s">
        <v>18</v>
      </c>
      <c r="H168">
        <v>1</v>
      </c>
      <c r="I168" t="s">
        <v>19</v>
      </c>
      <c r="J168">
        <v>841</v>
      </c>
      <c r="K168" t="s">
        <v>289</v>
      </c>
      <c r="L168" s="13">
        <v>45744</v>
      </c>
      <c r="M168" t="s">
        <v>4104</v>
      </c>
      <c r="N168" t="s">
        <v>3812</v>
      </c>
      <c r="O168">
        <v>1015.8</v>
      </c>
      <c r="P168" t="s">
        <v>292</v>
      </c>
    </row>
    <row r="169" spans="1:16" ht="15" customHeight="1" x14ac:dyDescent="0.4">
      <c r="A169" t="s">
        <v>15</v>
      </c>
      <c r="B169" t="s">
        <v>16</v>
      </c>
      <c r="C169" s="13">
        <v>45658</v>
      </c>
      <c r="D169" s="13">
        <v>46022</v>
      </c>
      <c r="E169" t="s">
        <v>17</v>
      </c>
      <c r="F169">
        <v>0</v>
      </c>
      <c r="G169" t="s">
        <v>18</v>
      </c>
      <c r="H169">
        <v>1</v>
      </c>
      <c r="I169" t="s">
        <v>19</v>
      </c>
      <c r="J169">
        <v>841</v>
      </c>
      <c r="K169" t="s">
        <v>289</v>
      </c>
      <c r="L169" s="13">
        <v>45775</v>
      </c>
      <c r="M169" t="s">
        <v>4105</v>
      </c>
      <c r="N169" t="s">
        <v>4106</v>
      </c>
      <c r="O169">
        <v>1144</v>
      </c>
      <c r="P169" t="s">
        <v>292</v>
      </c>
    </row>
    <row r="170" spans="1:16" ht="15" customHeight="1" x14ac:dyDescent="0.4">
      <c r="A170" t="s">
        <v>15</v>
      </c>
      <c r="B170" t="s">
        <v>16</v>
      </c>
      <c r="C170" s="13">
        <v>45658</v>
      </c>
      <c r="D170" s="13">
        <v>46022</v>
      </c>
      <c r="E170" t="s">
        <v>17</v>
      </c>
      <c r="F170">
        <v>0</v>
      </c>
      <c r="G170" t="s">
        <v>18</v>
      </c>
      <c r="H170">
        <v>1</v>
      </c>
      <c r="I170" t="s">
        <v>19</v>
      </c>
      <c r="J170">
        <v>841</v>
      </c>
      <c r="K170" t="s">
        <v>289</v>
      </c>
      <c r="L170" s="13">
        <v>45797</v>
      </c>
      <c r="M170" t="s">
        <v>4107</v>
      </c>
      <c r="N170" t="s">
        <v>4108</v>
      </c>
      <c r="O170">
        <v>1144</v>
      </c>
      <c r="P170" t="s">
        <v>292</v>
      </c>
    </row>
    <row r="171" spans="1:16" ht="15" customHeight="1" x14ac:dyDescent="0.4">
      <c r="A171" t="s">
        <v>15</v>
      </c>
      <c r="B171" t="s">
        <v>16</v>
      </c>
      <c r="C171" s="13">
        <v>45658</v>
      </c>
      <c r="D171" s="13">
        <v>46022</v>
      </c>
      <c r="E171" t="s">
        <v>17</v>
      </c>
      <c r="F171">
        <v>0</v>
      </c>
      <c r="G171" t="s">
        <v>18</v>
      </c>
      <c r="H171">
        <v>1</v>
      </c>
      <c r="I171" t="s">
        <v>19</v>
      </c>
      <c r="J171">
        <v>841</v>
      </c>
      <c r="K171" t="s">
        <v>289</v>
      </c>
      <c r="L171" s="13">
        <v>45819</v>
      </c>
      <c r="M171" t="s">
        <v>4107</v>
      </c>
      <c r="N171" t="s">
        <v>4109</v>
      </c>
      <c r="O171">
        <v>1144</v>
      </c>
      <c r="P171" t="s">
        <v>292</v>
      </c>
    </row>
    <row r="172" spans="1:16" ht="15" customHeight="1" x14ac:dyDescent="0.4">
      <c r="A172" t="s">
        <v>15</v>
      </c>
      <c r="B172" t="s">
        <v>16</v>
      </c>
      <c r="C172" s="13">
        <v>45658</v>
      </c>
      <c r="D172" s="13">
        <v>46022</v>
      </c>
      <c r="E172" t="s">
        <v>17</v>
      </c>
      <c r="F172">
        <v>0</v>
      </c>
      <c r="G172" t="s">
        <v>18</v>
      </c>
      <c r="H172">
        <v>1</v>
      </c>
      <c r="I172" t="s">
        <v>19</v>
      </c>
      <c r="J172">
        <v>841</v>
      </c>
      <c r="K172" t="s">
        <v>289</v>
      </c>
      <c r="L172" s="13">
        <v>45845</v>
      </c>
      <c r="M172" t="s">
        <v>4110</v>
      </c>
      <c r="N172" t="s">
        <v>4111</v>
      </c>
      <c r="O172">
        <v>1144</v>
      </c>
      <c r="P172" t="s">
        <v>292</v>
      </c>
    </row>
    <row r="173" spans="1:16" ht="15" customHeight="1" x14ac:dyDescent="0.4">
      <c r="A173" t="s">
        <v>15</v>
      </c>
      <c r="B173" t="s">
        <v>16</v>
      </c>
      <c r="C173" s="13">
        <v>45658</v>
      </c>
      <c r="D173" s="13">
        <v>46022</v>
      </c>
      <c r="E173" t="s">
        <v>17</v>
      </c>
      <c r="F173">
        <v>0</v>
      </c>
      <c r="G173" t="s">
        <v>18</v>
      </c>
      <c r="H173">
        <v>1</v>
      </c>
      <c r="I173" t="s">
        <v>19</v>
      </c>
      <c r="J173">
        <v>841</v>
      </c>
      <c r="K173" t="s">
        <v>289</v>
      </c>
      <c r="L173" s="13">
        <v>45849</v>
      </c>
      <c r="M173" t="s">
        <v>4112</v>
      </c>
      <c r="N173" t="s">
        <v>4113</v>
      </c>
      <c r="O173">
        <v>1144</v>
      </c>
      <c r="P173" t="s">
        <v>292</v>
      </c>
    </row>
    <row r="174" spans="1:16" ht="15" customHeight="1" x14ac:dyDescent="0.4">
      <c r="A174" t="s">
        <v>15</v>
      </c>
      <c r="B174" t="s">
        <v>16</v>
      </c>
      <c r="C174" s="13">
        <v>45658</v>
      </c>
      <c r="D174" s="13">
        <v>46022</v>
      </c>
      <c r="E174" t="s">
        <v>17</v>
      </c>
      <c r="F174">
        <v>0</v>
      </c>
      <c r="G174" t="s">
        <v>18</v>
      </c>
      <c r="H174">
        <v>1</v>
      </c>
      <c r="I174" t="s">
        <v>19</v>
      </c>
      <c r="J174">
        <v>841</v>
      </c>
      <c r="K174" t="s">
        <v>289</v>
      </c>
      <c r="L174" s="13">
        <v>45900</v>
      </c>
      <c r="M174" t="s">
        <v>4114</v>
      </c>
      <c r="N174" t="s">
        <v>4115</v>
      </c>
      <c r="O174">
        <v>1144</v>
      </c>
      <c r="P174" t="s">
        <v>292</v>
      </c>
    </row>
    <row r="175" spans="1:16" ht="15" customHeight="1" x14ac:dyDescent="0.4">
      <c r="A175" t="s">
        <v>15</v>
      </c>
      <c r="B175" t="s">
        <v>16</v>
      </c>
      <c r="C175" s="13">
        <v>45658</v>
      </c>
      <c r="D175" s="13">
        <v>46022</v>
      </c>
      <c r="E175" t="s">
        <v>17</v>
      </c>
      <c r="F175">
        <v>0</v>
      </c>
      <c r="G175" t="s">
        <v>18</v>
      </c>
      <c r="H175">
        <v>1</v>
      </c>
      <c r="I175" t="s">
        <v>19</v>
      </c>
      <c r="J175">
        <v>841</v>
      </c>
      <c r="K175" t="s">
        <v>289</v>
      </c>
      <c r="L175" s="13">
        <v>45900</v>
      </c>
      <c r="M175" t="s">
        <v>4116</v>
      </c>
      <c r="N175" t="s">
        <v>4117</v>
      </c>
      <c r="O175">
        <v>1380</v>
      </c>
      <c r="P175" t="s">
        <v>292</v>
      </c>
    </row>
    <row r="176" spans="1:16" ht="15" customHeight="1" x14ac:dyDescent="0.4">
      <c r="A176" t="s">
        <v>15</v>
      </c>
      <c r="B176" t="s">
        <v>16</v>
      </c>
      <c r="C176" s="13">
        <v>45658</v>
      </c>
      <c r="D176" s="13">
        <v>46022</v>
      </c>
      <c r="E176" t="s">
        <v>17</v>
      </c>
      <c r="F176">
        <v>0</v>
      </c>
      <c r="G176" t="s">
        <v>18</v>
      </c>
      <c r="H176">
        <v>1</v>
      </c>
      <c r="I176" t="s">
        <v>19</v>
      </c>
      <c r="J176">
        <v>851</v>
      </c>
      <c r="K176" t="s">
        <v>4118</v>
      </c>
      <c r="L176" s="13">
        <v>45785</v>
      </c>
      <c r="M176" t="s">
        <v>4119</v>
      </c>
      <c r="N176" t="s">
        <v>4120</v>
      </c>
      <c r="O176">
        <v>1200</v>
      </c>
      <c r="P176" t="s">
        <v>4121</v>
      </c>
    </row>
    <row r="177" spans="1:16" ht="15" customHeight="1" x14ac:dyDescent="0.4">
      <c r="A177" t="s">
        <v>15</v>
      </c>
      <c r="B177" t="s">
        <v>16</v>
      </c>
      <c r="C177" s="13">
        <v>45658</v>
      </c>
      <c r="D177" s="13">
        <v>46022</v>
      </c>
      <c r="E177" t="s">
        <v>30</v>
      </c>
      <c r="F177">
        <v>0</v>
      </c>
      <c r="G177" t="s">
        <v>18</v>
      </c>
      <c r="H177">
        <v>1</v>
      </c>
      <c r="I177" t="s">
        <v>19</v>
      </c>
      <c r="J177">
        <v>856</v>
      </c>
      <c r="K177" t="s">
        <v>4122</v>
      </c>
      <c r="L177" s="13">
        <v>45776</v>
      </c>
      <c r="M177" t="s">
        <v>4123</v>
      </c>
      <c r="N177" t="s">
        <v>4124</v>
      </c>
      <c r="O177">
        <v>4140</v>
      </c>
      <c r="P177" t="s">
        <v>3791</v>
      </c>
    </row>
    <row r="178" spans="1:16" ht="15" customHeight="1" x14ac:dyDescent="0.4">
      <c r="A178" t="s">
        <v>15</v>
      </c>
      <c r="B178" t="s">
        <v>16</v>
      </c>
      <c r="C178" s="13">
        <v>45658</v>
      </c>
      <c r="D178" s="13">
        <v>46022</v>
      </c>
      <c r="E178" t="s">
        <v>30</v>
      </c>
      <c r="F178">
        <v>0</v>
      </c>
      <c r="G178" t="s">
        <v>18</v>
      </c>
      <c r="H178">
        <v>1</v>
      </c>
      <c r="I178" t="s">
        <v>19</v>
      </c>
      <c r="J178">
        <v>856</v>
      </c>
      <c r="K178" t="s">
        <v>4122</v>
      </c>
      <c r="L178" s="13">
        <v>45835</v>
      </c>
      <c r="M178" t="s">
        <v>4125</v>
      </c>
      <c r="N178" t="s">
        <v>4126</v>
      </c>
      <c r="O178">
        <v>341</v>
      </c>
      <c r="P178" t="s">
        <v>347</v>
      </c>
    </row>
    <row r="179" spans="1:16" ht="15" customHeight="1" x14ac:dyDescent="0.4">
      <c r="A179" t="s">
        <v>15</v>
      </c>
      <c r="B179" t="s">
        <v>16</v>
      </c>
      <c r="C179" s="13">
        <v>45658</v>
      </c>
      <c r="D179" s="13">
        <v>46022</v>
      </c>
      <c r="E179" t="s">
        <v>17</v>
      </c>
      <c r="F179">
        <v>0</v>
      </c>
      <c r="G179" t="s">
        <v>18</v>
      </c>
      <c r="H179">
        <v>1</v>
      </c>
      <c r="I179" t="s">
        <v>19</v>
      </c>
      <c r="J179">
        <v>857</v>
      </c>
      <c r="K179" t="s">
        <v>4127</v>
      </c>
      <c r="L179" s="13">
        <v>45838</v>
      </c>
      <c r="M179" t="s">
        <v>4128</v>
      </c>
      <c r="N179" t="s">
        <v>4129</v>
      </c>
      <c r="O179">
        <v>41.42</v>
      </c>
      <c r="P179" t="s">
        <v>4121</v>
      </c>
    </row>
    <row r="180" spans="1:16" ht="15" customHeight="1" x14ac:dyDescent="0.4">
      <c r="A180" t="s">
        <v>15</v>
      </c>
      <c r="B180" t="s">
        <v>16</v>
      </c>
      <c r="C180" s="13">
        <v>45658</v>
      </c>
      <c r="D180" s="13">
        <v>46022</v>
      </c>
      <c r="E180" t="s">
        <v>17</v>
      </c>
      <c r="F180">
        <v>0</v>
      </c>
      <c r="G180" t="s">
        <v>18</v>
      </c>
      <c r="H180">
        <v>1</v>
      </c>
      <c r="I180" t="s">
        <v>19</v>
      </c>
      <c r="J180">
        <v>857</v>
      </c>
      <c r="K180" t="s">
        <v>4127</v>
      </c>
      <c r="L180" s="13">
        <v>45839</v>
      </c>
      <c r="M180" t="s">
        <v>4130</v>
      </c>
      <c r="N180" t="s">
        <v>4131</v>
      </c>
      <c r="O180">
        <v>280.2</v>
      </c>
      <c r="P180" t="s">
        <v>430</v>
      </c>
    </row>
    <row r="181" spans="1:16" ht="15" customHeight="1" x14ac:dyDescent="0.4">
      <c r="A181" t="s">
        <v>15</v>
      </c>
      <c r="B181" t="s">
        <v>16</v>
      </c>
      <c r="C181" s="13">
        <v>45658</v>
      </c>
      <c r="D181" s="13">
        <v>46022</v>
      </c>
      <c r="E181" t="s">
        <v>17</v>
      </c>
      <c r="F181">
        <v>0</v>
      </c>
      <c r="G181" t="s">
        <v>18</v>
      </c>
      <c r="H181">
        <v>1</v>
      </c>
      <c r="I181" t="s">
        <v>19</v>
      </c>
      <c r="J181">
        <v>857</v>
      </c>
      <c r="K181" t="s">
        <v>4127</v>
      </c>
      <c r="L181" s="13">
        <v>45866</v>
      </c>
      <c r="M181" t="s">
        <v>452</v>
      </c>
      <c r="N181" t="s">
        <v>4132</v>
      </c>
      <c r="O181">
        <v>290.3</v>
      </c>
      <c r="P181" t="s">
        <v>430</v>
      </c>
    </row>
    <row r="182" spans="1:16" ht="15" customHeight="1" x14ac:dyDescent="0.4">
      <c r="A182" t="s">
        <v>15</v>
      </c>
      <c r="B182" t="s">
        <v>16</v>
      </c>
      <c r="C182" s="13">
        <v>45658</v>
      </c>
      <c r="D182" s="13">
        <v>46022</v>
      </c>
      <c r="E182" t="s">
        <v>17</v>
      </c>
      <c r="F182">
        <v>0</v>
      </c>
      <c r="G182" t="s">
        <v>18</v>
      </c>
      <c r="H182">
        <v>1</v>
      </c>
      <c r="I182" t="s">
        <v>19</v>
      </c>
      <c r="J182">
        <v>857</v>
      </c>
      <c r="K182" t="s">
        <v>4127</v>
      </c>
      <c r="L182" s="13">
        <v>45869</v>
      </c>
      <c r="M182" t="s">
        <v>4133</v>
      </c>
      <c r="N182" t="s">
        <v>4134</v>
      </c>
      <c r="O182">
        <v>98.54</v>
      </c>
      <c r="P182" t="s">
        <v>430</v>
      </c>
    </row>
    <row r="183" spans="1:16" ht="15" customHeight="1" x14ac:dyDescent="0.4">
      <c r="A183" t="s">
        <v>15</v>
      </c>
      <c r="B183" t="s">
        <v>16</v>
      </c>
      <c r="C183" s="13">
        <v>45658</v>
      </c>
      <c r="D183" s="13">
        <v>46022</v>
      </c>
      <c r="E183" t="s">
        <v>17</v>
      </c>
      <c r="F183">
        <v>0</v>
      </c>
      <c r="G183" t="s">
        <v>18</v>
      </c>
      <c r="H183">
        <v>1</v>
      </c>
      <c r="I183" t="s">
        <v>19</v>
      </c>
      <c r="J183">
        <v>857</v>
      </c>
      <c r="K183" t="s">
        <v>4127</v>
      </c>
      <c r="L183" s="13">
        <v>45873</v>
      </c>
      <c r="M183" t="s">
        <v>452</v>
      </c>
      <c r="N183" t="s">
        <v>4132</v>
      </c>
      <c r="O183">
        <v>165.2</v>
      </c>
      <c r="P183" t="s">
        <v>430</v>
      </c>
    </row>
    <row r="184" spans="1:16" ht="15" customHeight="1" x14ac:dyDescent="0.4">
      <c r="A184" t="s">
        <v>15</v>
      </c>
      <c r="B184" t="s">
        <v>16</v>
      </c>
      <c r="C184" s="13">
        <v>45658</v>
      </c>
      <c r="D184" s="13">
        <v>46022</v>
      </c>
      <c r="E184" t="s">
        <v>17</v>
      </c>
      <c r="F184">
        <v>0</v>
      </c>
      <c r="G184" t="s">
        <v>18</v>
      </c>
      <c r="H184">
        <v>1</v>
      </c>
      <c r="I184" t="s">
        <v>19</v>
      </c>
      <c r="J184">
        <v>857</v>
      </c>
      <c r="K184" t="s">
        <v>4127</v>
      </c>
      <c r="L184" s="13">
        <v>45880</v>
      </c>
      <c r="M184" t="s">
        <v>452</v>
      </c>
      <c r="N184" t="s">
        <v>4135</v>
      </c>
      <c r="O184">
        <v>416.25</v>
      </c>
      <c r="P184" t="s">
        <v>430</v>
      </c>
    </row>
    <row r="185" spans="1:16" ht="15" customHeight="1" x14ac:dyDescent="0.4">
      <c r="A185" t="s">
        <v>15</v>
      </c>
      <c r="B185" t="s">
        <v>16</v>
      </c>
      <c r="C185" s="13">
        <v>45658</v>
      </c>
      <c r="D185" s="13">
        <v>46022</v>
      </c>
      <c r="E185" t="s">
        <v>17</v>
      </c>
      <c r="F185">
        <v>0</v>
      </c>
      <c r="G185" t="s">
        <v>18</v>
      </c>
      <c r="H185">
        <v>1</v>
      </c>
      <c r="I185" t="s">
        <v>19</v>
      </c>
      <c r="J185">
        <v>952</v>
      </c>
      <c r="K185" t="s">
        <v>336</v>
      </c>
      <c r="L185" s="13">
        <v>45896</v>
      </c>
      <c r="M185" t="s">
        <v>4136</v>
      </c>
      <c r="N185" t="s">
        <v>4137</v>
      </c>
      <c r="O185">
        <v>-1814.91</v>
      </c>
      <c r="P185" t="s">
        <v>46</v>
      </c>
    </row>
    <row r="186" spans="1:16" ht="15" customHeight="1" x14ac:dyDescent="0.4">
      <c r="A186" t="s">
        <v>15</v>
      </c>
      <c r="B186" t="s">
        <v>16</v>
      </c>
      <c r="C186" s="13">
        <v>45658</v>
      </c>
      <c r="D186" s="13">
        <v>46022</v>
      </c>
      <c r="E186" t="s">
        <v>17</v>
      </c>
      <c r="F186">
        <v>0</v>
      </c>
      <c r="G186" t="s">
        <v>18</v>
      </c>
      <c r="H186">
        <v>1</v>
      </c>
      <c r="I186" t="s">
        <v>19</v>
      </c>
      <c r="J186">
        <v>988</v>
      </c>
      <c r="K186" t="s">
        <v>339</v>
      </c>
      <c r="L186" s="13">
        <v>45658</v>
      </c>
      <c r="M186" t="s">
        <v>4138</v>
      </c>
      <c r="N186" t="s">
        <v>341</v>
      </c>
      <c r="O186">
        <v>0.6</v>
      </c>
      <c r="P186" t="s">
        <v>46</v>
      </c>
    </row>
    <row r="187" spans="1:16" ht="15" customHeight="1" x14ac:dyDescent="0.4">
      <c r="A187" t="s">
        <v>15</v>
      </c>
      <c r="B187" t="s">
        <v>16</v>
      </c>
      <c r="C187" s="13">
        <v>45658</v>
      </c>
      <c r="D187" s="13">
        <v>46022</v>
      </c>
      <c r="E187" t="s">
        <v>17</v>
      </c>
      <c r="F187">
        <v>0</v>
      </c>
      <c r="G187" t="s">
        <v>342</v>
      </c>
      <c r="H187">
        <v>2</v>
      </c>
      <c r="I187" t="s">
        <v>343</v>
      </c>
      <c r="J187">
        <v>269</v>
      </c>
      <c r="K187" t="s">
        <v>3656</v>
      </c>
      <c r="L187" s="13">
        <v>45680</v>
      </c>
      <c r="M187" t="s">
        <v>3657</v>
      </c>
      <c r="N187" t="s">
        <v>3658</v>
      </c>
      <c r="O187">
        <v>40.36</v>
      </c>
      <c r="P187" t="s">
        <v>52</v>
      </c>
    </row>
    <row r="188" spans="1:16" ht="15" customHeight="1" x14ac:dyDescent="0.4">
      <c r="A188" t="s">
        <v>15</v>
      </c>
      <c r="B188" t="s">
        <v>16</v>
      </c>
      <c r="C188" s="13">
        <v>45658</v>
      </c>
      <c r="D188" s="13">
        <v>46022</v>
      </c>
      <c r="E188" t="s">
        <v>17</v>
      </c>
      <c r="F188">
        <v>0</v>
      </c>
      <c r="G188" t="s">
        <v>342</v>
      </c>
      <c r="H188">
        <v>2</v>
      </c>
      <c r="I188" t="s">
        <v>343</v>
      </c>
      <c r="J188">
        <v>269</v>
      </c>
      <c r="K188" t="s">
        <v>3656</v>
      </c>
      <c r="L188" s="13">
        <v>45713</v>
      </c>
      <c r="M188" t="s">
        <v>76</v>
      </c>
      <c r="N188" t="s">
        <v>3659</v>
      </c>
      <c r="O188">
        <v>24.5</v>
      </c>
      <c r="P188" t="s">
        <v>52</v>
      </c>
    </row>
    <row r="189" spans="1:16" ht="15" customHeight="1" x14ac:dyDescent="0.4">
      <c r="A189" t="s">
        <v>15</v>
      </c>
      <c r="B189" t="s">
        <v>16</v>
      </c>
      <c r="C189" s="13">
        <v>45658</v>
      </c>
      <c r="D189" s="13">
        <v>46022</v>
      </c>
      <c r="E189" t="s">
        <v>17</v>
      </c>
      <c r="F189">
        <v>0</v>
      </c>
      <c r="G189" t="s">
        <v>342</v>
      </c>
      <c r="H189">
        <v>2</v>
      </c>
      <c r="I189" t="s">
        <v>343</v>
      </c>
      <c r="J189">
        <v>269</v>
      </c>
      <c r="K189" t="s">
        <v>3656</v>
      </c>
      <c r="L189" s="13">
        <v>45742</v>
      </c>
      <c r="M189" t="s">
        <v>4139</v>
      </c>
      <c r="N189" t="s">
        <v>4140</v>
      </c>
      <c r="O189">
        <v>20.100000000000001</v>
      </c>
      <c r="P189" t="s">
        <v>52</v>
      </c>
    </row>
    <row r="190" spans="1:16" ht="15" customHeight="1" x14ac:dyDescent="0.4">
      <c r="A190" t="s">
        <v>15</v>
      </c>
      <c r="B190" t="s">
        <v>16</v>
      </c>
      <c r="C190" s="13">
        <v>45658</v>
      </c>
      <c r="D190" s="13">
        <v>46022</v>
      </c>
      <c r="E190" t="s">
        <v>17</v>
      </c>
      <c r="F190">
        <v>0</v>
      </c>
      <c r="G190" t="s">
        <v>342</v>
      </c>
      <c r="H190">
        <v>2</v>
      </c>
      <c r="I190" t="s">
        <v>343</v>
      </c>
      <c r="J190">
        <v>269</v>
      </c>
      <c r="K190" t="s">
        <v>3656</v>
      </c>
      <c r="L190" s="13">
        <v>45769</v>
      </c>
      <c r="M190" t="s">
        <v>4141</v>
      </c>
      <c r="N190" t="s">
        <v>4142</v>
      </c>
      <c r="O190">
        <v>22.46</v>
      </c>
      <c r="P190" t="s">
        <v>52</v>
      </c>
    </row>
    <row r="191" spans="1:16" ht="15" customHeight="1" x14ac:dyDescent="0.4">
      <c r="A191" t="s">
        <v>15</v>
      </c>
      <c r="B191" t="s">
        <v>16</v>
      </c>
      <c r="C191" s="13">
        <v>45658</v>
      </c>
      <c r="D191" s="13">
        <v>46022</v>
      </c>
      <c r="E191" t="s">
        <v>17</v>
      </c>
      <c r="F191">
        <v>0</v>
      </c>
      <c r="G191" t="s">
        <v>342</v>
      </c>
      <c r="H191">
        <v>2</v>
      </c>
      <c r="I191" t="s">
        <v>343</v>
      </c>
      <c r="J191">
        <v>269</v>
      </c>
      <c r="K191" t="s">
        <v>3656</v>
      </c>
      <c r="L191" s="13">
        <v>45800</v>
      </c>
      <c r="M191" t="s">
        <v>4143</v>
      </c>
      <c r="N191" t="s">
        <v>4144</v>
      </c>
      <c r="O191">
        <v>22.24</v>
      </c>
      <c r="P191" t="s">
        <v>52</v>
      </c>
    </row>
    <row r="192" spans="1:16" ht="15" customHeight="1" x14ac:dyDescent="0.4">
      <c r="A192" t="s">
        <v>15</v>
      </c>
      <c r="B192" t="s">
        <v>16</v>
      </c>
      <c r="C192" s="13">
        <v>45658</v>
      </c>
      <c r="D192" s="13">
        <v>46022</v>
      </c>
      <c r="E192" t="s">
        <v>17</v>
      </c>
      <c r="F192">
        <v>0</v>
      </c>
      <c r="G192" t="s">
        <v>342</v>
      </c>
      <c r="H192">
        <v>2</v>
      </c>
      <c r="I192" t="s">
        <v>343</v>
      </c>
      <c r="J192">
        <v>269</v>
      </c>
      <c r="K192" t="s">
        <v>3656</v>
      </c>
      <c r="L192" s="13">
        <v>45832</v>
      </c>
      <c r="M192" t="s">
        <v>76</v>
      </c>
      <c r="N192" t="s">
        <v>4145</v>
      </c>
      <c r="O192">
        <v>18.39</v>
      </c>
      <c r="P192" t="s">
        <v>52</v>
      </c>
    </row>
    <row r="193" spans="1:16" ht="15" customHeight="1" x14ac:dyDescent="0.4">
      <c r="A193" t="s">
        <v>15</v>
      </c>
      <c r="B193" t="s">
        <v>16</v>
      </c>
      <c r="C193" s="13">
        <v>45658</v>
      </c>
      <c r="D193" s="13">
        <v>46022</v>
      </c>
      <c r="E193" t="s">
        <v>17</v>
      </c>
      <c r="F193">
        <v>0</v>
      </c>
      <c r="G193" t="s">
        <v>342</v>
      </c>
      <c r="H193">
        <v>2</v>
      </c>
      <c r="I193" t="s">
        <v>343</v>
      </c>
      <c r="J193">
        <v>269</v>
      </c>
      <c r="K193" t="s">
        <v>3656</v>
      </c>
      <c r="L193" s="13">
        <v>45861</v>
      </c>
      <c r="M193" t="s">
        <v>76</v>
      </c>
      <c r="N193" t="s">
        <v>4146</v>
      </c>
      <c r="O193">
        <v>23.09</v>
      </c>
      <c r="P193" t="s">
        <v>52</v>
      </c>
    </row>
    <row r="194" spans="1:16" ht="15" customHeight="1" x14ac:dyDescent="0.4">
      <c r="A194" t="s">
        <v>15</v>
      </c>
      <c r="B194" t="s">
        <v>16</v>
      </c>
      <c r="C194" s="13">
        <v>45658</v>
      </c>
      <c r="D194" s="13">
        <v>46022</v>
      </c>
      <c r="E194" t="s">
        <v>17</v>
      </c>
      <c r="F194">
        <v>0</v>
      </c>
      <c r="G194" t="s">
        <v>342</v>
      </c>
      <c r="H194">
        <v>2</v>
      </c>
      <c r="I194" t="s">
        <v>343</v>
      </c>
      <c r="J194">
        <v>269</v>
      </c>
      <c r="K194" t="s">
        <v>3656</v>
      </c>
      <c r="L194" s="13">
        <v>45891</v>
      </c>
      <c r="M194" t="s">
        <v>76</v>
      </c>
      <c r="N194" t="s">
        <v>4147</v>
      </c>
      <c r="O194">
        <v>24.79</v>
      </c>
      <c r="P194" t="s">
        <v>52</v>
      </c>
    </row>
    <row r="195" spans="1:16" ht="15" customHeight="1" x14ac:dyDescent="0.4">
      <c r="A195" t="s">
        <v>15</v>
      </c>
      <c r="B195" t="s">
        <v>16</v>
      </c>
      <c r="C195" s="13">
        <v>45658</v>
      </c>
      <c r="D195" s="13">
        <v>46022</v>
      </c>
      <c r="E195" t="s">
        <v>17</v>
      </c>
      <c r="F195">
        <v>0</v>
      </c>
      <c r="G195" t="s">
        <v>342</v>
      </c>
      <c r="H195">
        <v>2</v>
      </c>
      <c r="I195" t="s">
        <v>343</v>
      </c>
      <c r="J195">
        <v>883</v>
      </c>
      <c r="K195" t="s">
        <v>371</v>
      </c>
      <c r="L195" s="13">
        <v>45658</v>
      </c>
      <c r="M195" t="s">
        <v>3660</v>
      </c>
      <c r="N195" t="s">
        <v>3661</v>
      </c>
      <c r="O195">
        <v>179.81</v>
      </c>
      <c r="P195" t="s">
        <v>374</v>
      </c>
    </row>
    <row r="196" spans="1:16" ht="15" customHeight="1" x14ac:dyDescent="0.4">
      <c r="A196" t="s">
        <v>15</v>
      </c>
      <c r="B196" t="s">
        <v>16</v>
      </c>
      <c r="C196" s="13">
        <v>45658</v>
      </c>
      <c r="D196" s="13">
        <v>46022</v>
      </c>
      <c r="E196" t="s">
        <v>17</v>
      </c>
      <c r="F196">
        <v>0</v>
      </c>
      <c r="G196" t="s">
        <v>342</v>
      </c>
      <c r="H196">
        <v>2</v>
      </c>
      <c r="I196" t="s">
        <v>343</v>
      </c>
      <c r="J196">
        <v>883</v>
      </c>
      <c r="K196" t="s">
        <v>371</v>
      </c>
      <c r="L196" s="13">
        <v>45707</v>
      </c>
      <c r="M196" t="s">
        <v>3662</v>
      </c>
      <c r="N196" t="s">
        <v>3663</v>
      </c>
      <c r="O196">
        <v>148.72999999999999</v>
      </c>
      <c r="P196" t="s">
        <v>333</v>
      </c>
    </row>
    <row r="197" spans="1:16" ht="15" customHeight="1" x14ac:dyDescent="0.4">
      <c r="A197" t="s">
        <v>15</v>
      </c>
      <c r="B197" t="s">
        <v>16</v>
      </c>
      <c r="C197" s="13">
        <v>45658</v>
      </c>
      <c r="D197" s="13">
        <v>46022</v>
      </c>
      <c r="E197" t="s">
        <v>30</v>
      </c>
      <c r="F197">
        <v>0</v>
      </c>
      <c r="G197" t="s">
        <v>379</v>
      </c>
      <c r="H197">
        <v>3</v>
      </c>
      <c r="I197" t="s">
        <v>380</v>
      </c>
      <c r="J197">
        <v>231</v>
      </c>
      <c r="K197" t="s">
        <v>381</v>
      </c>
      <c r="L197" s="13">
        <v>45658</v>
      </c>
      <c r="M197" t="s">
        <v>3664</v>
      </c>
      <c r="N197" t="s">
        <v>3665</v>
      </c>
      <c r="O197">
        <v>309.92</v>
      </c>
      <c r="P197" t="s">
        <v>384</v>
      </c>
    </row>
    <row r="198" spans="1:16" ht="15" customHeight="1" x14ac:dyDescent="0.4">
      <c r="A198" t="s">
        <v>15</v>
      </c>
      <c r="B198" t="s">
        <v>16</v>
      </c>
      <c r="C198" s="13">
        <v>45658</v>
      </c>
      <c r="D198" s="13">
        <v>46022</v>
      </c>
      <c r="E198" t="s">
        <v>17</v>
      </c>
      <c r="F198">
        <v>0</v>
      </c>
      <c r="G198" t="s">
        <v>379</v>
      </c>
      <c r="H198">
        <v>3</v>
      </c>
      <c r="I198" t="s">
        <v>380</v>
      </c>
      <c r="J198">
        <v>352</v>
      </c>
      <c r="K198" t="s">
        <v>389</v>
      </c>
      <c r="L198" s="13">
        <v>45660</v>
      </c>
      <c r="M198" t="s">
        <v>3666</v>
      </c>
      <c r="N198" t="s">
        <v>3667</v>
      </c>
      <c r="O198">
        <v>11.88</v>
      </c>
      <c r="P198" t="s">
        <v>407</v>
      </c>
    </row>
    <row r="199" spans="1:16" ht="15" customHeight="1" x14ac:dyDescent="0.4">
      <c r="A199" t="s">
        <v>15</v>
      </c>
      <c r="B199" t="s">
        <v>16</v>
      </c>
      <c r="C199" s="13">
        <v>45658</v>
      </c>
      <c r="D199" s="13">
        <v>46022</v>
      </c>
      <c r="E199" t="s">
        <v>17</v>
      </c>
      <c r="F199">
        <v>0</v>
      </c>
      <c r="G199" t="s">
        <v>379</v>
      </c>
      <c r="H199">
        <v>3</v>
      </c>
      <c r="I199" t="s">
        <v>380</v>
      </c>
      <c r="J199">
        <v>352</v>
      </c>
      <c r="K199" t="s">
        <v>389</v>
      </c>
      <c r="L199" s="13">
        <v>45691</v>
      </c>
      <c r="M199" t="s">
        <v>3452</v>
      </c>
      <c r="N199" t="s">
        <v>3668</v>
      </c>
      <c r="O199">
        <v>7.26</v>
      </c>
      <c r="P199" t="s">
        <v>392</v>
      </c>
    </row>
    <row r="200" spans="1:16" ht="15" customHeight="1" x14ac:dyDescent="0.4">
      <c r="A200" t="s">
        <v>15</v>
      </c>
      <c r="B200" t="s">
        <v>16</v>
      </c>
      <c r="C200" s="13">
        <v>45658</v>
      </c>
      <c r="D200" s="13">
        <v>46022</v>
      </c>
      <c r="E200" t="s">
        <v>30</v>
      </c>
      <c r="F200">
        <v>0</v>
      </c>
      <c r="G200" t="s">
        <v>420</v>
      </c>
      <c r="H200">
        <v>4</v>
      </c>
      <c r="I200" t="s">
        <v>421</v>
      </c>
      <c r="J200">
        <v>116</v>
      </c>
      <c r="K200" t="s">
        <v>469</v>
      </c>
      <c r="L200" s="13">
        <v>45908</v>
      </c>
      <c r="M200" t="s">
        <v>4148</v>
      </c>
      <c r="N200" t="s">
        <v>4149</v>
      </c>
      <c r="O200">
        <v>467.83</v>
      </c>
      <c r="P200" t="s">
        <v>965</v>
      </c>
    </row>
    <row r="201" spans="1:16" ht="15" customHeight="1" x14ac:dyDescent="0.4">
      <c r="A201" t="s">
        <v>15</v>
      </c>
      <c r="B201" t="s">
        <v>16</v>
      </c>
      <c r="C201" s="13">
        <v>45658</v>
      </c>
      <c r="D201" s="13">
        <v>46022</v>
      </c>
      <c r="E201" t="s">
        <v>17</v>
      </c>
      <c r="F201">
        <v>0</v>
      </c>
      <c r="G201" t="s">
        <v>420</v>
      </c>
      <c r="H201">
        <v>4</v>
      </c>
      <c r="I201" t="s">
        <v>421</v>
      </c>
      <c r="J201">
        <v>401</v>
      </c>
      <c r="K201" t="s">
        <v>435</v>
      </c>
      <c r="L201" s="13">
        <v>45688</v>
      </c>
      <c r="M201" t="s">
        <v>3454</v>
      </c>
      <c r="N201" t="s">
        <v>3669</v>
      </c>
      <c r="O201">
        <v>1043</v>
      </c>
      <c r="P201" t="s">
        <v>437</v>
      </c>
    </row>
    <row r="202" spans="1:16" ht="15" customHeight="1" x14ac:dyDescent="0.4">
      <c r="A202" t="s">
        <v>15</v>
      </c>
      <c r="B202" t="s">
        <v>16</v>
      </c>
      <c r="C202" s="13">
        <v>45658</v>
      </c>
      <c r="D202" s="13">
        <v>46022</v>
      </c>
      <c r="E202" t="s">
        <v>17</v>
      </c>
      <c r="F202">
        <v>0</v>
      </c>
      <c r="G202" t="s">
        <v>420</v>
      </c>
      <c r="H202">
        <v>4</v>
      </c>
      <c r="I202" t="s">
        <v>421</v>
      </c>
      <c r="J202">
        <v>401</v>
      </c>
      <c r="K202" t="s">
        <v>435</v>
      </c>
      <c r="L202" s="13">
        <v>45716</v>
      </c>
      <c r="M202" t="s">
        <v>3456</v>
      </c>
      <c r="N202" t="s">
        <v>3670</v>
      </c>
      <c r="O202">
        <v>1043</v>
      </c>
      <c r="P202" t="s">
        <v>437</v>
      </c>
    </row>
    <row r="203" spans="1:16" ht="15" customHeight="1" x14ac:dyDescent="0.4">
      <c r="A203" t="s">
        <v>15</v>
      </c>
      <c r="B203" t="s">
        <v>16</v>
      </c>
      <c r="C203" s="13">
        <v>45658</v>
      </c>
      <c r="D203" s="13">
        <v>46022</v>
      </c>
      <c r="E203" t="s">
        <v>17</v>
      </c>
      <c r="F203">
        <v>0</v>
      </c>
      <c r="G203" t="s">
        <v>482</v>
      </c>
      <c r="H203">
        <v>60</v>
      </c>
      <c r="I203" t="s">
        <v>483</v>
      </c>
      <c r="J203">
        <v>881</v>
      </c>
      <c r="K203" t="s">
        <v>327</v>
      </c>
      <c r="L203" s="13">
        <v>45791</v>
      </c>
      <c r="M203" t="s">
        <v>4150</v>
      </c>
      <c r="N203" t="s">
        <v>4151</v>
      </c>
      <c r="O203">
        <v>100.8</v>
      </c>
      <c r="P203" t="s">
        <v>374</v>
      </c>
    </row>
    <row r="204" spans="1:16" ht="15" customHeight="1" x14ac:dyDescent="0.4">
      <c r="A204" t="s">
        <v>15</v>
      </c>
      <c r="B204" t="s">
        <v>16</v>
      </c>
      <c r="C204" s="13">
        <v>45658</v>
      </c>
      <c r="D204" s="13">
        <v>46022</v>
      </c>
      <c r="E204" t="s">
        <v>17</v>
      </c>
      <c r="F204">
        <v>0</v>
      </c>
      <c r="G204" t="s">
        <v>482</v>
      </c>
      <c r="H204">
        <v>60</v>
      </c>
      <c r="I204" t="s">
        <v>483</v>
      </c>
      <c r="J204">
        <v>881</v>
      </c>
      <c r="K204" t="s">
        <v>327</v>
      </c>
      <c r="L204" s="13">
        <v>45809</v>
      </c>
      <c r="M204" t="s">
        <v>4152</v>
      </c>
      <c r="N204" t="s">
        <v>4153</v>
      </c>
      <c r="O204">
        <v>1441.96</v>
      </c>
      <c r="P204" t="s">
        <v>374</v>
      </c>
    </row>
    <row r="205" spans="1:16" ht="15" customHeight="1" x14ac:dyDescent="0.4">
      <c r="A205" t="s">
        <v>15</v>
      </c>
      <c r="B205" t="s">
        <v>16</v>
      </c>
      <c r="C205" s="13">
        <v>45658</v>
      </c>
      <c r="D205" s="13">
        <v>46022</v>
      </c>
      <c r="E205" t="s">
        <v>17</v>
      </c>
      <c r="F205">
        <v>1</v>
      </c>
      <c r="G205" t="s">
        <v>18</v>
      </c>
      <c r="H205">
        <v>1</v>
      </c>
      <c r="I205" t="s">
        <v>19</v>
      </c>
      <c r="J205">
        <v>269</v>
      </c>
      <c r="K205" t="s">
        <v>3671</v>
      </c>
      <c r="L205" s="13">
        <v>45677</v>
      </c>
      <c r="M205" t="s">
        <v>3586</v>
      </c>
      <c r="N205" t="s">
        <v>3587</v>
      </c>
      <c r="O205">
        <v>3.23</v>
      </c>
      <c r="P205" t="s">
        <v>52</v>
      </c>
    </row>
    <row r="206" spans="1:16" ht="15" customHeight="1" x14ac:dyDescent="0.4">
      <c r="A206" t="s">
        <v>15</v>
      </c>
      <c r="B206" t="s">
        <v>16</v>
      </c>
      <c r="C206" s="13">
        <v>45658</v>
      </c>
      <c r="D206" s="13">
        <v>46022</v>
      </c>
      <c r="E206" t="s">
        <v>17</v>
      </c>
      <c r="F206">
        <v>1</v>
      </c>
      <c r="G206" t="s">
        <v>18</v>
      </c>
      <c r="H206">
        <v>1</v>
      </c>
      <c r="I206" t="s">
        <v>19</v>
      </c>
      <c r="J206">
        <v>269</v>
      </c>
      <c r="K206" t="s">
        <v>3671</v>
      </c>
      <c r="L206" s="13">
        <v>45709</v>
      </c>
      <c r="M206" t="s">
        <v>76</v>
      </c>
      <c r="N206" t="s">
        <v>3588</v>
      </c>
      <c r="O206">
        <v>3.39</v>
      </c>
      <c r="P206" t="s">
        <v>52</v>
      </c>
    </row>
    <row r="207" spans="1:16" ht="15" customHeight="1" x14ac:dyDescent="0.4">
      <c r="A207" t="s">
        <v>15</v>
      </c>
      <c r="B207" t="s">
        <v>16</v>
      </c>
      <c r="C207" s="13">
        <v>45658</v>
      </c>
      <c r="D207" s="13">
        <v>46022</v>
      </c>
      <c r="E207" t="s">
        <v>17</v>
      </c>
      <c r="F207">
        <v>1</v>
      </c>
      <c r="G207" t="s">
        <v>18</v>
      </c>
      <c r="H207">
        <v>1</v>
      </c>
      <c r="I207" t="s">
        <v>19</v>
      </c>
      <c r="J207">
        <v>269</v>
      </c>
      <c r="K207" t="s">
        <v>3671</v>
      </c>
      <c r="L207" s="13">
        <v>45736</v>
      </c>
      <c r="M207" t="s">
        <v>3966</v>
      </c>
      <c r="N207" t="s">
        <v>3967</v>
      </c>
      <c r="O207">
        <v>2.65</v>
      </c>
      <c r="P207" t="s">
        <v>52</v>
      </c>
    </row>
    <row r="208" spans="1:16" ht="15" customHeight="1" x14ac:dyDescent="0.4">
      <c r="A208" t="s">
        <v>15</v>
      </c>
      <c r="B208" t="s">
        <v>16</v>
      </c>
      <c r="C208" s="13">
        <v>45658</v>
      </c>
      <c r="D208" s="13">
        <v>46022</v>
      </c>
      <c r="E208" t="s">
        <v>17</v>
      </c>
      <c r="F208">
        <v>1</v>
      </c>
      <c r="G208" t="s">
        <v>18</v>
      </c>
      <c r="H208">
        <v>1</v>
      </c>
      <c r="I208" t="s">
        <v>19</v>
      </c>
      <c r="J208">
        <v>269</v>
      </c>
      <c r="K208" t="s">
        <v>3671</v>
      </c>
      <c r="L208" s="13">
        <v>45767</v>
      </c>
      <c r="M208" t="s">
        <v>3968</v>
      </c>
      <c r="N208" t="s">
        <v>3969</v>
      </c>
      <c r="O208">
        <v>4.63</v>
      </c>
      <c r="P208" t="s">
        <v>52</v>
      </c>
    </row>
    <row r="209" spans="1:16" ht="15" customHeight="1" x14ac:dyDescent="0.4">
      <c r="A209" t="s">
        <v>15</v>
      </c>
      <c r="B209" t="s">
        <v>16</v>
      </c>
      <c r="C209" s="13">
        <v>45658</v>
      </c>
      <c r="D209" s="13">
        <v>46022</v>
      </c>
      <c r="E209" t="s">
        <v>17</v>
      </c>
      <c r="F209">
        <v>1</v>
      </c>
      <c r="G209" t="s">
        <v>18</v>
      </c>
      <c r="H209">
        <v>1</v>
      </c>
      <c r="I209" t="s">
        <v>19</v>
      </c>
      <c r="J209">
        <v>269</v>
      </c>
      <c r="K209" t="s">
        <v>3671</v>
      </c>
      <c r="L209" s="13">
        <v>45798</v>
      </c>
      <c r="M209" t="s">
        <v>3970</v>
      </c>
      <c r="N209" t="s">
        <v>3971</v>
      </c>
      <c r="O209">
        <v>13.4</v>
      </c>
      <c r="P209" t="s">
        <v>52</v>
      </c>
    </row>
    <row r="210" spans="1:16" ht="15" customHeight="1" x14ac:dyDescent="0.4">
      <c r="A210" t="s">
        <v>15</v>
      </c>
      <c r="B210" t="s">
        <v>16</v>
      </c>
      <c r="C210" s="13">
        <v>45658</v>
      </c>
      <c r="D210" s="13">
        <v>46022</v>
      </c>
      <c r="E210" t="s">
        <v>17</v>
      </c>
      <c r="F210">
        <v>1</v>
      </c>
      <c r="G210" t="s">
        <v>18</v>
      </c>
      <c r="H210">
        <v>1</v>
      </c>
      <c r="I210" t="s">
        <v>19</v>
      </c>
      <c r="J210">
        <v>269</v>
      </c>
      <c r="K210" t="s">
        <v>3671</v>
      </c>
      <c r="L210" s="13">
        <v>45832</v>
      </c>
      <c r="M210" t="s">
        <v>76</v>
      </c>
      <c r="N210" t="s">
        <v>3972</v>
      </c>
      <c r="O210">
        <v>14.28</v>
      </c>
      <c r="P210" t="s">
        <v>52</v>
      </c>
    </row>
    <row r="211" spans="1:16" ht="15" customHeight="1" x14ac:dyDescent="0.4">
      <c r="A211" t="s">
        <v>15</v>
      </c>
      <c r="B211" t="s">
        <v>16</v>
      </c>
      <c r="C211" s="13">
        <v>45658</v>
      </c>
      <c r="D211" s="13">
        <v>46022</v>
      </c>
      <c r="E211" t="s">
        <v>17</v>
      </c>
      <c r="F211">
        <v>1</v>
      </c>
      <c r="G211" t="s">
        <v>18</v>
      </c>
      <c r="H211">
        <v>1</v>
      </c>
      <c r="I211" t="s">
        <v>19</v>
      </c>
      <c r="J211">
        <v>269</v>
      </c>
      <c r="K211" t="s">
        <v>3671</v>
      </c>
      <c r="L211" s="13">
        <v>45859</v>
      </c>
      <c r="M211" t="s">
        <v>76</v>
      </c>
      <c r="N211" t="s">
        <v>3973</v>
      </c>
      <c r="O211">
        <v>19.600000000000001</v>
      </c>
      <c r="P211" t="s">
        <v>52</v>
      </c>
    </row>
    <row r="212" spans="1:16" ht="15" customHeight="1" x14ac:dyDescent="0.4">
      <c r="A212" t="s">
        <v>15</v>
      </c>
      <c r="B212" t="s">
        <v>16</v>
      </c>
      <c r="C212" s="13">
        <v>45658</v>
      </c>
      <c r="D212" s="13">
        <v>46022</v>
      </c>
      <c r="E212" t="s">
        <v>17</v>
      </c>
      <c r="F212">
        <v>1</v>
      </c>
      <c r="G212" t="s">
        <v>18</v>
      </c>
      <c r="H212">
        <v>1</v>
      </c>
      <c r="I212" t="s">
        <v>19</v>
      </c>
      <c r="J212">
        <v>269</v>
      </c>
      <c r="K212" t="s">
        <v>3671</v>
      </c>
      <c r="L212" s="13">
        <v>45891</v>
      </c>
      <c r="M212" t="s">
        <v>76</v>
      </c>
      <c r="N212" t="s">
        <v>3974</v>
      </c>
      <c r="O212">
        <v>19.3</v>
      </c>
      <c r="P212" t="s">
        <v>52</v>
      </c>
    </row>
    <row r="213" spans="1:16" ht="15" customHeight="1" x14ac:dyDescent="0.4">
      <c r="A213" t="s">
        <v>15</v>
      </c>
      <c r="B213" t="s">
        <v>16</v>
      </c>
      <c r="C213" s="13">
        <v>45658</v>
      </c>
      <c r="D213" s="13">
        <v>46022</v>
      </c>
      <c r="E213" t="s">
        <v>17</v>
      </c>
      <c r="F213">
        <v>3</v>
      </c>
      <c r="G213" t="s">
        <v>18</v>
      </c>
      <c r="H213">
        <v>1</v>
      </c>
      <c r="I213" t="s">
        <v>19</v>
      </c>
      <c r="J213">
        <v>205</v>
      </c>
      <c r="K213" t="s">
        <v>344</v>
      </c>
      <c r="L213" s="13">
        <v>45684</v>
      </c>
      <c r="M213" t="s">
        <v>3672</v>
      </c>
      <c r="N213" t="s">
        <v>3673</v>
      </c>
      <c r="O213">
        <v>763.4</v>
      </c>
      <c r="P213" t="s">
        <v>347</v>
      </c>
    </row>
    <row r="214" spans="1:16" ht="15" customHeight="1" x14ac:dyDescent="0.4">
      <c r="A214" t="s">
        <v>15</v>
      </c>
      <c r="B214" t="s">
        <v>16</v>
      </c>
      <c r="C214" s="13">
        <v>45658</v>
      </c>
      <c r="D214" s="13">
        <v>46022</v>
      </c>
      <c r="E214" t="s">
        <v>17</v>
      </c>
      <c r="F214">
        <v>3</v>
      </c>
      <c r="G214" t="s">
        <v>18</v>
      </c>
      <c r="H214">
        <v>1</v>
      </c>
      <c r="I214" t="s">
        <v>19</v>
      </c>
      <c r="J214">
        <v>205</v>
      </c>
      <c r="K214" t="s">
        <v>344</v>
      </c>
      <c r="L214" s="13">
        <v>45797</v>
      </c>
      <c r="M214" t="s">
        <v>4125</v>
      </c>
      <c r="N214" t="s">
        <v>4154</v>
      </c>
      <c r="O214">
        <v>763.4</v>
      </c>
      <c r="P214" t="s">
        <v>347</v>
      </c>
    </row>
    <row r="215" spans="1:16" ht="15" customHeight="1" x14ac:dyDescent="0.4">
      <c r="A215" t="s">
        <v>15</v>
      </c>
      <c r="B215" t="s">
        <v>16</v>
      </c>
      <c r="C215" s="13">
        <v>45658</v>
      </c>
      <c r="D215" s="13">
        <v>46022</v>
      </c>
      <c r="E215" t="s">
        <v>17</v>
      </c>
      <c r="F215">
        <v>3</v>
      </c>
      <c r="G215" t="s">
        <v>18</v>
      </c>
      <c r="H215">
        <v>1</v>
      </c>
      <c r="I215" t="s">
        <v>19</v>
      </c>
      <c r="J215">
        <v>269</v>
      </c>
      <c r="K215" t="s">
        <v>3674</v>
      </c>
      <c r="L215" s="13">
        <v>45677</v>
      </c>
      <c r="M215" t="s">
        <v>3586</v>
      </c>
      <c r="N215" t="s">
        <v>3587</v>
      </c>
      <c r="O215">
        <v>3.17</v>
      </c>
      <c r="P215" t="s">
        <v>52</v>
      </c>
    </row>
    <row r="216" spans="1:16" ht="15" customHeight="1" x14ac:dyDescent="0.4">
      <c r="A216" t="s">
        <v>15</v>
      </c>
      <c r="B216" t="s">
        <v>16</v>
      </c>
      <c r="C216" s="13">
        <v>45658</v>
      </c>
      <c r="D216" s="13">
        <v>46022</v>
      </c>
      <c r="E216" t="s">
        <v>17</v>
      </c>
      <c r="F216">
        <v>3</v>
      </c>
      <c r="G216" t="s">
        <v>18</v>
      </c>
      <c r="H216">
        <v>1</v>
      </c>
      <c r="I216" t="s">
        <v>19</v>
      </c>
      <c r="J216">
        <v>269</v>
      </c>
      <c r="K216" t="s">
        <v>3674</v>
      </c>
      <c r="L216" s="13">
        <v>45709</v>
      </c>
      <c r="M216" t="s">
        <v>76</v>
      </c>
      <c r="N216" t="s">
        <v>3588</v>
      </c>
      <c r="O216">
        <v>3.32</v>
      </c>
      <c r="P216" t="s">
        <v>52</v>
      </c>
    </row>
    <row r="217" spans="1:16" ht="15" customHeight="1" x14ac:dyDescent="0.4">
      <c r="A217" t="s">
        <v>15</v>
      </c>
      <c r="B217" t="s">
        <v>16</v>
      </c>
      <c r="C217" s="13">
        <v>45658</v>
      </c>
      <c r="D217" s="13">
        <v>46022</v>
      </c>
      <c r="E217" t="s">
        <v>17</v>
      </c>
      <c r="F217">
        <v>3</v>
      </c>
      <c r="G217" t="s">
        <v>18</v>
      </c>
      <c r="H217">
        <v>1</v>
      </c>
      <c r="I217" t="s">
        <v>19</v>
      </c>
      <c r="J217">
        <v>269</v>
      </c>
      <c r="K217" t="s">
        <v>3674</v>
      </c>
      <c r="L217" s="13">
        <v>45736</v>
      </c>
      <c r="M217" t="s">
        <v>3966</v>
      </c>
      <c r="N217" t="s">
        <v>3967</v>
      </c>
      <c r="O217">
        <v>2.59</v>
      </c>
      <c r="P217" t="s">
        <v>52</v>
      </c>
    </row>
    <row r="218" spans="1:16" ht="15" customHeight="1" x14ac:dyDescent="0.4">
      <c r="A218" t="s">
        <v>15</v>
      </c>
      <c r="B218" t="s">
        <v>16</v>
      </c>
      <c r="C218" s="13">
        <v>45658</v>
      </c>
      <c r="D218" s="13">
        <v>46022</v>
      </c>
      <c r="E218" t="s">
        <v>17</v>
      </c>
      <c r="F218">
        <v>3</v>
      </c>
      <c r="G218" t="s">
        <v>18</v>
      </c>
      <c r="H218">
        <v>1</v>
      </c>
      <c r="I218" t="s">
        <v>19</v>
      </c>
      <c r="J218">
        <v>269</v>
      </c>
      <c r="K218" t="s">
        <v>3674</v>
      </c>
      <c r="L218" s="13">
        <v>45767</v>
      </c>
      <c r="M218" t="s">
        <v>3968</v>
      </c>
      <c r="N218" t="s">
        <v>3969</v>
      </c>
      <c r="O218">
        <v>4.54</v>
      </c>
      <c r="P218" t="s">
        <v>52</v>
      </c>
    </row>
    <row r="219" spans="1:16" ht="15" customHeight="1" x14ac:dyDescent="0.4">
      <c r="A219" t="s">
        <v>15</v>
      </c>
      <c r="B219" t="s">
        <v>16</v>
      </c>
      <c r="C219" s="13">
        <v>45658</v>
      </c>
      <c r="D219" s="13">
        <v>46022</v>
      </c>
      <c r="E219" t="s">
        <v>17</v>
      </c>
      <c r="F219">
        <v>3</v>
      </c>
      <c r="G219" t="s">
        <v>18</v>
      </c>
      <c r="H219">
        <v>1</v>
      </c>
      <c r="I219" t="s">
        <v>19</v>
      </c>
      <c r="J219">
        <v>269</v>
      </c>
      <c r="K219" t="s">
        <v>3674</v>
      </c>
      <c r="L219" s="13">
        <v>45798</v>
      </c>
      <c r="M219" t="s">
        <v>3970</v>
      </c>
      <c r="N219" t="s">
        <v>3971</v>
      </c>
      <c r="O219">
        <v>13.13</v>
      </c>
      <c r="P219" t="s">
        <v>52</v>
      </c>
    </row>
    <row r="220" spans="1:16" ht="15" customHeight="1" x14ac:dyDescent="0.4">
      <c r="A220" t="s">
        <v>15</v>
      </c>
      <c r="B220" t="s">
        <v>16</v>
      </c>
      <c r="C220" s="13">
        <v>45658</v>
      </c>
      <c r="D220" s="13">
        <v>46022</v>
      </c>
      <c r="E220" t="s">
        <v>17</v>
      </c>
      <c r="F220">
        <v>3</v>
      </c>
      <c r="G220" t="s">
        <v>18</v>
      </c>
      <c r="H220">
        <v>1</v>
      </c>
      <c r="I220" t="s">
        <v>19</v>
      </c>
      <c r="J220">
        <v>269</v>
      </c>
      <c r="K220" t="s">
        <v>3674</v>
      </c>
      <c r="L220" s="13">
        <v>45832</v>
      </c>
      <c r="M220" t="s">
        <v>76</v>
      </c>
      <c r="N220" t="s">
        <v>3972</v>
      </c>
      <c r="O220">
        <v>13.99</v>
      </c>
      <c r="P220" t="s">
        <v>52</v>
      </c>
    </row>
    <row r="221" spans="1:16" ht="15" customHeight="1" x14ac:dyDescent="0.4">
      <c r="A221" t="s">
        <v>15</v>
      </c>
      <c r="B221" t="s">
        <v>16</v>
      </c>
      <c r="C221" s="13">
        <v>45658</v>
      </c>
      <c r="D221" s="13">
        <v>46022</v>
      </c>
      <c r="E221" t="s">
        <v>17</v>
      </c>
      <c r="F221">
        <v>3</v>
      </c>
      <c r="G221" t="s">
        <v>18</v>
      </c>
      <c r="H221">
        <v>1</v>
      </c>
      <c r="I221" t="s">
        <v>19</v>
      </c>
      <c r="J221">
        <v>269</v>
      </c>
      <c r="K221" t="s">
        <v>3674</v>
      </c>
      <c r="L221" s="13">
        <v>45859</v>
      </c>
      <c r="M221" t="s">
        <v>76</v>
      </c>
      <c r="N221" t="s">
        <v>3973</v>
      </c>
      <c r="O221">
        <v>19.2</v>
      </c>
      <c r="P221" t="s">
        <v>52</v>
      </c>
    </row>
    <row r="222" spans="1:16" ht="15" customHeight="1" x14ac:dyDescent="0.4">
      <c r="A222" t="s">
        <v>15</v>
      </c>
      <c r="B222" t="s">
        <v>16</v>
      </c>
      <c r="C222" s="13">
        <v>45658</v>
      </c>
      <c r="D222" s="13">
        <v>46022</v>
      </c>
      <c r="E222" t="s">
        <v>17</v>
      </c>
      <c r="F222">
        <v>3</v>
      </c>
      <c r="G222" t="s">
        <v>18</v>
      </c>
      <c r="H222">
        <v>1</v>
      </c>
      <c r="I222" t="s">
        <v>19</v>
      </c>
      <c r="J222">
        <v>269</v>
      </c>
      <c r="K222" t="s">
        <v>3674</v>
      </c>
      <c r="L222" s="13">
        <v>45891</v>
      </c>
      <c r="M222" t="s">
        <v>76</v>
      </c>
      <c r="N222" t="s">
        <v>3974</v>
      </c>
      <c r="O222">
        <v>18.91</v>
      </c>
      <c r="P222" t="s">
        <v>52</v>
      </c>
    </row>
    <row r="223" spans="1:16" ht="15" customHeight="1" x14ac:dyDescent="0.4">
      <c r="A223" t="s">
        <v>15</v>
      </c>
      <c r="B223" t="s">
        <v>16</v>
      </c>
      <c r="C223" s="13">
        <v>45658</v>
      </c>
      <c r="D223" s="13">
        <v>46022</v>
      </c>
      <c r="E223" t="s">
        <v>17</v>
      </c>
      <c r="F223">
        <v>5</v>
      </c>
      <c r="G223" t="s">
        <v>501</v>
      </c>
      <c r="H223">
        <v>40</v>
      </c>
      <c r="I223" t="s">
        <v>501</v>
      </c>
      <c r="J223">
        <v>264</v>
      </c>
      <c r="K223" t="s">
        <v>502</v>
      </c>
      <c r="L223" s="13">
        <v>45677</v>
      </c>
      <c r="M223" t="s">
        <v>3586</v>
      </c>
      <c r="N223" t="s">
        <v>3587</v>
      </c>
      <c r="O223">
        <v>3.3</v>
      </c>
      <c r="P223" t="s">
        <v>52</v>
      </c>
    </row>
    <row r="224" spans="1:16" ht="15" customHeight="1" x14ac:dyDescent="0.4">
      <c r="A224" t="s">
        <v>15</v>
      </c>
      <c r="B224" t="s">
        <v>16</v>
      </c>
      <c r="C224" s="13">
        <v>45658</v>
      </c>
      <c r="D224" s="13">
        <v>46022</v>
      </c>
      <c r="E224" t="s">
        <v>17</v>
      </c>
      <c r="F224">
        <v>5</v>
      </c>
      <c r="G224" t="s">
        <v>501</v>
      </c>
      <c r="H224">
        <v>40</v>
      </c>
      <c r="I224" t="s">
        <v>501</v>
      </c>
      <c r="J224">
        <v>264</v>
      </c>
      <c r="K224" t="s">
        <v>502</v>
      </c>
      <c r="L224" s="13">
        <v>45709</v>
      </c>
      <c r="M224" t="s">
        <v>76</v>
      </c>
      <c r="N224" t="s">
        <v>3588</v>
      </c>
      <c r="O224">
        <v>3.46</v>
      </c>
      <c r="P224" t="s">
        <v>52</v>
      </c>
    </row>
    <row r="225" spans="1:16" ht="15" customHeight="1" x14ac:dyDescent="0.4">
      <c r="A225" t="s">
        <v>15</v>
      </c>
      <c r="B225" t="s">
        <v>16</v>
      </c>
      <c r="C225" s="13">
        <v>45658</v>
      </c>
      <c r="D225" s="13">
        <v>46022</v>
      </c>
      <c r="E225" t="s">
        <v>17</v>
      </c>
      <c r="F225">
        <v>5</v>
      </c>
      <c r="G225" t="s">
        <v>501</v>
      </c>
      <c r="H225">
        <v>40</v>
      </c>
      <c r="I225" t="s">
        <v>501</v>
      </c>
      <c r="J225">
        <v>264</v>
      </c>
      <c r="K225" t="s">
        <v>502</v>
      </c>
      <c r="L225" s="13">
        <v>45736</v>
      </c>
      <c r="M225" t="s">
        <v>3966</v>
      </c>
      <c r="N225" t="s">
        <v>3967</v>
      </c>
      <c r="O225">
        <v>2.7</v>
      </c>
      <c r="P225" t="s">
        <v>52</v>
      </c>
    </row>
    <row r="226" spans="1:16" ht="15" customHeight="1" x14ac:dyDescent="0.4">
      <c r="A226" t="s">
        <v>15</v>
      </c>
      <c r="B226" t="s">
        <v>16</v>
      </c>
      <c r="C226" s="13">
        <v>45658</v>
      </c>
      <c r="D226" s="13">
        <v>46022</v>
      </c>
      <c r="E226" t="s">
        <v>17</v>
      </c>
      <c r="F226">
        <v>5</v>
      </c>
      <c r="G226" t="s">
        <v>501</v>
      </c>
      <c r="H226">
        <v>40</v>
      </c>
      <c r="I226" t="s">
        <v>501</v>
      </c>
      <c r="J226">
        <v>264</v>
      </c>
      <c r="K226" t="s">
        <v>502</v>
      </c>
      <c r="L226" s="13">
        <v>45767</v>
      </c>
      <c r="M226" t="s">
        <v>3968</v>
      </c>
      <c r="N226" t="s">
        <v>3969</v>
      </c>
      <c r="O226">
        <v>4.7300000000000004</v>
      </c>
      <c r="P226" t="s">
        <v>52</v>
      </c>
    </row>
    <row r="227" spans="1:16" ht="15" customHeight="1" x14ac:dyDescent="0.4">
      <c r="A227" t="s">
        <v>15</v>
      </c>
      <c r="B227" t="s">
        <v>16</v>
      </c>
      <c r="C227" s="13">
        <v>45658</v>
      </c>
      <c r="D227" s="13">
        <v>46022</v>
      </c>
      <c r="E227" t="s">
        <v>17</v>
      </c>
      <c r="F227">
        <v>5</v>
      </c>
      <c r="G227" t="s">
        <v>501</v>
      </c>
      <c r="H227">
        <v>40</v>
      </c>
      <c r="I227" t="s">
        <v>501</v>
      </c>
      <c r="J227">
        <v>264</v>
      </c>
      <c r="K227" t="s">
        <v>502</v>
      </c>
      <c r="L227" s="13">
        <v>45798</v>
      </c>
      <c r="M227" t="s">
        <v>3970</v>
      </c>
      <c r="N227" t="s">
        <v>3971</v>
      </c>
      <c r="O227">
        <v>13.66</v>
      </c>
      <c r="P227" t="s">
        <v>52</v>
      </c>
    </row>
    <row r="228" spans="1:16" ht="15" customHeight="1" x14ac:dyDescent="0.4">
      <c r="A228" t="s">
        <v>15</v>
      </c>
      <c r="B228" t="s">
        <v>16</v>
      </c>
      <c r="C228" s="13">
        <v>45658</v>
      </c>
      <c r="D228" s="13">
        <v>46022</v>
      </c>
      <c r="E228" t="s">
        <v>17</v>
      </c>
      <c r="F228">
        <v>5</v>
      </c>
      <c r="G228" t="s">
        <v>501</v>
      </c>
      <c r="H228">
        <v>40</v>
      </c>
      <c r="I228" t="s">
        <v>501</v>
      </c>
      <c r="J228">
        <v>264</v>
      </c>
      <c r="K228" t="s">
        <v>502</v>
      </c>
      <c r="L228" s="13">
        <v>45832</v>
      </c>
      <c r="M228" t="s">
        <v>76</v>
      </c>
      <c r="N228" t="s">
        <v>3972</v>
      </c>
      <c r="O228">
        <v>14.56</v>
      </c>
      <c r="P228" t="s">
        <v>52</v>
      </c>
    </row>
    <row r="229" spans="1:16" ht="15" customHeight="1" x14ac:dyDescent="0.4">
      <c r="A229" t="s">
        <v>15</v>
      </c>
      <c r="B229" t="s">
        <v>16</v>
      </c>
      <c r="C229" s="13">
        <v>45658</v>
      </c>
      <c r="D229" s="13">
        <v>46022</v>
      </c>
      <c r="E229" t="s">
        <v>17</v>
      </c>
      <c r="F229">
        <v>5</v>
      </c>
      <c r="G229" t="s">
        <v>501</v>
      </c>
      <c r="H229">
        <v>40</v>
      </c>
      <c r="I229" t="s">
        <v>501</v>
      </c>
      <c r="J229">
        <v>264</v>
      </c>
      <c r="K229" t="s">
        <v>502</v>
      </c>
      <c r="L229" s="13">
        <v>45859</v>
      </c>
      <c r="M229" t="s">
        <v>76</v>
      </c>
      <c r="N229" t="s">
        <v>3973</v>
      </c>
      <c r="O229">
        <v>19.989999999999998</v>
      </c>
      <c r="P229" t="s">
        <v>52</v>
      </c>
    </row>
    <row r="230" spans="1:16" ht="15" customHeight="1" x14ac:dyDescent="0.4">
      <c r="A230" t="s">
        <v>15</v>
      </c>
      <c r="B230" t="s">
        <v>16</v>
      </c>
      <c r="C230" s="13">
        <v>45658</v>
      </c>
      <c r="D230" s="13">
        <v>46022</v>
      </c>
      <c r="E230" t="s">
        <v>17</v>
      </c>
      <c r="F230">
        <v>5</v>
      </c>
      <c r="G230" t="s">
        <v>501</v>
      </c>
      <c r="H230">
        <v>40</v>
      </c>
      <c r="I230" t="s">
        <v>501</v>
      </c>
      <c r="J230">
        <v>264</v>
      </c>
      <c r="K230" t="s">
        <v>502</v>
      </c>
      <c r="L230" s="13">
        <v>45891</v>
      </c>
      <c r="M230" t="s">
        <v>76</v>
      </c>
      <c r="N230" t="s">
        <v>3974</v>
      </c>
      <c r="O230">
        <v>19.690000000000001</v>
      </c>
      <c r="P230" t="s">
        <v>52</v>
      </c>
    </row>
    <row r="231" spans="1:16" ht="15" customHeight="1" x14ac:dyDescent="0.4">
      <c r="A231" t="s">
        <v>15</v>
      </c>
      <c r="B231" t="s">
        <v>16</v>
      </c>
      <c r="C231" s="13">
        <v>45658</v>
      </c>
      <c r="D231" s="13">
        <v>46022</v>
      </c>
      <c r="E231" t="s">
        <v>17</v>
      </c>
      <c r="F231">
        <v>5</v>
      </c>
      <c r="G231" t="s">
        <v>501</v>
      </c>
      <c r="H231">
        <v>40</v>
      </c>
      <c r="I231" t="s">
        <v>501</v>
      </c>
      <c r="J231">
        <v>741</v>
      </c>
      <c r="K231" t="s">
        <v>505</v>
      </c>
      <c r="L231" s="13">
        <v>45672</v>
      </c>
      <c r="M231" t="s">
        <v>3675</v>
      </c>
      <c r="N231" t="s">
        <v>3676</v>
      </c>
      <c r="O231">
        <v>33.24</v>
      </c>
      <c r="P231" t="s">
        <v>508</v>
      </c>
    </row>
    <row r="232" spans="1:16" ht="15" customHeight="1" x14ac:dyDescent="0.4">
      <c r="A232" t="s">
        <v>15</v>
      </c>
      <c r="B232" t="s">
        <v>16</v>
      </c>
      <c r="C232" s="13">
        <v>45658</v>
      </c>
      <c r="D232" s="13">
        <v>46022</v>
      </c>
      <c r="E232" t="s">
        <v>17</v>
      </c>
      <c r="F232">
        <v>5</v>
      </c>
      <c r="G232" t="s">
        <v>501</v>
      </c>
      <c r="H232">
        <v>40</v>
      </c>
      <c r="I232" t="s">
        <v>501</v>
      </c>
      <c r="J232">
        <v>801</v>
      </c>
      <c r="K232" t="s">
        <v>511</v>
      </c>
      <c r="L232" s="13">
        <v>45678</v>
      </c>
      <c r="M232" t="s">
        <v>3677</v>
      </c>
      <c r="N232" t="s">
        <v>3678</v>
      </c>
      <c r="O232">
        <v>315.10000000000002</v>
      </c>
      <c r="P232" t="s">
        <v>2926</v>
      </c>
    </row>
    <row r="233" spans="1:16" ht="15" customHeight="1" x14ac:dyDescent="0.4">
      <c r="A233" t="s">
        <v>15</v>
      </c>
      <c r="B233" t="s">
        <v>16</v>
      </c>
      <c r="C233" s="13">
        <v>45658</v>
      </c>
      <c r="D233" s="13">
        <v>46022</v>
      </c>
      <c r="E233" t="s">
        <v>17</v>
      </c>
      <c r="F233">
        <v>5</v>
      </c>
      <c r="G233" t="s">
        <v>501</v>
      </c>
      <c r="H233">
        <v>40</v>
      </c>
      <c r="I233" t="s">
        <v>501</v>
      </c>
      <c r="J233">
        <v>801</v>
      </c>
      <c r="K233" t="s">
        <v>511</v>
      </c>
      <c r="L233" s="13">
        <v>45733</v>
      </c>
      <c r="M233" t="s">
        <v>4155</v>
      </c>
      <c r="N233" t="s">
        <v>4156</v>
      </c>
      <c r="O233">
        <v>94.71</v>
      </c>
      <c r="P233" t="s">
        <v>508</v>
      </c>
    </row>
    <row r="234" spans="1:16" ht="15" customHeight="1" x14ac:dyDescent="0.4">
      <c r="A234" t="s">
        <v>15</v>
      </c>
      <c r="B234" t="s">
        <v>16</v>
      </c>
      <c r="C234" s="13">
        <v>45658</v>
      </c>
      <c r="D234" s="13">
        <v>46022</v>
      </c>
      <c r="E234" t="s">
        <v>17</v>
      </c>
      <c r="F234">
        <v>5</v>
      </c>
      <c r="G234" t="s">
        <v>501</v>
      </c>
      <c r="H234">
        <v>40</v>
      </c>
      <c r="I234" t="s">
        <v>501</v>
      </c>
      <c r="J234">
        <v>801</v>
      </c>
      <c r="K234" t="s">
        <v>511</v>
      </c>
      <c r="L234" s="13">
        <v>45733</v>
      </c>
      <c r="M234" t="s">
        <v>4157</v>
      </c>
      <c r="N234" t="s">
        <v>4158</v>
      </c>
      <c r="O234">
        <v>82.49</v>
      </c>
      <c r="P234" t="s">
        <v>508</v>
      </c>
    </row>
    <row r="235" spans="1:16" ht="15" customHeight="1" x14ac:dyDescent="0.4">
      <c r="A235" t="s">
        <v>15</v>
      </c>
      <c r="B235" t="s">
        <v>16</v>
      </c>
      <c r="C235" s="13">
        <v>45658</v>
      </c>
      <c r="D235" s="13">
        <v>46022</v>
      </c>
      <c r="E235" t="s">
        <v>17</v>
      </c>
      <c r="F235">
        <v>5</v>
      </c>
      <c r="G235" t="s">
        <v>501</v>
      </c>
      <c r="H235">
        <v>40</v>
      </c>
      <c r="I235" t="s">
        <v>501</v>
      </c>
      <c r="J235">
        <v>801</v>
      </c>
      <c r="K235" t="s">
        <v>511</v>
      </c>
      <c r="L235" s="13">
        <v>45775</v>
      </c>
      <c r="M235" t="s">
        <v>4159</v>
      </c>
      <c r="N235" t="s">
        <v>4160</v>
      </c>
      <c r="O235">
        <v>315.10000000000002</v>
      </c>
      <c r="P235" t="s">
        <v>2926</v>
      </c>
    </row>
    <row r="236" spans="1:16" ht="15" customHeight="1" x14ac:dyDescent="0.4">
      <c r="A236" t="s">
        <v>15</v>
      </c>
      <c r="B236" t="s">
        <v>16</v>
      </c>
      <c r="C236" s="13">
        <v>45658</v>
      </c>
      <c r="D236" s="13">
        <v>46022</v>
      </c>
      <c r="E236" t="s">
        <v>17</v>
      </c>
      <c r="F236">
        <v>5</v>
      </c>
      <c r="G236" t="s">
        <v>501</v>
      </c>
      <c r="H236">
        <v>40</v>
      </c>
      <c r="I236" t="s">
        <v>501</v>
      </c>
      <c r="J236">
        <v>801</v>
      </c>
      <c r="K236" t="s">
        <v>511</v>
      </c>
      <c r="L236" s="13">
        <v>45842</v>
      </c>
      <c r="M236" t="s">
        <v>4161</v>
      </c>
      <c r="N236" t="s">
        <v>4162</v>
      </c>
      <c r="O236">
        <v>315.10000000000002</v>
      </c>
      <c r="P236" t="s">
        <v>2926</v>
      </c>
    </row>
    <row r="237" spans="1:16" ht="15" customHeight="1" x14ac:dyDescent="0.4">
      <c r="A237" t="s">
        <v>15</v>
      </c>
      <c r="B237" t="s">
        <v>16</v>
      </c>
      <c r="C237" s="13">
        <v>45658</v>
      </c>
      <c r="D237" s="13">
        <v>46022</v>
      </c>
      <c r="E237" t="s">
        <v>30</v>
      </c>
      <c r="F237">
        <v>6</v>
      </c>
      <c r="G237" t="s">
        <v>525</v>
      </c>
      <c r="H237">
        <v>65</v>
      </c>
      <c r="I237" t="s">
        <v>526</v>
      </c>
      <c r="J237">
        <v>106</v>
      </c>
      <c r="K237" t="s">
        <v>1378</v>
      </c>
      <c r="L237" s="13">
        <v>45764</v>
      </c>
      <c r="M237" t="s">
        <v>4163</v>
      </c>
      <c r="N237" t="s">
        <v>4164</v>
      </c>
      <c r="O237">
        <v>728.2</v>
      </c>
      <c r="P237" t="s">
        <v>530</v>
      </c>
    </row>
    <row r="238" spans="1:16" ht="15" customHeight="1" x14ac:dyDescent="0.4">
      <c r="A238" t="s">
        <v>15</v>
      </c>
      <c r="B238" t="s">
        <v>16</v>
      </c>
      <c r="C238" s="13">
        <v>45658</v>
      </c>
      <c r="D238" s="13">
        <v>46022</v>
      </c>
      <c r="E238" t="s">
        <v>17</v>
      </c>
      <c r="F238">
        <v>6</v>
      </c>
      <c r="G238" t="s">
        <v>525</v>
      </c>
      <c r="H238">
        <v>65</v>
      </c>
      <c r="I238" t="s">
        <v>526</v>
      </c>
      <c r="J238">
        <v>821</v>
      </c>
      <c r="K238" t="s">
        <v>527</v>
      </c>
      <c r="L238" s="13">
        <v>45720</v>
      </c>
      <c r="M238" t="s">
        <v>3679</v>
      </c>
      <c r="N238" t="s">
        <v>3680</v>
      </c>
      <c r="O238">
        <v>2867.86</v>
      </c>
      <c r="P238" t="s">
        <v>530</v>
      </c>
    </row>
    <row r="239" spans="1:16" ht="15" customHeight="1" x14ac:dyDescent="0.4">
      <c r="A239" t="s">
        <v>15</v>
      </c>
      <c r="B239" t="s">
        <v>16</v>
      </c>
      <c r="C239" s="13">
        <v>45658</v>
      </c>
      <c r="D239" s="13">
        <v>46022</v>
      </c>
      <c r="E239" t="s">
        <v>17</v>
      </c>
      <c r="F239">
        <v>6</v>
      </c>
      <c r="G239" t="s">
        <v>525</v>
      </c>
      <c r="H239">
        <v>65</v>
      </c>
      <c r="I239" t="s">
        <v>526</v>
      </c>
      <c r="J239">
        <v>821</v>
      </c>
      <c r="K239" t="s">
        <v>527</v>
      </c>
      <c r="L239" s="13">
        <v>45763</v>
      </c>
      <c r="M239" t="s">
        <v>4165</v>
      </c>
      <c r="N239" t="s">
        <v>4166</v>
      </c>
      <c r="O239">
        <v>125.4</v>
      </c>
      <c r="P239" t="s">
        <v>530</v>
      </c>
    </row>
    <row r="240" spans="1:16" ht="15" customHeight="1" x14ac:dyDescent="0.4">
      <c r="A240" t="s">
        <v>15</v>
      </c>
      <c r="B240" t="s">
        <v>16</v>
      </c>
      <c r="C240" s="13">
        <v>45658</v>
      </c>
      <c r="D240" s="13">
        <v>46022</v>
      </c>
      <c r="E240" t="s">
        <v>17</v>
      </c>
      <c r="F240">
        <v>6</v>
      </c>
      <c r="G240" t="s">
        <v>525</v>
      </c>
      <c r="H240">
        <v>65</v>
      </c>
      <c r="I240" t="s">
        <v>526</v>
      </c>
      <c r="J240">
        <v>821</v>
      </c>
      <c r="K240" t="s">
        <v>527</v>
      </c>
      <c r="L240" s="13">
        <v>45765</v>
      </c>
      <c r="M240" t="s">
        <v>4165</v>
      </c>
      <c r="N240" t="s">
        <v>4167</v>
      </c>
      <c r="O240">
        <v>154</v>
      </c>
      <c r="P240" t="s">
        <v>530</v>
      </c>
    </row>
    <row r="241" spans="1:16" ht="15" customHeight="1" x14ac:dyDescent="0.4">
      <c r="A241" t="s">
        <v>15</v>
      </c>
      <c r="B241" t="s">
        <v>16</v>
      </c>
      <c r="C241" s="13">
        <v>45658</v>
      </c>
      <c r="D241" s="13">
        <v>46022</v>
      </c>
      <c r="E241" t="s">
        <v>17</v>
      </c>
      <c r="F241">
        <v>6</v>
      </c>
      <c r="G241" t="s">
        <v>525</v>
      </c>
      <c r="H241">
        <v>65</v>
      </c>
      <c r="I241" t="s">
        <v>526</v>
      </c>
      <c r="J241">
        <v>821</v>
      </c>
      <c r="K241" t="s">
        <v>527</v>
      </c>
      <c r="L241" s="13">
        <v>45909</v>
      </c>
      <c r="M241" t="s">
        <v>4168</v>
      </c>
      <c r="N241" t="s">
        <v>4169</v>
      </c>
      <c r="O241">
        <v>2867.86</v>
      </c>
      <c r="P241" t="s">
        <v>530</v>
      </c>
    </row>
    <row r="242" spans="1:16" ht="15" customHeight="1" x14ac:dyDescent="0.4">
      <c r="A242" t="s">
        <v>15</v>
      </c>
      <c r="B242" t="s">
        <v>16</v>
      </c>
      <c r="C242" s="13">
        <v>45658</v>
      </c>
      <c r="D242" s="13">
        <v>46022</v>
      </c>
      <c r="E242" t="s">
        <v>17</v>
      </c>
      <c r="F242">
        <v>8</v>
      </c>
      <c r="G242" t="s">
        <v>501</v>
      </c>
      <c r="H242">
        <v>40</v>
      </c>
      <c r="I242" t="s">
        <v>501</v>
      </c>
      <c r="J242">
        <v>264</v>
      </c>
      <c r="K242" t="s">
        <v>3681</v>
      </c>
      <c r="L242" s="13">
        <v>45680</v>
      </c>
      <c r="M242" t="s">
        <v>3657</v>
      </c>
      <c r="N242" t="s">
        <v>3658</v>
      </c>
      <c r="O242">
        <v>32.29</v>
      </c>
      <c r="P242" t="s">
        <v>52</v>
      </c>
    </row>
    <row r="243" spans="1:16" ht="15" customHeight="1" x14ac:dyDescent="0.4">
      <c r="A243" t="s">
        <v>15</v>
      </c>
      <c r="B243" t="s">
        <v>16</v>
      </c>
      <c r="C243" s="13">
        <v>45658</v>
      </c>
      <c r="D243" s="13">
        <v>46022</v>
      </c>
      <c r="E243" t="s">
        <v>17</v>
      </c>
      <c r="F243">
        <v>8</v>
      </c>
      <c r="G243" t="s">
        <v>501</v>
      </c>
      <c r="H243">
        <v>40</v>
      </c>
      <c r="I243" t="s">
        <v>501</v>
      </c>
      <c r="J243">
        <v>264</v>
      </c>
      <c r="K243" t="s">
        <v>3681</v>
      </c>
      <c r="L243" s="13">
        <v>45713</v>
      </c>
      <c r="M243" t="s">
        <v>76</v>
      </c>
      <c r="N243" t="s">
        <v>3659</v>
      </c>
      <c r="O243">
        <v>19.61</v>
      </c>
      <c r="P243" t="s">
        <v>52</v>
      </c>
    </row>
    <row r="244" spans="1:16" ht="15" customHeight="1" x14ac:dyDescent="0.4">
      <c r="A244" t="s">
        <v>15</v>
      </c>
      <c r="B244" t="s">
        <v>16</v>
      </c>
      <c r="C244" s="13">
        <v>45658</v>
      </c>
      <c r="D244" s="13">
        <v>46022</v>
      </c>
      <c r="E244" t="s">
        <v>17</v>
      </c>
      <c r="F244">
        <v>8</v>
      </c>
      <c r="G244" t="s">
        <v>501</v>
      </c>
      <c r="H244">
        <v>40</v>
      </c>
      <c r="I244" t="s">
        <v>501</v>
      </c>
      <c r="J244">
        <v>264</v>
      </c>
      <c r="K244" t="s">
        <v>3681</v>
      </c>
      <c r="L244" s="13">
        <v>45742</v>
      </c>
      <c r="M244" t="s">
        <v>4139</v>
      </c>
      <c r="N244" t="s">
        <v>4140</v>
      </c>
      <c r="O244">
        <v>16.079999999999998</v>
      </c>
      <c r="P244" t="s">
        <v>52</v>
      </c>
    </row>
    <row r="245" spans="1:16" ht="15" customHeight="1" x14ac:dyDescent="0.4">
      <c r="A245" t="s">
        <v>15</v>
      </c>
      <c r="B245" t="s">
        <v>16</v>
      </c>
      <c r="C245" s="13">
        <v>45658</v>
      </c>
      <c r="D245" s="13">
        <v>46022</v>
      </c>
      <c r="E245" t="s">
        <v>17</v>
      </c>
      <c r="F245">
        <v>8</v>
      </c>
      <c r="G245" t="s">
        <v>501</v>
      </c>
      <c r="H245">
        <v>40</v>
      </c>
      <c r="I245" t="s">
        <v>501</v>
      </c>
      <c r="J245">
        <v>264</v>
      </c>
      <c r="K245" t="s">
        <v>3681</v>
      </c>
      <c r="L245" s="13">
        <v>45769</v>
      </c>
      <c r="M245" t="s">
        <v>4141</v>
      </c>
      <c r="N245" t="s">
        <v>4142</v>
      </c>
      <c r="O245">
        <v>17.98</v>
      </c>
      <c r="P245" t="s">
        <v>52</v>
      </c>
    </row>
    <row r="246" spans="1:16" ht="15" customHeight="1" x14ac:dyDescent="0.4">
      <c r="A246" t="s">
        <v>15</v>
      </c>
      <c r="B246" t="s">
        <v>16</v>
      </c>
      <c r="C246" s="13">
        <v>45658</v>
      </c>
      <c r="D246" s="13">
        <v>46022</v>
      </c>
      <c r="E246" t="s">
        <v>17</v>
      </c>
      <c r="F246">
        <v>8</v>
      </c>
      <c r="G246" t="s">
        <v>501</v>
      </c>
      <c r="H246">
        <v>40</v>
      </c>
      <c r="I246" t="s">
        <v>501</v>
      </c>
      <c r="J246">
        <v>264</v>
      </c>
      <c r="K246" t="s">
        <v>3681</v>
      </c>
      <c r="L246" s="13">
        <v>45800</v>
      </c>
      <c r="M246" t="s">
        <v>4143</v>
      </c>
      <c r="N246" t="s">
        <v>4144</v>
      </c>
      <c r="O246">
        <v>17.8</v>
      </c>
      <c r="P246" t="s">
        <v>52</v>
      </c>
    </row>
    <row r="247" spans="1:16" ht="15" customHeight="1" x14ac:dyDescent="0.4">
      <c r="A247" t="s">
        <v>15</v>
      </c>
      <c r="B247" t="s">
        <v>16</v>
      </c>
      <c r="C247" s="13">
        <v>45658</v>
      </c>
      <c r="D247" s="13">
        <v>46022</v>
      </c>
      <c r="E247" t="s">
        <v>17</v>
      </c>
      <c r="F247">
        <v>8</v>
      </c>
      <c r="G247" t="s">
        <v>501</v>
      </c>
      <c r="H247">
        <v>40</v>
      </c>
      <c r="I247" t="s">
        <v>501</v>
      </c>
      <c r="J247">
        <v>264</v>
      </c>
      <c r="K247" t="s">
        <v>3681</v>
      </c>
      <c r="L247" s="13">
        <v>45832</v>
      </c>
      <c r="M247" t="s">
        <v>76</v>
      </c>
      <c r="N247" t="s">
        <v>4145</v>
      </c>
      <c r="O247">
        <v>14.71</v>
      </c>
      <c r="P247" t="s">
        <v>52</v>
      </c>
    </row>
    <row r="248" spans="1:16" ht="15" customHeight="1" x14ac:dyDescent="0.4">
      <c r="A248" t="s">
        <v>15</v>
      </c>
      <c r="B248" t="s">
        <v>16</v>
      </c>
      <c r="C248" s="13">
        <v>45658</v>
      </c>
      <c r="D248" s="13">
        <v>46022</v>
      </c>
      <c r="E248" t="s">
        <v>17</v>
      </c>
      <c r="F248">
        <v>8</v>
      </c>
      <c r="G248" t="s">
        <v>501</v>
      </c>
      <c r="H248">
        <v>40</v>
      </c>
      <c r="I248" t="s">
        <v>501</v>
      </c>
      <c r="J248">
        <v>264</v>
      </c>
      <c r="K248" t="s">
        <v>3681</v>
      </c>
      <c r="L248" s="13">
        <v>45861</v>
      </c>
      <c r="M248" t="s">
        <v>76</v>
      </c>
      <c r="N248" t="s">
        <v>4146</v>
      </c>
      <c r="O248">
        <v>18.47</v>
      </c>
      <c r="P248" t="s">
        <v>52</v>
      </c>
    </row>
    <row r="249" spans="1:16" ht="15" customHeight="1" x14ac:dyDescent="0.4">
      <c r="A249" t="s">
        <v>15</v>
      </c>
      <c r="B249" t="s">
        <v>16</v>
      </c>
      <c r="C249" s="13">
        <v>45658</v>
      </c>
      <c r="D249" s="13">
        <v>46022</v>
      </c>
      <c r="E249" t="s">
        <v>17</v>
      </c>
      <c r="F249">
        <v>8</v>
      </c>
      <c r="G249" t="s">
        <v>501</v>
      </c>
      <c r="H249">
        <v>40</v>
      </c>
      <c r="I249" t="s">
        <v>501</v>
      </c>
      <c r="J249">
        <v>264</v>
      </c>
      <c r="K249" t="s">
        <v>3681</v>
      </c>
      <c r="L249" s="13">
        <v>45891</v>
      </c>
      <c r="M249" t="s">
        <v>76</v>
      </c>
      <c r="N249" t="s">
        <v>4147</v>
      </c>
      <c r="O249">
        <v>19.82</v>
      </c>
      <c r="P249" t="s">
        <v>52</v>
      </c>
    </row>
    <row r="250" spans="1:16" ht="15" customHeight="1" x14ac:dyDescent="0.4">
      <c r="A250" t="s">
        <v>15</v>
      </c>
      <c r="B250" t="s">
        <v>16</v>
      </c>
      <c r="C250" s="13">
        <v>45658</v>
      </c>
      <c r="D250" s="13">
        <v>46022</v>
      </c>
      <c r="E250" t="s">
        <v>17</v>
      </c>
      <c r="F250">
        <v>8</v>
      </c>
      <c r="G250" t="s">
        <v>501</v>
      </c>
      <c r="H250">
        <v>40</v>
      </c>
      <c r="I250" t="s">
        <v>501</v>
      </c>
      <c r="J250">
        <v>741</v>
      </c>
      <c r="K250" t="s">
        <v>505</v>
      </c>
      <c r="L250" s="13">
        <v>45664</v>
      </c>
      <c r="M250" t="s">
        <v>3682</v>
      </c>
      <c r="N250" t="s">
        <v>3683</v>
      </c>
      <c r="O250">
        <v>46.85</v>
      </c>
      <c r="P250" t="s">
        <v>508</v>
      </c>
    </row>
    <row r="251" spans="1:16" ht="15" customHeight="1" x14ac:dyDescent="0.4">
      <c r="A251" t="s">
        <v>15</v>
      </c>
      <c r="B251" t="s">
        <v>16</v>
      </c>
      <c r="C251" s="13">
        <v>45658</v>
      </c>
      <c r="D251" s="13">
        <v>46022</v>
      </c>
      <c r="E251" t="s">
        <v>17</v>
      </c>
      <c r="F251">
        <v>8</v>
      </c>
      <c r="G251" t="s">
        <v>501</v>
      </c>
      <c r="H251">
        <v>40</v>
      </c>
      <c r="I251" t="s">
        <v>501</v>
      </c>
      <c r="J251">
        <v>801</v>
      </c>
      <c r="K251" t="s">
        <v>511</v>
      </c>
      <c r="L251" s="13">
        <v>45733</v>
      </c>
      <c r="M251" t="s">
        <v>4155</v>
      </c>
      <c r="N251" t="s">
        <v>4156</v>
      </c>
      <c r="O251">
        <v>94.71</v>
      </c>
      <c r="P251" t="s">
        <v>508</v>
      </c>
    </row>
    <row r="252" spans="1:16" ht="15" customHeight="1" x14ac:dyDescent="0.4">
      <c r="A252" t="s">
        <v>15</v>
      </c>
      <c r="B252" t="s">
        <v>16</v>
      </c>
      <c r="C252" s="13">
        <v>45658</v>
      </c>
      <c r="D252" s="13">
        <v>46022</v>
      </c>
      <c r="E252" t="s">
        <v>17</v>
      </c>
      <c r="F252">
        <v>8</v>
      </c>
      <c r="G252" t="s">
        <v>501</v>
      </c>
      <c r="H252">
        <v>40</v>
      </c>
      <c r="I252" t="s">
        <v>501</v>
      </c>
      <c r="J252">
        <v>801</v>
      </c>
      <c r="K252" t="s">
        <v>511</v>
      </c>
      <c r="L252" s="13">
        <v>45733</v>
      </c>
      <c r="M252" t="s">
        <v>4157</v>
      </c>
      <c r="N252" t="s">
        <v>4158</v>
      </c>
      <c r="O252">
        <v>82.49</v>
      </c>
      <c r="P252" t="s">
        <v>508</v>
      </c>
    </row>
    <row r="253" spans="1:16" ht="15" customHeight="1" x14ac:dyDescent="0.4">
      <c r="A253" t="s">
        <v>15</v>
      </c>
      <c r="B253" t="s">
        <v>16</v>
      </c>
      <c r="C253" s="13">
        <v>45658</v>
      </c>
      <c r="D253" s="13">
        <v>46022</v>
      </c>
      <c r="E253" t="s">
        <v>17</v>
      </c>
      <c r="F253">
        <v>8</v>
      </c>
      <c r="G253" t="s">
        <v>501</v>
      </c>
      <c r="H253">
        <v>40</v>
      </c>
      <c r="I253" t="s">
        <v>501</v>
      </c>
      <c r="J253">
        <v>801</v>
      </c>
      <c r="K253" t="s">
        <v>511</v>
      </c>
      <c r="L253" s="13">
        <v>45840</v>
      </c>
      <c r="M253" t="s">
        <v>4170</v>
      </c>
      <c r="N253" t="s">
        <v>4171</v>
      </c>
      <c r="O253">
        <v>284.16000000000003</v>
      </c>
      <c r="P253" t="s">
        <v>508</v>
      </c>
    </row>
    <row r="254" spans="1:16" ht="15" customHeight="1" x14ac:dyDescent="0.4">
      <c r="A254" t="s">
        <v>15</v>
      </c>
      <c r="B254" t="s">
        <v>16</v>
      </c>
      <c r="C254" s="13">
        <v>45658</v>
      </c>
      <c r="D254" s="13">
        <v>46022</v>
      </c>
      <c r="E254" t="s">
        <v>17</v>
      </c>
      <c r="F254">
        <v>8</v>
      </c>
      <c r="G254" t="s">
        <v>501</v>
      </c>
      <c r="H254">
        <v>40</v>
      </c>
      <c r="I254" t="s">
        <v>501</v>
      </c>
      <c r="J254">
        <v>801</v>
      </c>
      <c r="K254" t="s">
        <v>511</v>
      </c>
      <c r="L254" s="13">
        <v>45919</v>
      </c>
      <c r="M254" t="s">
        <v>4172</v>
      </c>
      <c r="N254" t="s">
        <v>4173</v>
      </c>
      <c r="O254">
        <v>56.66</v>
      </c>
      <c r="P254" t="s">
        <v>2926</v>
      </c>
    </row>
    <row r="255" spans="1:16" ht="15" customHeight="1" x14ac:dyDescent="0.4">
      <c r="A255" t="s">
        <v>15</v>
      </c>
      <c r="B255" t="s">
        <v>16</v>
      </c>
      <c r="C255" s="13">
        <v>45658</v>
      </c>
      <c r="D255" s="13">
        <v>46022</v>
      </c>
      <c r="E255" t="s">
        <v>30</v>
      </c>
      <c r="F255">
        <v>9</v>
      </c>
      <c r="G255" t="s">
        <v>525</v>
      </c>
      <c r="H255">
        <v>65</v>
      </c>
      <c r="I255" t="s">
        <v>526</v>
      </c>
      <c r="J255">
        <v>106</v>
      </c>
      <c r="K255" t="s">
        <v>1378</v>
      </c>
      <c r="L255" s="13">
        <v>45769</v>
      </c>
      <c r="M255" t="s">
        <v>4174</v>
      </c>
      <c r="N255" t="s">
        <v>4175</v>
      </c>
      <c r="O255">
        <v>499.4</v>
      </c>
      <c r="P255" t="s">
        <v>530</v>
      </c>
    </row>
    <row r="256" spans="1:16" ht="15" customHeight="1" x14ac:dyDescent="0.4">
      <c r="A256" t="s">
        <v>15</v>
      </c>
      <c r="B256" t="s">
        <v>16</v>
      </c>
      <c r="C256" s="13">
        <v>45658</v>
      </c>
      <c r="D256" s="13">
        <v>46022</v>
      </c>
      <c r="E256" t="s">
        <v>17</v>
      </c>
      <c r="F256">
        <v>11</v>
      </c>
      <c r="G256" t="s">
        <v>501</v>
      </c>
      <c r="H256">
        <v>40</v>
      </c>
      <c r="I256" t="s">
        <v>501</v>
      </c>
      <c r="J256">
        <v>264</v>
      </c>
      <c r="K256" t="s">
        <v>3681</v>
      </c>
      <c r="L256" s="13">
        <v>45680</v>
      </c>
      <c r="M256" t="s">
        <v>3657</v>
      </c>
      <c r="N256" t="s">
        <v>3658</v>
      </c>
      <c r="O256">
        <v>32.29</v>
      </c>
      <c r="P256" t="s">
        <v>52</v>
      </c>
    </row>
    <row r="257" spans="1:16" ht="15" customHeight="1" x14ac:dyDescent="0.4">
      <c r="A257" t="s">
        <v>15</v>
      </c>
      <c r="B257" t="s">
        <v>16</v>
      </c>
      <c r="C257" s="13">
        <v>45658</v>
      </c>
      <c r="D257" s="13">
        <v>46022</v>
      </c>
      <c r="E257" t="s">
        <v>17</v>
      </c>
      <c r="F257">
        <v>11</v>
      </c>
      <c r="G257" t="s">
        <v>501</v>
      </c>
      <c r="H257">
        <v>40</v>
      </c>
      <c r="I257" t="s">
        <v>501</v>
      </c>
      <c r="J257">
        <v>264</v>
      </c>
      <c r="K257" t="s">
        <v>3681</v>
      </c>
      <c r="L257" s="13">
        <v>45713</v>
      </c>
      <c r="M257" t="s">
        <v>76</v>
      </c>
      <c r="N257" t="s">
        <v>3659</v>
      </c>
      <c r="O257">
        <v>19.61</v>
      </c>
      <c r="P257" t="s">
        <v>52</v>
      </c>
    </row>
    <row r="258" spans="1:16" ht="15" customHeight="1" x14ac:dyDescent="0.4">
      <c r="A258" t="s">
        <v>15</v>
      </c>
      <c r="B258" t="s">
        <v>16</v>
      </c>
      <c r="C258" s="13">
        <v>45658</v>
      </c>
      <c r="D258" s="13">
        <v>46022</v>
      </c>
      <c r="E258" t="s">
        <v>17</v>
      </c>
      <c r="F258">
        <v>11</v>
      </c>
      <c r="G258" t="s">
        <v>501</v>
      </c>
      <c r="H258">
        <v>40</v>
      </c>
      <c r="I258" t="s">
        <v>501</v>
      </c>
      <c r="J258">
        <v>264</v>
      </c>
      <c r="K258" t="s">
        <v>3681</v>
      </c>
      <c r="L258" s="13">
        <v>45742</v>
      </c>
      <c r="M258" t="s">
        <v>4139</v>
      </c>
      <c r="N258" t="s">
        <v>4140</v>
      </c>
      <c r="O258">
        <v>16.09</v>
      </c>
      <c r="P258" t="s">
        <v>52</v>
      </c>
    </row>
    <row r="259" spans="1:16" ht="15" customHeight="1" x14ac:dyDescent="0.4">
      <c r="A259" t="s">
        <v>15</v>
      </c>
      <c r="B259" t="s">
        <v>16</v>
      </c>
      <c r="C259" s="13">
        <v>45658</v>
      </c>
      <c r="D259" s="13">
        <v>46022</v>
      </c>
      <c r="E259" t="s">
        <v>17</v>
      </c>
      <c r="F259">
        <v>11</v>
      </c>
      <c r="G259" t="s">
        <v>501</v>
      </c>
      <c r="H259">
        <v>40</v>
      </c>
      <c r="I259" t="s">
        <v>501</v>
      </c>
      <c r="J259">
        <v>264</v>
      </c>
      <c r="K259" t="s">
        <v>3681</v>
      </c>
      <c r="L259" s="13">
        <v>45769</v>
      </c>
      <c r="M259" t="s">
        <v>4141</v>
      </c>
      <c r="N259" t="s">
        <v>4142</v>
      </c>
      <c r="O259">
        <v>17.98</v>
      </c>
      <c r="P259" t="s">
        <v>52</v>
      </c>
    </row>
    <row r="260" spans="1:16" ht="15" customHeight="1" x14ac:dyDescent="0.4">
      <c r="A260" t="s">
        <v>15</v>
      </c>
      <c r="B260" t="s">
        <v>16</v>
      </c>
      <c r="C260" s="13">
        <v>45658</v>
      </c>
      <c r="D260" s="13">
        <v>46022</v>
      </c>
      <c r="E260" t="s">
        <v>17</v>
      </c>
      <c r="F260">
        <v>11</v>
      </c>
      <c r="G260" t="s">
        <v>501</v>
      </c>
      <c r="H260">
        <v>40</v>
      </c>
      <c r="I260" t="s">
        <v>501</v>
      </c>
      <c r="J260">
        <v>264</v>
      </c>
      <c r="K260" t="s">
        <v>3681</v>
      </c>
      <c r="L260" s="13">
        <v>45800</v>
      </c>
      <c r="M260" t="s">
        <v>4143</v>
      </c>
      <c r="N260" t="s">
        <v>4144</v>
      </c>
      <c r="O260">
        <v>17.8</v>
      </c>
      <c r="P260" t="s">
        <v>52</v>
      </c>
    </row>
    <row r="261" spans="1:16" ht="15" customHeight="1" x14ac:dyDescent="0.4">
      <c r="A261" t="s">
        <v>15</v>
      </c>
      <c r="B261" t="s">
        <v>16</v>
      </c>
      <c r="C261" s="13">
        <v>45658</v>
      </c>
      <c r="D261" s="13">
        <v>46022</v>
      </c>
      <c r="E261" t="s">
        <v>17</v>
      </c>
      <c r="F261">
        <v>11</v>
      </c>
      <c r="G261" t="s">
        <v>501</v>
      </c>
      <c r="H261">
        <v>40</v>
      </c>
      <c r="I261" t="s">
        <v>501</v>
      </c>
      <c r="J261">
        <v>264</v>
      </c>
      <c r="K261" t="s">
        <v>3681</v>
      </c>
      <c r="L261" s="13">
        <v>45832</v>
      </c>
      <c r="M261" t="s">
        <v>76</v>
      </c>
      <c r="N261" t="s">
        <v>4145</v>
      </c>
      <c r="O261">
        <v>14.71</v>
      </c>
      <c r="P261" t="s">
        <v>52</v>
      </c>
    </row>
    <row r="262" spans="1:16" ht="15" customHeight="1" x14ac:dyDescent="0.4">
      <c r="A262" t="s">
        <v>15</v>
      </c>
      <c r="B262" t="s">
        <v>16</v>
      </c>
      <c r="C262" s="13">
        <v>45658</v>
      </c>
      <c r="D262" s="13">
        <v>46022</v>
      </c>
      <c r="E262" t="s">
        <v>17</v>
      </c>
      <c r="F262">
        <v>11</v>
      </c>
      <c r="G262" t="s">
        <v>501</v>
      </c>
      <c r="H262">
        <v>40</v>
      </c>
      <c r="I262" t="s">
        <v>501</v>
      </c>
      <c r="J262">
        <v>264</v>
      </c>
      <c r="K262" t="s">
        <v>3681</v>
      </c>
      <c r="L262" s="13">
        <v>45861</v>
      </c>
      <c r="M262" t="s">
        <v>76</v>
      </c>
      <c r="N262" t="s">
        <v>4146</v>
      </c>
      <c r="O262">
        <v>18.47</v>
      </c>
      <c r="P262" t="s">
        <v>52</v>
      </c>
    </row>
    <row r="263" spans="1:16" ht="15" customHeight="1" x14ac:dyDescent="0.4">
      <c r="A263" t="s">
        <v>15</v>
      </c>
      <c r="B263" t="s">
        <v>16</v>
      </c>
      <c r="C263" s="13">
        <v>45658</v>
      </c>
      <c r="D263" s="13">
        <v>46022</v>
      </c>
      <c r="E263" t="s">
        <v>17</v>
      </c>
      <c r="F263">
        <v>11</v>
      </c>
      <c r="G263" t="s">
        <v>501</v>
      </c>
      <c r="H263">
        <v>40</v>
      </c>
      <c r="I263" t="s">
        <v>501</v>
      </c>
      <c r="J263">
        <v>264</v>
      </c>
      <c r="K263" t="s">
        <v>3681</v>
      </c>
      <c r="L263" s="13">
        <v>45891</v>
      </c>
      <c r="M263" t="s">
        <v>76</v>
      </c>
      <c r="N263" t="s">
        <v>4147</v>
      </c>
      <c r="O263">
        <v>19.82</v>
      </c>
      <c r="P263" t="s">
        <v>52</v>
      </c>
    </row>
    <row r="264" spans="1:16" ht="15" customHeight="1" x14ac:dyDescent="0.4">
      <c r="A264" t="s">
        <v>15</v>
      </c>
      <c r="B264" t="s">
        <v>16</v>
      </c>
      <c r="C264" s="13">
        <v>45658</v>
      </c>
      <c r="D264" s="13">
        <v>46022</v>
      </c>
      <c r="E264" t="s">
        <v>17</v>
      </c>
      <c r="F264">
        <v>11</v>
      </c>
      <c r="G264" t="s">
        <v>501</v>
      </c>
      <c r="H264">
        <v>40</v>
      </c>
      <c r="I264" t="s">
        <v>501</v>
      </c>
      <c r="J264">
        <v>741</v>
      </c>
      <c r="K264" t="s">
        <v>505</v>
      </c>
      <c r="L264" s="13">
        <v>45664</v>
      </c>
      <c r="M264" t="s">
        <v>3684</v>
      </c>
      <c r="N264" t="s">
        <v>3685</v>
      </c>
      <c r="O264">
        <v>45.25</v>
      </c>
      <c r="P264" t="s">
        <v>508</v>
      </c>
    </row>
    <row r="265" spans="1:16" ht="15" customHeight="1" x14ac:dyDescent="0.4">
      <c r="A265" t="s">
        <v>15</v>
      </c>
      <c r="B265" t="s">
        <v>16</v>
      </c>
      <c r="C265" s="13">
        <v>45658</v>
      </c>
      <c r="D265" s="13">
        <v>46022</v>
      </c>
      <c r="E265" t="s">
        <v>17</v>
      </c>
      <c r="F265">
        <v>11</v>
      </c>
      <c r="G265" t="s">
        <v>501</v>
      </c>
      <c r="H265">
        <v>40</v>
      </c>
      <c r="I265" t="s">
        <v>501</v>
      </c>
      <c r="J265">
        <v>741</v>
      </c>
      <c r="K265" t="s">
        <v>505</v>
      </c>
      <c r="L265" s="13">
        <v>45839</v>
      </c>
      <c r="M265" t="s">
        <v>4176</v>
      </c>
      <c r="N265" t="s">
        <v>4177</v>
      </c>
      <c r="O265">
        <v>284.16000000000003</v>
      </c>
      <c r="P265" t="s">
        <v>508</v>
      </c>
    </row>
    <row r="266" spans="1:16" ht="15" customHeight="1" x14ac:dyDescent="0.4">
      <c r="A266" t="s">
        <v>15</v>
      </c>
      <c r="B266" t="s">
        <v>16</v>
      </c>
      <c r="C266" s="13">
        <v>45658</v>
      </c>
      <c r="D266" s="13">
        <v>46022</v>
      </c>
      <c r="E266" t="s">
        <v>17</v>
      </c>
      <c r="F266">
        <v>11</v>
      </c>
      <c r="G266" t="s">
        <v>501</v>
      </c>
      <c r="H266">
        <v>40</v>
      </c>
      <c r="I266" t="s">
        <v>501</v>
      </c>
      <c r="J266">
        <v>801</v>
      </c>
      <c r="K266" t="s">
        <v>511</v>
      </c>
      <c r="L266" s="13">
        <v>45733</v>
      </c>
      <c r="M266" t="s">
        <v>4157</v>
      </c>
      <c r="N266" t="s">
        <v>4158</v>
      </c>
      <c r="O266">
        <v>82.52</v>
      </c>
      <c r="P266" t="s">
        <v>508</v>
      </c>
    </row>
    <row r="267" spans="1:16" ht="15" customHeight="1" x14ac:dyDescent="0.4">
      <c r="A267" t="s">
        <v>15</v>
      </c>
      <c r="B267" t="s">
        <v>16</v>
      </c>
      <c r="C267" s="13">
        <v>45658</v>
      </c>
      <c r="D267" s="13">
        <v>46022</v>
      </c>
      <c r="E267" t="s">
        <v>17</v>
      </c>
      <c r="F267">
        <v>11</v>
      </c>
      <c r="G267" t="s">
        <v>501</v>
      </c>
      <c r="H267">
        <v>40</v>
      </c>
      <c r="I267" t="s">
        <v>501</v>
      </c>
      <c r="J267">
        <v>801</v>
      </c>
      <c r="K267" t="s">
        <v>511</v>
      </c>
      <c r="L267" s="13">
        <v>45733</v>
      </c>
      <c r="M267" t="s">
        <v>4155</v>
      </c>
      <c r="N267" t="s">
        <v>4156</v>
      </c>
      <c r="O267">
        <v>94.74</v>
      </c>
      <c r="P267" t="s">
        <v>508</v>
      </c>
    </row>
    <row r="268" spans="1:16" ht="15" customHeight="1" x14ac:dyDescent="0.4">
      <c r="A268" t="s">
        <v>15</v>
      </c>
      <c r="B268" t="s">
        <v>16</v>
      </c>
      <c r="C268" s="13">
        <v>45658</v>
      </c>
      <c r="D268" s="13">
        <v>46022</v>
      </c>
      <c r="E268" t="s">
        <v>17</v>
      </c>
      <c r="F268">
        <v>11</v>
      </c>
      <c r="G268" t="s">
        <v>501</v>
      </c>
      <c r="H268">
        <v>40</v>
      </c>
      <c r="I268" t="s">
        <v>501</v>
      </c>
      <c r="J268">
        <v>801</v>
      </c>
      <c r="K268" t="s">
        <v>511</v>
      </c>
      <c r="L268" s="13">
        <v>45919</v>
      </c>
      <c r="M268" t="s">
        <v>4178</v>
      </c>
      <c r="N268" t="s">
        <v>4179</v>
      </c>
      <c r="O268">
        <v>57.86</v>
      </c>
      <c r="P268" t="s">
        <v>2926</v>
      </c>
    </row>
    <row r="269" spans="1:16" ht="15" customHeight="1" x14ac:dyDescent="0.4">
      <c r="A269" t="s">
        <v>15</v>
      </c>
      <c r="B269" t="s">
        <v>16</v>
      </c>
      <c r="C269" s="13">
        <v>45658</v>
      </c>
      <c r="D269" s="13">
        <v>46022</v>
      </c>
      <c r="E269" t="s">
        <v>30</v>
      </c>
      <c r="F269">
        <v>12</v>
      </c>
      <c r="G269" t="s">
        <v>525</v>
      </c>
      <c r="H269">
        <v>65</v>
      </c>
      <c r="I269" t="s">
        <v>526</v>
      </c>
      <c r="J269">
        <v>106</v>
      </c>
      <c r="K269" t="s">
        <v>1378</v>
      </c>
      <c r="L269" s="13">
        <v>45765</v>
      </c>
      <c r="M269" t="s">
        <v>4180</v>
      </c>
      <c r="N269" t="s">
        <v>4181</v>
      </c>
      <c r="O269">
        <v>926.2</v>
      </c>
      <c r="P269" t="s">
        <v>530</v>
      </c>
    </row>
    <row r="270" spans="1:16" ht="15" customHeight="1" x14ac:dyDescent="0.4">
      <c r="A270" t="s">
        <v>15</v>
      </c>
      <c r="B270" t="s">
        <v>16</v>
      </c>
      <c r="C270" s="13">
        <v>45658</v>
      </c>
      <c r="D270" s="13">
        <v>46022</v>
      </c>
      <c r="E270" t="s">
        <v>17</v>
      </c>
      <c r="F270">
        <v>13</v>
      </c>
      <c r="G270" t="s">
        <v>560</v>
      </c>
      <c r="H270">
        <v>50</v>
      </c>
      <c r="I270" t="s">
        <v>561</v>
      </c>
      <c r="J270">
        <v>269</v>
      </c>
      <c r="K270" t="s">
        <v>562</v>
      </c>
      <c r="L270" s="13">
        <v>45672</v>
      </c>
      <c r="M270" t="s">
        <v>3686</v>
      </c>
      <c r="N270" t="s">
        <v>3687</v>
      </c>
      <c r="O270">
        <v>817.85</v>
      </c>
      <c r="P270" t="s">
        <v>565</v>
      </c>
    </row>
    <row r="271" spans="1:16" ht="15" customHeight="1" x14ac:dyDescent="0.4">
      <c r="A271" t="s">
        <v>15</v>
      </c>
      <c r="B271" t="s">
        <v>16</v>
      </c>
      <c r="C271" s="13">
        <v>45658</v>
      </c>
      <c r="D271" s="13">
        <v>46022</v>
      </c>
      <c r="E271" t="s">
        <v>17</v>
      </c>
      <c r="F271">
        <v>13</v>
      </c>
      <c r="G271" t="s">
        <v>560</v>
      </c>
      <c r="H271">
        <v>50</v>
      </c>
      <c r="I271" t="s">
        <v>561</v>
      </c>
      <c r="J271">
        <v>269</v>
      </c>
      <c r="K271" t="s">
        <v>562</v>
      </c>
      <c r="L271" s="13">
        <v>45701</v>
      </c>
      <c r="M271" t="s">
        <v>76</v>
      </c>
      <c r="N271" t="s">
        <v>3688</v>
      </c>
      <c r="O271">
        <v>771.86</v>
      </c>
      <c r="P271" t="s">
        <v>565</v>
      </c>
    </row>
    <row r="272" spans="1:16" ht="15" customHeight="1" x14ac:dyDescent="0.4">
      <c r="A272" t="s">
        <v>15</v>
      </c>
      <c r="B272" t="s">
        <v>16</v>
      </c>
      <c r="C272" s="13">
        <v>45658</v>
      </c>
      <c r="D272" s="13">
        <v>46022</v>
      </c>
      <c r="E272" t="s">
        <v>17</v>
      </c>
      <c r="F272">
        <v>13</v>
      </c>
      <c r="G272" t="s">
        <v>560</v>
      </c>
      <c r="H272">
        <v>50</v>
      </c>
      <c r="I272" t="s">
        <v>561</v>
      </c>
      <c r="J272">
        <v>269</v>
      </c>
      <c r="K272" t="s">
        <v>562</v>
      </c>
      <c r="L272" s="13">
        <v>45734</v>
      </c>
      <c r="M272" t="s">
        <v>3689</v>
      </c>
      <c r="N272" t="s">
        <v>3690</v>
      </c>
      <c r="O272">
        <v>712.5</v>
      </c>
      <c r="P272" t="s">
        <v>565</v>
      </c>
    </row>
    <row r="273" spans="1:16" ht="15" customHeight="1" x14ac:dyDescent="0.4">
      <c r="A273" t="s">
        <v>15</v>
      </c>
      <c r="B273" t="s">
        <v>16</v>
      </c>
      <c r="C273" s="13">
        <v>45658</v>
      </c>
      <c r="D273" s="13">
        <v>46022</v>
      </c>
      <c r="E273" t="s">
        <v>17</v>
      </c>
      <c r="F273">
        <v>13</v>
      </c>
      <c r="G273" t="s">
        <v>560</v>
      </c>
      <c r="H273">
        <v>50</v>
      </c>
      <c r="I273" t="s">
        <v>561</v>
      </c>
      <c r="J273">
        <v>269</v>
      </c>
      <c r="K273" t="s">
        <v>562</v>
      </c>
      <c r="L273" s="13">
        <v>45760</v>
      </c>
      <c r="M273" t="s">
        <v>4182</v>
      </c>
      <c r="N273" t="s">
        <v>4183</v>
      </c>
      <c r="O273">
        <v>625.30999999999995</v>
      </c>
      <c r="P273" t="s">
        <v>565</v>
      </c>
    </row>
    <row r="274" spans="1:16" ht="15" customHeight="1" x14ac:dyDescent="0.4">
      <c r="A274" t="s">
        <v>15</v>
      </c>
      <c r="B274" t="s">
        <v>16</v>
      </c>
      <c r="C274" s="13">
        <v>45658</v>
      </c>
      <c r="D274" s="13">
        <v>46022</v>
      </c>
      <c r="E274" t="s">
        <v>17</v>
      </c>
      <c r="F274">
        <v>13</v>
      </c>
      <c r="G274" t="s">
        <v>560</v>
      </c>
      <c r="H274">
        <v>50</v>
      </c>
      <c r="I274" t="s">
        <v>561</v>
      </c>
      <c r="J274">
        <v>269</v>
      </c>
      <c r="K274" t="s">
        <v>562</v>
      </c>
      <c r="L274" s="13">
        <v>45790</v>
      </c>
      <c r="M274" t="s">
        <v>76</v>
      </c>
      <c r="N274" t="s">
        <v>4184</v>
      </c>
      <c r="O274">
        <v>385.57</v>
      </c>
      <c r="P274" t="s">
        <v>565</v>
      </c>
    </row>
    <row r="275" spans="1:16" ht="15" customHeight="1" x14ac:dyDescent="0.4">
      <c r="A275" t="s">
        <v>15</v>
      </c>
      <c r="B275" t="s">
        <v>16</v>
      </c>
      <c r="C275" s="13">
        <v>45658</v>
      </c>
      <c r="D275" s="13">
        <v>46022</v>
      </c>
      <c r="E275" t="s">
        <v>17</v>
      </c>
      <c r="F275">
        <v>13</v>
      </c>
      <c r="G275" t="s">
        <v>560</v>
      </c>
      <c r="H275">
        <v>50</v>
      </c>
      <c r="I275" t="s">
        <v>561</v>
      </c>
      <c r="J275">
        <v>269</v>
      </c>
      <c r="K275" t="s">
        <v>562</v>
      </c>
      <c r="L275" s="13">
        <v>45821</v>
      </c>
      <c r="M275" t="s">
        <v>76</v>
      </c>
      <c r="N275" t="s">
        <v>4185</v>
      </c>
      <c r="O275">
        <v>366.98</v>
      </c>
      <c r="P275" t="s">
        <v>565</v>
      </c>
    </row>
    <row r="276" spans="1:16" ht="15" customHeight="1" x14ac:dyDescent="0.4">
      <c r="A276" t="s">
        <v>15</v>
      </c>
      <c r="B276" t="s">
        <v>16</v>
      </c>
      <c r="C276" s="13">
        <v>45658</v>
      </c>
      <c r="D276" s="13">
        <v>46022</v>
      </c>
      <c r="E276" t="s">
        <v>17</v>
      </c>
      <c r="F276">
        <v>13</v>
      </c>
      <c r="G276" t="s">
        <v>560</v>
      </c>
      <c r="H276">
        <v>50</v>
      </c>
      <c r="I276" t="s">
        <v>561</v>
      </c>
      <c r="J276">
        <v>269</v>
      </c>
      <c r="K276" t="s">
        <v>562</v>
      </c>
      <c r="L276" s="13">
        <v>45855</v>
      </c>
      <c r="M276" t="s">
        <v>76</v>
      </c>
      <c r="N276" t="s">
        <v>4186</v>
      </c>
      <c r="O276">
        <v>321.06</v>
      </c>
      <c r="P276" t="s">
        <v>565</v>
      </c>
    </row>
    <row r="277" spans="1:16" ht="15" customHeight="1" x14ac:dyDescent="0.4">
      <c r="A277" t="s">
        <v>15</v>
      </c>
      <c r="B277" t="s">
        <v>16</v>
      </c>
      <c r="C277" s="13">
        <v>45658</v>
      </c>
      <c r="D277" s="13">
        <v>46022</v>
      </c>
      <c r="E277" t="s">
        <v>17</v>
      </c>
      <c r="F277">
        <v>13</v>
      </c>
      <c r="G277" t="s">
        <v>560</v>
      </c>
      <c r="H277">
        <v>50</v>
      </c>
      <c r="I277" t="s">
        <v>561</v>
      </c>
      <c r="J277">
        <v>269</v>
      </c>
      <c r="K277" t="s">
        <v>562</v>
      </c>
      <c r="L277" s="13">
        <v>45882</v>
      </c>
      <c r="M277" t="s">
        <v>76</v>
      </c>
      <c r="N277" t="s">
        <v>4187</v>
      </c>
      <c r="O277">
        <v>320.39999999999998</v>
      </c>
      <c r="P277" t="s">
        <v>565</v>
      </c>
    </row>
    <row r="278" spans="1:16" ht="15" customHeight="1" x14ac:dyDescent="0.4">
      <c r="A278" t="s">
        <v>15</v>
      </c>
      <c r="B278" t="s">
        <v>16</v>
      </c>
      <c r="C278" s="13">
        <v>45658</v>
      </c>
      <c r="D278" s="13">
        <v>46022</v>
      </c>
      <c r="E278" t="s">
        <v>17</v>
      </c>
      <c r="F278">
        <v>14</v>
      </c>
      <c r="G278" t="s">
        <v>560</v>
      </c>
      <c r="H278">
        <v>50</v>
      </c>
      <c r="I278" t="s">
        <v>561</v>
      </c>
      <c r="J278">
        <v>269</v>
      </c>
      <c r="K278" t="s">
        <v>562</v>
      </c>
      <c r="L278" s="13">
        <v>45672</v>
      </c>
      <c r="M278" t="s">
        <v>76</v>
      </c>
      <c r="N278" t="s">
        <v>3691</v>
      </c>
      <c r="O278">
        <v>1057.25</v>
      </c>
      <c r="P278" t="s">
        <v>565</v>
      </c>
    </row>
    <row r="279" spans="1:16" ht="15" customHeight="1" x14ac:dyDescent="0.4">
      <c r="A279" t="s">
        <v>15</v>
      </c>
      <c r="B279" t="s">
        <v>16</v>
      </c>
      <c r="C279" s="13">
        <v>45658</v>
      </c>
      <c r="D279" s="13">
        <v>46022</v>
      </c>
      <c r="E279" t="s">
        <v>17</v>
      </c>
      <c r="F279">
        <v>14</v>
      </c>
      <c r="G279" t="s">
        <v>560</v>
      </c>
      <c r="H279">
        <v>50</v>
      </c>
      <c r="I279" t="s">
        <v>561</v>
      </c>
      <c r="J279">
        <v>269</v>
      </c>
      <c r="K279" t="s">
        <v>562</v>
      </c>
      <c r="L279" s="13">
        <v>45707</v>
      </c>
      <c r="M279" t="s">
        <v>76</v>
      </c>
      <c r="N279" t="s">
        <v>3692</v>
      </c>
      <c r="O279">
        <v>775.13</v>
      </c>
      <c r="P279" t="s">
        <v>565</v>
      </c>
    </row>
    <row r="280" spans="1:16" ht="15" customHeight="1" x14ac:dyDescent="0.4">
      <c r="A280" t="s">
        <v>15</v>
      </c>
      <c r="B280" t="s">
        <v>16</v>
      </c>
      <c r="C280" s="13">
        <v>45658</v>
      </c>
      <c r="D280" s="13">
        <v>46022</v>
      </c>
      <c r="E280" t="s">
        <v>17</v>
      </c>
      <c r="F280">
        <v>14</v>
      </c>
      <c r="G280" t="s">
        <v>560</v>
      </c>
      <c r="H280">
        <v>50</v>
      </c>
      <c r="I280" t="s">
        <v>561</v>
      </c>
      <c r="J280">
        <v>269</v>
      </c>
      <c r="K280" t="s">
        <v>562</v>
      </c>
      <c r="L280" s="13">
        <v>45734</v>
      </c>
      <c r="M280" t="s">
        <v>3693</v>
      </c>
      <c r="N280" t="s">
        <v>3694</v>
      </c>
      <c r="O280">
        <v>677.1</v>
      </c>
      <c r="P280" t="s">
        <v>565</v>
      </c>
    </row>
    <row r="281" spans="1:16" ht="15" customHeight="1" x14ac:dyDescent="0.4">
      <c r="A281" t="s">
        <v>15</v>
      </c>
      <c r="B281" t="s">
        <v>16</v>
      </c>
      <c r="C281" s="13">
        <v>45658</v>
      </c>
      <c r="D281" s="13">
        <v>46022</v>
      </c>
      <c r="E281" t="s">
        <v>17</v>
      </c>
      <c r="F281">
        <v>14</v>
      </c>
      <c r="G281" t="s">
        <v>560</v>
      </c>
      <c r="H281">
        <v>50</v>
      </c>
      <c r="I281" t="s">
        <v>561</v>
      </c>
      <c r="J281">
        <v>269</v>
      </c>
      <c r="K281" t="s">
        <v>562</v>
      </c>
      <c r="L281" s="13">
        <v>45763</v>
      </c>
      <c r="M281" t="s">
        <v>4188</v>
      </c>
      <c r="N281" t="s">
        <v>4189</v>
      </c>
      <c r="O281">
        <v>611</v>
      </c>
      <c r="P281" t="s">
        <v>565</v>
      </c>
    </row>
    <row r="282" spans="1:16" ht="15" customHeight="1" x14ac:dyDescent="0.4">
      <c r="A282" t="s">
        <v>15</v>
      </c>
      <c r="B282" t="s">
        <v>16</v>
      </c>
      <c r="C282" s="13">
        <v>45658</v>
      </c>
      <c r="D282" s="13">
        <v>46022</v>
      </c>
      <c r="E282" t="s">
        <v>17</v>
      </c>
      <c r="F282">
        <v>14</v>
      </c>
      <c r="G282" t="s">
        <v>560</v>
      </c>
      <c r="H282">
        <v>50</v>
      </c>
      <c r="I282" t="s">
        <v>561</v>
      </c>
      <c r="J282">
        <v>269</v>
      </c>
      <c r="K282" t="s">
        <v>562</v>
      </c>
      <c r="L282" s="13">
        <v>45790</v>
      </c>
      <c r="M282" t="s">
        <v>76</v>
      </c>
      <c r="N282" t="s">
        <v>4190</v>
      </c>
      <c r="O282">
        <v>317.35000000000002</v>
      </c>
      <c r="P282" t="s">
        <v>565</v>
      </c>
    </row>
    <row r="283" spans="1:16" ht="15" customHeight="1" x14ac:dyDescent="0.4">
      <c r="A283" t="s">
        <v>15</v>
      </c>
      <c r="B283" t="s">
        <v>16</v>
      </c>
      <c r="C283" s="13">
        <v>45658</v>
      </c>
      <c r="D283" s="13">
        <v>46022</v>
      </c>
      <c r="E283" t="s">
        <v>17</v>
      </c>
      <c r="F283">
        <v>14</v>
      </c>
      <c r="G283" t="s">
        <v>560</v>
      </c>
      <c r="H283">
        <v>50</v>
      </c>
      <c r="I283" t="s">
        <v>561</v>
      </c>
      <c r="J283">
        <v>269</v>
      </c>
      <c r="K283" t="s">
        <v>562</v>
      </c>
      <c r="L283" s="13">
        <v>45804</v>
      </c>
      <c r="M283" t="s">
        <v>76</v>
      </c>
      <c r="N283" t="s">
        <v>4191</v>
      </c>
      <c r="O283">
        <v>420.09</v>
      </c>
      <c r="P283" t="s">
        <v>565</v>
      </c>
    </row>
    <row r="284" spans="1:16" ht="15" customHeight="1" x14ac:dyDescent="0.4">
      <c r="A284" t="s">
        <v>15</v>
      </c>
      <c r="B284" t="s">
        <v>16</v>
      </c>
      <c r="C284" s="13">
        <v>45658</v>
      </c>
      <c r="D284" s="13">
        <v>46022</v>
      </c>
      <c r="E284" t="s">
        <v>17</v>
      </c>
      <c r="F284">
        <v>14</v>
      </c>
      <c r="G284" t="s">
        <v>560</v>
      </c>
      <c r="H284">
        <v>50</v>
      </c>
      <c r="I284" t="s">
        <v>561</v>
      </c>
      <c r="J284">
        <v>269</v>
      </c>
      <c r="K284" t="s">
        <v>562</v>
      </c>
      <c r="L284" s="13">
        <v>45821</v>
      </c>
      <c r="M284" t="s">
        <v>76</v>
      </c>
      <c r="N284" t="s">
        <v>4192</v>
      </c>
      <c r="O284">
        <v>227.49</v>
      </c>
      <c r="P284" t="s">
        <v>565</v>
      </c>
    </row>
    <row r="285" spans="1:16" ht="15" customHeight="1" x14ac:dyDescent="0.4">
      <c r="A285" t="s">
        <v>15</v>
      </c>
      <c r="B285" t="s">
        <v>16</v>
      </c>
      <c r="C285" s="13">
        <v>45658</v>
      </c>
      <c r="D285" s="13">
        <v>46022</v>
      </c>
      <c r="E285" t="s">
        <v>17</v>
      </c>
      <c r="F285">
        <v>14</v>
      </c>
      <c r="G285" t="s">
        <v>560</v>
      </c>
      <c r="H285">
        <v>50</v>
      </c>
      <c r="I285" t="s">
        <v>561</v>
      </c>
      <c r="J285">
        <v>269</v>
      </c>
      <c r="K285" t="s">
        <v>562</v>
      </c>
      <c r="L285" s="13">
        <v>45855</v>
      </c>
      <c r="M285" t="s">
        <v>76</v>
      </c>
      <c r="N285" t="s">
        <v>4193</v>
      </c>
      <c r="O285">
        <v>252.73</v>
      </c>
      <c r="P285" t="s">
        <v>565</v>
      </c>
    </row>
    <row r="286" spans="1:16" ht="15" customHeight="1" x14ac:dyDescent="0.4">
      <c r="A286" t="s">
        <v>15</v>
      </c>
      <c r="B286" t="s">
        <v>16</v>
      </c>
      <c r="C286" s="13">
        <v>45658</v>
      </c>
      <c r="D286" s="13">
        <v>46022</v>
      </c>
      <c r="E286" t="s">
        <v>17</v>
      </c>
      <c r="F286">
        <v>14</v>
      </c>
      <c r="G286" t="s">
        <v>560</v>
      </c>
      <c r="H286">
        <v>50</v>
      </c>
      <c r="I286" t="s">
        <v>561</v>
      </c>
      <c r="J286">
        <v>269</v>
      </c>
      <c r="K286" t="s">
        <v>562</v>
      </c>
      <c r="L286" s="13">
        <v>45882</v>
      </c>
      <c r="M286" t="s">
        <v>76</v>
      </c>
      <c r="N286" t="s">
        <v>4194</v>
      </c>
      <c r="O286">
        <v>277.2</v>
      </c>
      <c r="P286" t="s">
        <v>565</v>
      </c>
    </row>
    <row r="287" spans="1:16" ht="15" customHeight="1" x14ac:dyDescent="0.4">
      <c r="A287" t="s">
        <v>15</v>
      </c>
      <c r="B287" t="s">
        <v>16</v>
      </c>
      <c r="C287" s="13">
        <v>45658</v>
      </c>
      <c r="D287" s="13">
        <v>46022</v>
      </c>
      <c r="E287" t="s">
        <v>17</v>
      </c>
      <c r="F287">
        <v>15</v>
      </c>
      <c r="G287" t="s">
        <v>560</v>
      </c>
      <c r="H287">
        <v>50</v>
      </c>
      <c r="I287" t="s">
        <v>561</v>
      </c>
      <c r="J287">
        <v>269</v>
      </c>
      <c r="K287" t="s">
        <v>562</v>
      </c>
      <c r="L287" s="13">
        <v>45672</v>
      </c>
      <c r="M287" t="s">
        <v>76</v>
      </c>
      <c r="N287" t="s">
        <v>3691</v>
      </c>
      <c r="O287">
        <v>1057.26</v>
      </c>
      <c r="P287" t="s">
        <v>565</v>
      </c>
    </row>
    <row r="288" spans="1:16" ht="15" customHeight="1" x14ac:dyDescent="0.4">
      <c r="A288" t="s">
        <v>15</v>
      </c>
      <c r="B288" t="s">
        <v>16</v>
      </c>
      <c r="C288" s="13">
        <v>45658</v>
      </c>
      <c r="D288" s="13">
        <v>46022</v>
      </c>
      <c r="E288" t="s">
        <v>17</v>
      </c>
      <c r="F288">
        <v>15</v>
      </c>
      <c r="G288" t="s">
        <v>560</v>
      </c>
      <c r="H288">
        <v>50</v>
      </c>
      <c r="I288" t="s">
        <v>561</v>
      </c>
      <c r="J288">
        <v>269</v>
      </c>
      <c r="K288" t="s">
        <v>562</v>
      </c>
      <c r="L288" s="13">
        <v>45707</v>
      </c>
      <c r="M288" t="s">
        <v>76</v>
      </c>
      <c r="N288" t="s">
        <v>3692</v>
      </c>
      <c r="O288">
        <v>775.14</v>
      </c>
      <c r="P288" t="s">
        <v>565</v>
      </c>
    </row>
    <row r="289" spans="1:16" ht="15" customHeight="1" x14ac:dyDescent="0.4">
      <c r="A289" t="s">
        <v>15</v>
      </c>
      <c r="B289" t="s">
        <v>16</v>
      </c>
      <c r="C289" s="13">
        <v>45658</v>
      </c>
      <c r="D289" s="13">
        <v>46022</v>
      </c>
      <c r="E289" t="s">
        <v>17</v>
      </c>
      <c r="F289">
        <v>15</v>
      </c>
      <c r="G289" t="s">
        <v>560</v>
      </c>
      <c r="H289">
        <v>50</v>
      </c>
      <c r="I289" t="s">
        <v>561</v>
      </c>
      <c r="J289">
        <v>269</v>
      </c>
      <c r="K289" t="s">
        <v>562</v>
      </c>
      <c r="L289" s="13">
        <v>45734</v>
      </c>
      <c r="M289" t="s">
        <v>3693</v>
      </c>
      <c r="N289" t="s">
        <v>3694</v>
      </c>
      <c r="O289">
        <v>677.1</v>
      </c>
      <c r="P289" t="s">
        <v>565</v>
      </c>
    </row>
    <row r="290" spans="1:16" ht="15" customHeight="1" x14ac:dyDescent="0.4">
      <c r="A290" t="s">
        <v>15</v>
      </c>
      <c r="B290" t="s">
        <v>16</v>
      </c>
      <c r="C290" s="13">
        <v>45658</v>
      </c>
      <c r="D290" s="13">
        <v>46022</v>
      </c>
      <c r="E290" t="s">
        <v>17</v>
      </c>
      <c r="F290">
        <v>15</v>
      </c>
      <c r="G290" t="s">
        <v>560</v>
      </c>
      <c r="H290">
        <v>50</v>
      </c>
      <c r="I290" t="s">
        <v>561</v>
      </c>
      <c r="J290">
        <v>269</v>
      </c>
      <c r="K290" t="s">
        <v>562</v>
      </c>
      <c r="L290" s="13">
        <v>45763</v>
      </c>
      <c r="M290" t="s">
        <v>4188</v>
      </c>
      <c r="N290" t="s">
        <v>4189</v>
      </c>
      <c r="O290">
        <v>611.01</v>
      </c>
      <c r="P290" t="s">
        <v>565</v>
      </c>
    </row>
    <row r="291" spans="1:16" ht="15" customHeight="1" x14ac:dyDescent="0.4">
      <c r="A291" t="s">
        <v>15</v>
      </c>
      <c r="B291" t="s">
        <v>16</v>
      </c>
      <c r="C291" s="13">
        <v>45658</v>
      </c>
      <c r="D291" s="13">
        <v>46022</v>
      </c>
      <c r="E291" t="s">
        <v>17</v>
      </c>
      <c r="F291">
        <v>15</v>
      </c>
      <c r="G291" t="s">
        <v>560</v>
      </c>
      <c r="H291">
        <v>50</v>
      </c>
      <c r="I291" t="s">
        <v>561</v>
      </c>
      <c r="J291">
        <v>269</v>
      </c>
      <c r="K291" t="s">
        <v>562</v>
      </c>
      <c r="L291" s="13">
        <v>45790</v>
      </c>
      <c r="M291" t="s">
        <v>76</v>
      </c>
      <c r="N291" t="s">
        <v>4190</v>
      </c>
      <c r="O291">
        <v>317.35000000000002</v>
      </c>
      <c r="P291" t="s">
        <v>565</v>
      </c>
    </row>
    <row r="292" spans="1:16" ht="15" customHeight="1" x14ac:dyDescent="0.4">
      <c r="A292" t="s">
        <v>15</v>
      </c>
      <c r="B292" t="s">
        <v>16</v>
      </c>
      <c r="C292" s="13">
        <v>45658</v>
      </c>
      <c r="D292" s="13">
        <v>46022</v>
      </c>
      <c r="E292" t="s">
        <v>17</v>
      </c>
      <c r="F292">
        <v>15</v>
      </c>
      <c r="G292" t="s">
        <v>560</v>
      </c>
      <c r="H292">
        <v>50</v>
      </c>
      <c r="I292" t="s">
        <v>561</v>
      </c>
      <c r="J292">
        <v>269</v>
      </c>
      <c r="K292" t="s">
        <v>562</v>
      </c>
      <c r="L292" s="13">
        <v>45804</v>
      </c>
      <c r="M292" t="s">
        <v>76</v>
      </c>
      <c r="N292" t="s">
        <v>4191</v>
      </c>
      <c r="O292">
        <v>420.09</v>
      </c>
      <c r="P292" t="s">
        <v>565</v>
      </c>
    </row>
    <row r="293" spans="1:16" ht="15" customHeight="1" x14ac:dyDescent="0.4">
      <c r="A293" t="s">
        <v>15</v>
      </c>
      <c r="B293" t="s">
        <v>16</v>
      </c>
      <c r="C293" s="13">
        <v>45658</v>
      </c>
      <c r="D293" s="13">
        <v>46022</v>
      </c>
      <c r="E293" t="s">
        <v>17</v>
      </c>
      <c r="F293">
        <v>15</v>
      </c>
      <c r="G293" t="s">
        <v>560</v>
      </c>
      <c r="H293">
        <v>50</v>
      </c>
      <c r="I293" t="s">
        <v>561</v>
      </c>
      <c r="J293">
        <v>269</v>
      </c>
      <c r="K293" t="s">
        <v>562</v>
      </c>
      <c r="L293" s="13">
        <v>45821</v>
      </c>
      <c r="M293" t="s">
        <v>76</v>
      </c>
      <c r="N293" t="s">
        <v>4192</v>
      </c>
      <c r="O293">
        <v>227.49</v>
      </c>
      <c r="P293" t="s">
        <v>565</v>
      </c>
    </row>
    <row r="294" spans="1:16" ht="15" customHeight="1" x14ac:dyDescent="0.4">
      <c r="A294" t="s">
        <v>15</v>
      </c>
      <c r="B294" t="s">
        <v>16</v>
      </c>
      <c r="C294" s="13">
        <v>45658</v>
      </c>
      <c r="D294" s="13">
        <v>46022</v>
      </c>
      <c r="E294" t="s">
        <v>17</v>
      </c>
      <c r="F294">
        <v>15</v>
      </c>
      <c r="G294" t="s">
        <v>560</v>
      </c>
      <c r="H294">
        <v>50</v>
      </c>
      <c r="I294" t="s">
        <v>561</v>
      </c>
      <c r="J294">
        <v>269</v>
      </c>
      <c r="K294" t="s">
        <v>562</v>
      </c>
      <c r="L294" s="13">
        <v>45855</v>
      </c>
      <c r="M294" t="s">
        <v>76</v>
      </c>
      <c r="N294" t="s">
        <v>4193</v>
      </c>
      <c r="O294">
        <v>252.73</v>
      </c>
      <c r="P294" t="s">
        <v>565</v>
      </c>
    </row>
    <row r="295" spans="1:16" ht="15" customHeight="1" x14ac:dyDescent="0.4">
      <c r="A295" t="s">
        <v>15</v>
      </c>
      <c r="B295" t="s">
        <v>16</v>
      </c>
      <c r="C295" s="13">
        <v>45658</v>
      </c>
      <c r="D295" s="13">
        <v>46022</v>
      </c>
      <c r="E295" t="s">
        <v>17</v>
      </c>
      <c r="F295">
        <v>15</v>
      </c>
      <c r="G295" t="s">
        <v>560</v>
      </c>
      <c r="H295">
        <v>50</v>
      </c>
      <c r="I295" t="s">
        <v>561</v>
      </c>
      <c r="J295">
        <v>269</v>
      </c>
      <c r="K295" t="s">
        <v>562</v>
      </c>
      <c r="L295" s="13">
        <v>45882</v>
      </c>
      <c r="M295" t="s">
        <v>76</v>
      </c>
      <c r="N295" t="s">
        <v>4194</v>
      </c>
      <c r="O295">
        <v>277.2</v>
      </c>
      <c r="P295" t="s">
        <v>565</v>
      </c>
    </row>
    <row r="296" spans="1:16" ht="15" customHeight="1" x14ac:dyDescent="0.4">
      <c r="A296" t="s">
        <v>15</v>
      </c>
      <c r="B296" t="s">
        <v>16</v>
      </c>
      <c r="C296" s="13">
        <v>45658</v>
      </c>
      <c r="D296" s="13">
        <v>46022</v>
      </c>
      <c r="E296" t="s">
        <v>17</v>
      </c>
      <c r="F296">
        <v>16</v>
      </c>
      <c r="G296" t="s">
        <v>617</v>
      </c>
      <c r="H296">
        <v>6</v>
      </c>
      <c r="I296" t="s">
        <v>618</v>
      </c>
      <c r="J296">
        <v>195</v>
      </c>
      <c r="K296" t="s">
        <v>2398</v>
      </c>
      <c r="L296" s="13">
        <v>45849</v>
      </c>
      <c r="M296" t="s">
        <v>4195</v>
      </c>
      <c r="N296" t="s">
        <v>4196</v>
      </c>
      <c r="O296">
        <v>154</v>
      </c>
      <c r="P296" t="s">
        <v>3886</v>
      </c>
    </row>
    <row r="297" spans="1:16" ht="15" customHeight="1" x14ac:dyDescent="0.4">
      <c r="A297" t="s">
        <v>15</v>
      </c>
      <c r="B297" t="s">
        <v>16</v>
      </c>
      <c r="C297" s="13">
        <v>45658</v>
      </c>
      <c r="D297" s="13">
        <v>46022</v>
      </c>
      <c r="E297" t="s">
        <v>17</v>
      </c>
      <c r="F297">
        <v>16</v>
      </c>
      <c r="G297" t="s">
        <v>617</v>
      </c>
      <c r="H297">
        <v>6</v>
      </c>
      <c r="I297" t="s">
        <v>618</v>
      </c>
      <c r="J297">
        <v>205</v>
      </c>
      <c r="K297" t="s">
        <v>344</v>
      </c>
      <c r="L297" s="13">
        <v>45797</v>
      </c>
      <c r="M297" t="s">
        <v>4125</v>
      </c>
      <c r="N297" t="s">
        <v>4197</v>
      </c>
      <c r="O297">
        <v>1122</v>
      </c>
      <c r="P297" t="s">
        <v>347</v>
      </c>
    </row>
    <row r="298" spans="1:16" ht="15" customHeight="1" x14ac:dyDescent="0.4">
      <c r="A298" t="s">
        <v>15</v>
      </c>
      <c r="B298" t="s">
        <v>16</v>
      </c>
      <c r="C298" s="13">
        <v>45658</v>
      </c>
      <c r="D298" s="13">
        <v>46022</v>
      </c>
      <c r="E298" t="s">
        <v>17</v>
      </c>
      <c r="F298">
        <v>16</v>
      </c>
      <c r="G298" t="s">
        <v>617</v>
      </c>
      <c r="H298">
        <v>6</v>
      </c>
      <c r="I298" t="s">
        <v>618</v>
      </c>
      <c r="J298">
        <v>269</v>
      </c>
      <c r="K298" t="s">
        <v>3695</v>
      </c>
      <c r="L298" s="13">
        <v>45680</v>
      </c>
      <c r="M298" t="s">
        <v>3657</v>
      </c>
      <c r="N298" t="s">
        <v>3658</v>
      </c>
      <c r="O298">
        <v>28.25</v>
      </c>
      <c r="P298" t="s">
        <v>52</v>
      </c>
    </row>
    <row r="299" spans="1:16" ht="15" customHeight="1" x14ac:dyDescent="0.4">
      <c r="A299" t="s">
        <v>15</v>
      </c>
      <c r="B299" t="s">
        <v>16</v>
      </c>
      <c r="C299" s="13">
        <v>45658</v>
      </c>
      <c r="D299" s="13">
        <v>46022</v>
      </c>
      <c r="E299" t="s">
        <v>17</v>
      </c>
      <c r="F299">
        <v>16</v>
      </c>
      <c r="G299" t="s">
        <v>617</v>
      </c>
      <c r="H299">
        <v>6</v>
      </c>
      <c r="I299" t="s">
        <v>618</v>
      </c>
      <c r="J299">
        <v>269</v>
      </c>
      <c r="K299" t="s">
        <v>3695</v>
      </c>
      <c r="L299" s="13">
        <v>45713</v>
      </c>
      <c r="M299" t="s">
        <v>76</v>
      </c>
      <c r="N299" t="s">
        <v>3659</v>
      </c>
      <c r="O299">
        <v>17.16</v>
      </c>
      <c r="P299" t="s">
        <v>52</v>
      </c>
    </row>
    <row r="300" spans="1:16" ht="15" customHeight="1" x14ac:dyDescent="0.4">
      <c r="A300" t="s">
        <v>15</v>
      </c>
      <c r="B300" t="s">
        <v>16</v>
      </c>
      <c r="C300" s="13">
        <v>45658</v>
      </c>
      <c r="D300" s="13">
        <v>46022</v>
      </c>
      <c r="E300" t="s">
        <v>17</v>
      </c>
      <c r="F300">
        <v>16</v>
      </c>
      <c r="G300" t="s">
        <v>617</v>
      </c>
      <c r="H300">
        <v>6</v>
      </c>
      <c r="I300" t="s">
        <v>618</v>
      </c>
      <c r="J300">
        <v>269</v>
      </c>
      <c r="K300" t="s">
        <v>3695</v>
      </c>
      <c r="L300" s="13">
        <v>45742</v>
      </c>
      <c r="M300" t="s">
        <v>4139</v>
      </c>
      <c r="N300" t="s">
        <v>4140</v>
      </c>
      <c r="O300">
        <v>14.07</v>
      </c>
      <c r="P300" t="s">
        <v>52</v>
      </c>
    </row>
    <row r="301" spans="1:16" ht="15" customHeight="1" x14ac:dyDescent="0.4">
      <c r="A301" t="s">
        <v>15</v>
      </c>
      <c r="B301" t="s">
        <v>16</v>
      </c>
      <c r="C301" s="13">
        <v>45658</v>
      </c>
      <c r="D301" s="13">
        <v>46022</v>
      </c>
      <c r="E301" t="s">
        <v>17</v>
      </c>
      <c r="F301">
        <v>16</v>
      </c>
      <c r="G301" t="s">
        <v>617</v>
      </c>
      <c r="H301">
        <v>6</v>
      </c>
      <c r="I301" t="s">
        <v>618</v>
      </c>
      <c r="J301">
        <v>269</v>
      </c>
      <c r="K301" t="s">
        <v>3695</v>
      </c>
      <c r="L301" s="13">
        <v>45769</v>
      </c>
      <c r="M301" t="s">
        <v>4141</v>
      </c>
      <c r="N301" t="s">
        <v>4142</v>
      </c>
      <c r="O301">
        <v>15.73</v>
      </c>
      <c r="P301" t="s">
        <v>52</v>
      </c>
    </row>
    <row r="302" spans="1:16" ht="15" customHeight="1" x14ac:dyDescent="0.4">
      <c r="A302" t="s">
        <v>15</v>
      </c>
      <c r="B302" t="s">
        <v>16</v>
      </c>
      <c r="C302" s="13">
        <v>45658</v>
      </c>
      <c r="D302" s="13">
        <v>46022</v>
      </c>
      <c r="E302" t="s">
        <v>17</v>
      </c>
      <c r="F302">
        <v>16</v>
      </c>
      <c r="G302" t="s">
        <v>617</v>
      </c>
      <c r="H302">
        <v>6</v>
      </c>
      <c r="I302" t="s">
        <v>618</v>
      </c>
      <c r="J302">
        <v>269</v>
      </c>
      <c r="K302" t="s">
        <v>3695</v>
      </c>
      <c r="L302" s="13">
        <v>45800</v>
      </c>
      <c r="M302" t="s">
        <v>4143</v>
      </c>
      <c r="N302" t="s">
        <v>4144</v>
      </c>
      <c r="O302">
        <v>15.57</v>
      </c>
      <c r="P302" t="s">
        <v>52</v>
      </c>
    </row>
    <row r="303" spans="1:16" ht="15" customHeight="1" x14ac:dyDescent="0.4">
      <c r="A303" t="s">
        <v>15</v>
      </c>
      <c r="B303" t="s">
        <v>16</v>
      </c>
      <c r="C303" s="13">
        <v>45658</v>
      </c>
      <c r="D303" s="13">
        <v>46022</v>
      </c>
      <c r="E303" t="s">
        <v>17</v>
      </c>
      <c r="F303">
        <v>16</v>
      </c>
      <c r="G303" t="s">
        <v>617</v>
      </c>
      <c r="H303">
        <v>6</v>
      </c>
      <c r="I303" t="s">
        <v>618</v>
      </c>
      <c r="J303">
        <v>269</v>
      </c>
      <c r="K303" t="s">
        <v>3695</v>
      </c>
      <c r="L303" s="13">
        <v>45832</v>
      </c>
      <c r="M303" t="s">
        <v>76</v>
      </c>
      <c r="N303" t="s">
        <v>4145</v>
      </c>
      <c r="O303">
        <v>12.87</v>
      </c>
      <c r="P303" t="s">
        <v>52</v>
      </c>
    </row>
    <row r="304" spans="1:16" ht="15" customHeight="1" x14ac:dyDescent="0.4">
      <c r="A304" t="s">
        <v>15</v>
      </c>
      <c r="B304" t="s">
        <v>16</v>
      </c>
      <c r="C304" s="13">
        <v>45658</v>
      </c>
      <c r="D304" s="13">
        <v>46022</v>
      </c>
      <c r="E304" t="s">
        <v>17</v>
      </c>
      <c r="F304">
        <v>16</v>
      </c>
      <c r="G304" t="s">
        <v>617</v>
      </c>
      <c r="H304">
        <v>6</v>
      </c>
      <c r="I304" t="s">
        <v>618</v>
      </c>
      <c r="J304">
        <v>269</v>
      </c>
      <c r="K304" t="s">
        <v>3695</v>
      </c>
      <c r="L304" s="13">
        <v>45861</v>
      </c>
      <c r="M304" t="s">
        <v>76</v>
      </c>
      <c r="N304" t="s">
        <v>4146</v>
      </c>
      <c r="O304">
        <v>16.16</v>
      </c>
      <c r="P304" t="s">
        <v>52</v>
      </c>
    </row>
    <row r="305" spans="1:16" ht="15" customHeight="1" x14ac:dyDescent="0.4">
      <c r="A305" t="s">
        <v>15</v>
      </c>
      <c r="B305" t="s">
        <v>16</v>
      </c>
      <c r="C305" s="13">
        <v>45658</v>
      </c>
      <c r="D305" s="13">
        <v>46022</v>
      </c>
      <c r="E305" t="s">
        <v>17</v>
      </c>
      <c r="F305">
        <v>16</v>
      </c>
      <c r="G305" t="s">
        <v>617</v>
      </c>
      <c r="H305">
        <v>6</v>
      </c>
      <c r="I305" t="s">
        <v>618</v>
      </c>
      <c r="J305">
        <v>269</v>
      </c>
      <c r="K305" t="s">
        <v>3695</v>
      </c>
      <c r="L305" s="13">
        <v>45891</v>
      </c>
      <c r="M305" t="s">
        <v>76</v>
      </c>
      <c r="N305" t="s">
        <v>4147</v>
      </c>
      <c r="O305">
        <v>17.34</v>
      </c>
      <c r="P305" t="s">
        <v>52</v>
      </c>
    </row>
    <row r="306" spans="1:16" ht="15" customHeight="1" x14ac:dyDescent="0.4">
      <c r="A306" t="s">
        <v>15</v>
      </c>
      <c r="B306" t="s">
        <v>16</v>
      </c>
      <c r="C306" s="13">
        <v>45658</v>
      </c>
      <c r="D306" s="13">
        <v>46022</v>
      </c>
      <c r="E306" t="s">
        <v>30</v>
      </c>
      <c r="F306">
        <v>17</v>
      </c>
      <c r="G306" t="s">
        <v>619</v>
      </c>
      <c r="H306">
        <v>6</v>
      </c>
      <c r="I306" t="s">
        <v>620</v>
      </c>
      <c r="J306">
        <v>116</v>
      </c>
      <c r="K306" t="s">
        <v>469</v>
      </c>
      <c r="L306" s="13">
        <v>45853</v>
      </c>
      <c r="M306" t="s">
        <v>4198</v>
      </c>
      <c r="N306" t="s">
        <v>4199</v>
      </c>
      <c r="O306">
        <v>258.91000000000003</v>
      </c>
      <c r="P306" t="s">
        <v>965</v>
      </c>
    </row>
    <row r="307" spans="1:16" ht="15" customHeight="1" x14ac:dyDescent="0.4">
      <c r="A307" t="s">
        <v>15</v>
      </c>
      <c r="B307" t="s">
        <v>16</v>
      </c>
      <c r="C307" s="13">
        <v>45658</v>
      </c>
      <c r="D307" s="13">
        <v>46022</v>
      </c>
      <c r="E307" t="s">
        <v>17</v>
      </c>
      <c r="F307">
        <v>17</v>
      </c>
      <c r="G307" t="s">
        <v>619</v>
      </c>
      <c r="H307">
        <v>6</v>
      </c>
      <c r="I307" t="s">
        <v>620</v>
      </c>
      <c r="J307">
        <v>269</v>
      </c>
      <c r="K307" t="s">
        <v>3695</v>
      </c>
      <c r="L307" s="13">
        <v>45680</v>
      </c>
      <c r="M307" t="s">
        <v>3657</v>
      </c>
      <c r="N307" t="s">
        <v>3658</v>
      </c>
      <c r="O307">
        <v>28.25</v>
      </c>
      <c r="P307" t="s">
        <v>52</v>
      </c>
    </row>
    <row r="308" spans="1:16" ht="15" customHeight="1" x14ac:dyDescent="0.4">
      <c r="A308" t="s">
        <v>15</v>
      </c>
      <c r="B308" t="s">
        <v>16</v>
      </c>
      <c r="C308" s="13">
        <v>45658</v>
      </c>
      <c r="D308" s="13">
        <v>46022</v>
      </c>
      <c r="E308" t="s">
        <v>17</v>
      </c>
      <c r="F308">
        <v>17</v>
      </c>
      <c r="G308" t="s">
        <v>619</v>
      </c>
      <c r="H308">
        <v>6</v>
      </c>
      <c r="I308" t="s">
        <v>620</v>
      </c>
      <c r="J308">
        <v>269</v>
      </c>
      <c r="K308" t="s">
        <v>3695</v>
      </c>
      <c r="L308" s="13">
        <v>45713</v>
      </c>
      <c r="M308" t="s">
        <v>76</v>
      </c>
      <c r="N308" t="s">
        <v>3659</v>
      </c>
      <c r="O308">
        <v>17.16</v>
      </c>
      <c r="P308" t="s">
        <v>52</v>
      </c>
    </row>
    <row r="309" spans="1:16" ht="15" customHeight="1" x14ac:dyDescent="0.4">
      <c r="A309" t="s">
        <v>15</v>
      </c>
      <c r="B309" t="s">
        <v>16</v>
      </c>
      <c r="C309" s="13">
        <v>45658</v>
      </c>
      <c r="D309" s="13">
        <v>46022</v>
      </c>
      <c r="E309" t="s">
        <v>17</v>
      </c>
      <c r="F309">
        <v>17</v>
      </c>
      <c r="G309" t="s">
        <v>619</v>
      </c>
      <c r="H309">
        <v>6</v>
      </c>
      <c r="I309" t="s">
        <v>620</v>
      </c>
      <c r="J309">
        <v>269</v>
      </c>
      <c r="K309" t="s">
        <v>3695</v>
      </c>
      <c r="L309" s="13">
        <v>45742</v>
      </c>
      <c r="M309" t="s">
        <v>4139</v>
      </c>
      <c r="N309" t="s">
        <v>4140</v>
      </c>
      <c r="O309">
        <v>14.07</v>
      </c>
      <c r="P309" t="s">
        <v>52</v>
      </c>
    </row>
    <row r="310" spans="1:16" ht="15" customHeight="1" x14ac:dyDescent="0.4">
      <c r="A310" t="s">
        <v>15</v>
      </c>
      <c r="B310" t="s">
        <v>16</v>
      </c>
      <c r="C310" s="13">
        <v>45658</v>
      </c>
      <c r="D310" s="13">
        <v>46022</v>
      </c>
      <c r="E310" t="s">
        <v>17</v>
      </c>
      <c r="F310">
        <v>17</v>
      </c>
      <c r="G310" t="s">
        <v>619</v>
      </c>
      <c r="H310">
        <v>6</v>
      </c>
      <c r="I310" t="s">
        <v>620</v>
      </c>
      <c r="J310">
        <v>269</v>
      </c>
      <c r="K310" t="s">
        <v>3695</v>
      </c>
      <c r="L310" s="13">
        <v>45769</v>
      </c>
      <c r="M310" t="s">
        <v>4141</v>
      </c>
      <c r="N310" t="s">
        <v>4142</v>
      </c>
      <c r="O310">
        <v>15.73</v>
      </c>
      <c r="P310" t="s">
        <v>52</v>
      </c>
    </row>
    <row r="311" spans="1:16" ht="15" customHeight="1" x14ac:dyDescent="0.4">
      <c r="A311" t="s">
        <v>15</v>
      </c>
      <c r="B311" t="s">
        <v>16</v>
      </c>
      <c r="C311" s="13">
        <v>45658</v>
      </c>
      <c r="D311" s="13">
        <v>46022</v>
      </c>
      <c r="E311" t="s">
        <v>17</v>
      </c>
      <c r="F311">
        <v>17</v>
      </c>
      <c r="G311" t="s">
        <v>619</v>
      </c>
      <c r="H311">
        <v>6</v>
      </c>
      <c r="I311" t="s">
        <v>620</v>
      </c>
      <c r="J311">
        <v>269</v>
      </c>
      <c r="K311" t="s">
        <v>3695</v>
      </c>
      <c r="L311" s="13">
        <v>45800</v>
      </c>
      <c r="M311" t="s">
        <v>4143</v>
      </c>
      <c r="N311" t="s">
        <v>4144</v>
      </c>
      <c r="O311">
        <v>15.57</v>
      </c>
      <c r="P311" t="s">
        <v>52</v>
      </c>
    </row>
    <row r="312" spans="1:16" ht="15" customHeight="1" x14ac:dyDescent="0.4">
      <c r="A312" t="s">
        <v>15</v>
      </c>
      <c r="B312" t="s">
        <v>16</v>
      </c>
      <c r="C312" s="13">
        <v>45658</v>
      </c>
      <c r="D312" s="13">
        <v>46022</v>
      </c>
      <c r="E312" t="s">
        <v>17</v>
      </c>
      <c r="F312">
        <v>17</v>
      </c>
      <c r="G312" t="s">
        <v>619</v>
      </c>
      <c r="H312">
        <v>6</v>
      </c>
      <c r="I312" t="s">
        <v>620</v>
      </c>
      <c r="J312">
        <v>269</v>
      </c>
      <c r="K312" t="s">
        <v>3695</v>
      </c>
      <c r="L312" s="13">
        <v>45832</v>
      </c>
      <c r="M312" t="s">
        <v>76</v>
      </c>
      <c r="N312" t="s">
        <v>4145</v>
      </c>
      <c r="O312">
        <v>12.87</v>
      </c>
      <c r="P312" t="s">
        <v>52</v>
      </c>
    </row>
    <row r="313" spans="1:16" ht="15" customHeight="1" x14ac:dyDescent="0.4">
      <c r="A313" t="s">
        <v>15</v>
      </c>
      <c r="B313" t="s">
        <v>16</v>
      </c>
      <c r="C313" s="13">
        <v>45658</v>
      </c>
      <c r="D313" s="13">
        <v>46022</v>
      </c>
      <c r="E313" t="s">
        <v>17</v>
      </c>
      <c r="F313">
        <v>17</v>
      </c>
      <c r="G313" t="s">
        <v>619</v>
      </c>
      <c r="H313">
        <v>6</v>
      </c>
      <c r="I313" t="s">
        <v>620</v>
      </c>
      <c r="J313">
        <v>269</v>
      </c>
      <c r="K313" t="s">
        <v>3695</v>
      </c>
      <c r="L313" s="13">
        <v>45861</v>
      </c>
      <c r="M313" t="s">
        <v>76</v>
      </c>
      <c r="N313" t="s">
        <v>4146</v>
      </c>
      <c r="O313">
        <v>16.16</v>
      </c>
      <c r="P313" t="s">
        <v>52</v>
      </c>
    </row>
    <row r="314" spans="1:16" ht="15" customHeight="1" x14ac:dyDescent="0.4">
      <c r="A314" t="s">
        <v>15</v>
      </c>
      <c r="B314" t="s">
        <v>16</v>
      </c>
      <c r="C314" s="13">
        <v>45658</v>
      </c>
      <c r="D314" s="13">
        <v>46022</v>
      </c>
      <c r="E314" t="s">
        <v>17</v>
      </c>
      <c r="F314">
        <v>17</v>
      </c>
      <c r="G314" t="s">
        <v>619</v>
      </c>
      <c r="H314">
        <v>6</v>
      </c>
      <c r="I314" t="s">
        <v>620</v>
      </c>
      <c r="J314">
        <v>269</v>
      </c>
      <c r="K314" t="s">
        <v>3695</v>
      </c>
      <c r="L314" s="13">
        <v>45891</v>
      </c>
      <c r="M314" t="s">
        <v>76</v>
      </c>
      <c r="N314" t="s">
        <v>4147</v>
      </c>
      <c r="O314">
        <v>17.34</v>
      </c>
      <c r="P314" t="s">
        <v>52</v>
      </c>
    </row>
    <row r="315" spans="1:16" ht="15" customHeight="1" x14ac:dyDescent="0.4">
      <c r="A315" t="s">
        <v>15</v>
      </c>
      <c r="B315" t="s">
        <v>16</v>
      </c>
      <c r="C315" s="13">
        <v>45292</v>
      </c>
      <c r="D315" s="13">
        <v>45657</v>
      </c>
      <c r="E315" t="s">
        <v>30</v>
      </c>
      <c r="F315">
        <v>0</v>
      </c>
      <c r="G315" t="s">
        <v>18</v>
      </c>
      <c r="H315">
        <v>1</v>
      </c>
      <c r="I315" t="s">
        <v>19</v>
      </c>
      <c r="J315">
        <v>116</v>
      </c>
      <c r="K315" t="s">
        <v>469</v>
      </c>
      <c r="L315" s="13">
        <v>45292</v>
      </c>
      <c r="M315" t="s">
        <v>3696</v>
      </c>
      <c r="N315" t="s">
        <v>3697</v>
      </c>
      <c r="O315">
        <v>166.1</v>
      </c>
      <c r="P315" t="s">
        <v>498</v>
      </c>
    </row>
    <row r="316" spans="1:16" ht="15" customHeight="1" x14ac:dyDescent="0.4">
      <c r="A316" t="s">
        <v>15</v>
      </c>
      <c r="B316" t="s">
        <v>16</v>
      </c>
      <c r="C316" s="13">
        <v>45292</v>
      </c>
      <c r="D316" s="13">
        <v>45657</v>
      </c>
      <c r="E316" t="s">
        <v>30</v>
      </c>
      <c r="F316">
        <v>0</v>
      </c>
      <c r="G316" t="s">
        <v>18</v>
      </c>
      <c r="H316">
        <v>1</v>
      </c>
      <c r="I316" t="s">
        <v>19</v>
      </c>
      <c r="J316">
        <v>116</v>
      </c>
      <c r="K316" t="s">
        <v>469</v>
      </c>
      <c r="L316" s="13">
        <v>45495</v>
      </c>
      <c r="M316" t="s">
        <v>3698</v>
      </c>
      <c r="N316" t="s">
        <v>3699</v>
      </c>
      <c r="O316">
        <v>542.96</v>
      </c>
      <c r="P316" t="s">
        <v>965</v>
      </c>
    </row>
    <row r="317" spans="1:16" ht="15" customHeight="1" x14ac:dyDescent="0.4">
      <c r="A317" t="s">
        <v>15</v>
      </c>
      <c r="B317" t="s">
        <v>16</v>
      </c>
      <c r="C317" s="13">
        <v>45292</v>
      </c>
      <c r="D317" s="13">
        <v>45657</v>
      </c>
      <c r="E317" t="s">
        <v>17</v>
      </c>
      <c r="F317">
        <v>0</v>
      </c>
      <c r="G317" t="s">
        <v>18</v>
      </c>
      <c r="H317">
        <v>1</v>
      </c>
      <c r="I317" t="s">
        <v>19</v>
      </c>
      <c r="J317">
        <v>171</v>
      </c>
      <c r="K317" t="s">
        <v>20</v>
      </c>
      <c r="L317" s="13">
        <v>45473</v>
      </c>
      <c r="M317" t="s">
        <v>3700</v>
      </c>
      <c r="N317" t="s">
        <v>3701</v>
      </c>
      <c r="O317">
        <v>1346.4</v>
      </c>
      <c r="P317" t="s">
        <v>3702</v>
      </c>
    </row>
    <row r="318" spans="1:16" ht="15" customHeight="1" x14ac:dyDescent="0.4">
      <c r="A318" t="s">
        <v>15</v>
      </c>
      <c r="B318" t="s">
        <v>16</v>
      </c>
      <c r="C318" s="13">
        <v>45292</v>
      </c>
      <c r="D318" s="13">
        <v>45657</v>
      </c>
      <c r="E318" t="s">
        <v>30</v>
      </c>
      <c r="F318">
        <v>0</v>
      </c>
      <c r="G318" t="s">
        <v>18</v>
      </c>
      <c r="H318">
        <v>1</v>
      </c>
      <c r="I318" t="s">
        <v>19</v>
      </c>
      <c r="J318">
        <v>233</v>
      </c>
      <c r="K318" t="s">
        <v>31</v>
      </c>
      <c r="L318" s="13">
        <v>45415</v>
      </c>
      <c r="M318" t="s">
        <v>3331</v>
      </c>
      <c r="N318" t="s">
        <v>33</v>
      </c>
      <c r="O318">
        <v>118.87</v>
      </c>
      <c r="P318" t="s">
        <v>34</v>
      </c>
    </row>
    <row r="319" spans="1:16" ht="15" customHeight="1" x14ac:dyDescent="0.4">
      <c r="A319" t="s">
        <v>15</v>
      </c>
      <c r="B319" t="s">
        <v>16</v>
      </c>
      <c r="C319" s="13">
        <v>45292</v>
      </c>
      <c r="D319" s="13">
        <v>45657</v>
      </c>
      <c r="E319" t="s">
        <v>30</v>
      </c>
      <c r="F319">
        <v>0</v>
      </c>
      <c r="G319" t="s">
        <v>18</v>
      </c>
      <c r="H319">
        <v>1</v>
      </c>
      <c r="I319" t="s">
        <v>19</v>
      </c>
      <c r="J319">
        <v>233</v>
      </c>
      <c r="K319" t="s">
        <v>31</v>
      </c>
      <c r="L319" s="13">
        <v>45446</v>
      </c>
      <c r="M319" t="s">
        <v>35</v>
      </c>
      <c r="N319" t="s">
        <v>36</v>
      </c>
      <c r="O319">
        <v>300</v>
      </c>
      <c r="P319" t="s">
        <v>34</v>
      </c>
    </row>
    <row r="320" spans="1:16" ht="15" customHeight="1" x14ac:dyDescent="0.4">
      <c r="A320" t="s">
        <v>15</v>
      </c>
      <c r="B320" t="s">
        <v>16</v>
      </c>
      <c r="C320" s="13">
        <v>45292</v>
      </c>
      <c r="D320" s="13">
        <v>45657</v>
      </c>
      <c r="E320" t="s">
        <v>30</v>
      </c>
      <c r="F320">
        <v>0</v>
      </c>
      <c r="G320" t="s">
        <v>18</v>
      </c>
      <c r="H320">
        <v>1</v>
      </c>
      <c r="I320" t="s">
        <v>19</v>
      </c>
      <c r="J320">
        <v>233</v>
      </c>
      <c r="K320" t="s">
        <v>31</v>
      </c>
      <c r="L320" s="13">
        <v>45596</v>
      </c>
      <c r="M320" t="s">
        <v>3703</v>
      </c>
      <c r="N320" t="s">
        <v>3704</v>
      </c>
      <c r="O320">
        <v>274.64</v>
      </c>
      <c r="P320" t="s">
        <v>34</v>
      </c>
    </row>
    <row r="321" spans="1:16" ht="15" customHeight="1" x14ac:dyDescent="0.4">
      <c r="A321" t="s">
        <v>15</v>
      </c>
      <c r="B321" t="s">
        <v>16</v>
      </c>
      <c r="C321" s="13">
        <v>45292</v>
      </c>
      <c r="D321" s="13">
        <v>45657</v>
      </c>
      <c r="E321" t="s">
        <v>30</v>
      </c>
      <c r="F321">
        <v>0</v>
      </c>
      <c r="G321" t="s">
        <v>18</v>
      </c>
      <c r="H321">
        <v>1</v>
      </c>
      <c r="I321" t="s">
        <v>19</v>
      </c>
      <c r="J321">
        <v>233</v>
      </c>
      <c r="K321" t="s">
        <v>31</v>
      </c>
      <c r="L321" s="13">
        <v>45657</v>
      </c>
      <c r="M321" t="s">
        <v>3705</v>
      </c>
      <c r="N321" t="s">
        <v>1426</v>
      </c>
      <c r="O321">
        <v>258.08999999999997</v>
      </c>
      <c r="P321" t="s">
        <v>34</v>
      </c>
    </row>
    <row r="322" spans="1:16" ht="15" customHeight="1" x14ac:dyDescent="0.4">
      <c r="A322" t="s">
        <v>15</v>
      </c>
      <c r="B322" t="s">
        <v>16</v>
      </c>
      <c r="C322" s="13">
        <v>45292</v>
      </c>
      <c r="D322" s="13">
        <v>45657</v>
      </c>
      <c r="E322" t="s">
        <v>17</v>
      </c>
      <c r="F322">
        <v>0</v>
      </c>
      <c r="G322" t="s">
        <v>18</v>
      </c>
      <c r="H322">
        <v>1</v>
      </c>
      <c r="I322" t="s">
        <v>19</v>
      </c>
      <c r="J322">
        <v>242</v>
      </c>
      <c r="K322" t="s">
        <v>40</v>
      </c>
      <c r="L322" s="13">
        <v>45317</v>
      </c>
      <c r="M322" t="s">
        <v>3332</v>
      </c>
      <c r="N322" t="s">
        <v>3333</v>
      </c>
      <c r="O322">
        <v>1736.81</v>
      </c>
      <c r="P322" t="s">
        <v>43</v>
      </c>
    </row>
    <row r="323" spans="1:16" ht="15" customHeight="1" x14ac:dyDescent="0.4">
      <c r="A323" t="s">
        <v>15</v>
      </c>
      <c r="B323" t="s">
        <v>16</v>
      </c>
      <c r="C323" s="13">
        <v>45292</v>
      </c>
      <c r="D323" s="13">
        <v>45657</v>
      </c>
      <c r="E323" t="s">
        <v>17</v>
      </c>
      <c r="F323">
        <v>0</v>
      </c>
      <c r="G323" t="s">
        <v>18</v>
      </c>
      <c r="H323">
        <v>1</v>
      </c>
      <c r="I323" t="s">
        <v>19</v>
      </c>
      <c r="J323">
        <v>242</v>
      </c>
      <c r="K323" t="s">
        <v>40</v>
      </c>
      <c r="L323" s="13">
        <v>45657</v>
      </c>
      <c r="M323" t="s">
        <v>44</v>
      </c>
      <c r="N323" t="s">
        <v>45</v>
      </c>
      <c r="O323">
        <v>-376.49</v>
      </c>
      <c r="P323" t="s">
        <v>46</v>
      </c>
    </row>
    <row r="324" spans="1:16" ht="15" customHeight="1" x14ac:dyDescent="0.4">
      <c r="A324" t="s">
        <v>15</v>
      </c>
      <c r="B324" t="s">
        <v>16</v>
      </c>
      <c r="C324" s="13">
        <v>45292</v>
      </c>
      <c r="D324" s="13">
        <v>45657</v>
      </c>
      <c r="E324" t="s">
        <v>17</v>
      </c>
      <c r="F324">
        <v>0</v>
      </c>
      <c r="G324" t="s">
        <v>18</v>
      </c>
      <c r="H324">
        <v>1</v>
      </c>
      <c r="I324" t="s">
        <v>19</v>
      </c>
      <c r="J324">
        <v>242</v>
      </c>
      <c r="K324" t="s">
        <v>40</v>
      </c>
      <c r="L324" s="13">
        <v>45657</v>
      </c>
      <c r="M324" t="s">
        <v>48</v>
      </c>
      <c r="N324" t="s">
        <v>45</v>
      </c>
      <c r="O324">
        <v>-125.5</v>
      </c>
      <c r="P324" t="s">
        <v>46</v>
      </c>
    </row>
    <row r="325" spans="1:16" ht="15" customHeight="1" x14ac:dyDescent="0.4">
      <c r="A325" t="s">
        <v>15</v>
      </c>
      <c r="B325" t="s">
        <v>16</v>
      </c>
      <c r="C325" s="13">
        <v>45292</v>
      </c>
      <c r="D325" s="13">
        <v>45657</v>
      </c>
      <c r="E325" t="s">
        <v>17</v>
      </c>
      <c r="F325">
        <v>0</v>
      </c>
      <c r="G325" t="s">
        <v>18</v>
      </c>
      <c r="H325">
        <v>1</v>
      </c>
      <c r="I325" t="s">
        <v>19</v>
      </c>
      <c r="J325">
        <v>242</v>
      </c>
      <c r="K325" t="s">
        <v>40</v>
      </c>
      <c r="L325" s="13">
        <v>45657</v>
      </c>
      <c r="M325" t="s">
        <v>47</v>
      </c>
      <c r="N325" t="s">
        <v>45</v>
      </c>
      <c r="O325">
        <v>-501.98</v>
      </c>
      <c r="P325" t="s">
        <v>46</v>
      </c>
    </row>
    <row r="326" spans="1:16" ht="15" customHeight="1" x14ac:dyDescent="0.4">
      <c r="A326" t="s">
        <v>15</v>
      </c>
      <c r="B326" t="s">
        <v>16</v>
      </c>
      <c r="C326" s="13">
        <v>45292</v>
      </c>
      <c r="D326" s="13">
        <v>45657</v>
      </c>
      <c r="E326" t="s">
        <v>17</v>
      </c>
      <c r="F326">
        <v>0</v>
      </c>
      <c r="G326" t="s">
        <v>18</v>
      </c>
      <c r="H326">
        <v>1</v>
      </c>
      <c r="I326" t="s">
        <v>19</v>
      </c>
      <c r="J326">
        <v>268</v>
      </c>
      <c r="K326" t="s">
        <v>3585</v>
      </c>
      <c r="L326" s="13">
        <v>45315</v>
      </c>
      <c r="M326" t="s">
        <v>76</v>
      </c>
      <c r="N326" t="s">
        <v>2924</v>
      </c>
      <c r="O326">
        <v>6.6</v>
      </c>
      <c r="P326" t="s">
        <v>52</v>
      </c>
    </row>
    <row r="327" spans="1:16" ht="15" customHeight="1" x14ac:dyDescent="0.4">
      <c r="A327" t="s">
        <v>15</v>
      </c>
      <c r="B327" t="s">
        <v>16</v>
      </c>
      <c r="C327" s="13">
        <v>45292</v>
      </c>
      <c r="D327" s="13">
        <v>45657</v>
      </c>
      <c r="E327" t="s">
        <v>17</v>
      </c>
      <c r="F327">
        <v>0</v>
      </c>
      <c r="G327" t="s">
        <v>18</v>
      </c>
      <c r="H327">
        <v>1</v>
      </c>
      <c r="I327" t="s">
        <v>19</v>
      </c>
      <c r="J327">
        <v>268</v>
      </c>
      <c r="K327" t="s">
        <v>3585</v>
      </c>
      <c r="L327" s="13">
        <v>45343</v>
      </c>
      <c r="M327" t="s">
        <v>76</v>
      </c>
      <c r="N327" t="s">
        <v>3334</v>
      </c>
      <c r="O327">
        <v>5.3</v>
      </c>
      <c r="P327" t="s">
        <v>52</v>
      </c>
    </row>
    <row r="328" spans="1:16" ht="15" customHeight="1" x14ac:dyDescent="0.4">
      <c r="A328" t="s">
        <v>15</v>
      </c>
      <c r="B328" t="s">
        <v>16</v>
      </c>
      <c r="C328" s="13">
        <v>45292</v>
      </c>
      <c r="D328" s="13">
        <v>45657</v>
      </c>
      <c r="E328" t="s">
        <v>17</v>
      </c>
      <c r="F328">
        <v>0</v>
      </c>
      <c r="G328" t="s">
        <v>18</v>
      </c>
      <c r="H328">
        <v>1</v>
      </c>
      <c r="I328" t="s">
        <v>19</v>
      </c>
      <c r="J328">
        <v>268</v>
      </c>
      <c r="K328" t="s">
        <v>3585</v>
      </c>
      <c r="L328" s="13">
        <v>45373</v>
      </c>
      <c r="M328" t="s">
        <v>76</v>
      </c>
      <c r="N328" t="s">
        <v>3335</v>
      </c>
      <c r="O328">
        <v>6.38</v>
      </c>
      <c r="P328" t="s">
        <v>52</v>
      </c>
    </row>
    <row r="329" spans="1:16" ht="15" customHeight="1" x14ac:dyDescent="0.4">
      <c r="A329" t="s">
        <v>15</v>
      </c>
      <c r="B329" t="s">
        <v>16</v>
      </c>
      <c r="C329" s="13">
        <v>45292</v>
      </c>
      <c r="D329" s="13">
        <v>45657</v>
      </c>
      <c r="E329" t="s">
        <v>17</v>
      </c>
      <c r="F329">
        <v>0</v>
      </c>
      <c r="G329" t="s">
        <v>18</v>
      </c>
      <c r="H329">
        <v>1</v>
      </c>
      <c r="I329" t="s">
        <v>19</v>
      </c>
      <c r="J329">
        <v>268</v>
      </c>
      <c r="K329" t="s">
        <v>3585</v>
      </c>
      <c r="L329" s="13">
        <v>45404</v>
      </c>
      <c r="M329" t="s">
        <v>76</v>
      </c>
      <c r="N329" t="s">
        <v>3336</v>
      </c>
      <c r="O329">
        <v>21.6</v>
      </c>
      <c r="P329" t="s">
        <v>52</v>
      </c>
    </row>
    <row r="330" spans="1:16" ht="15" customHeight="1" x14ac:dyDescent="0.4">
      <c r="A330" t="s">
        <v>15</v>
      </c>
      <c r="B330" t="s">
        <v>16</v>
      </c>
      <c r="C330" s="13">
        <v>45292</v>
      </c>
      <c r="D330" s="13">
        <v>45657</v>
      </c>
      <c r="E330" t="s">
        <v>17</v>
      </c>
      <c r="F330">
        <v>0</v>
      </c>
      <c r="G330" t="s">
        <v>18</v>
      </c>
      <c r="H330">
        <v>1</v>
      </c>
      <c r="I330" t="s">
        <v>19</v>
      </c>
      <c r="J330">
        <v>268</v>
      </c>
      <c r="K330" t="s">
        <v>3585</v>
      </c>
      <c r="L330" s="13">
        <v>45432</v>
      </c>
      <c r="M330" t="s">
        <v>76</v>
      </c>
      <c r="N330" t="s">
        <v>3337</v>
      </c>
      <c r="O330">
        <v>20.13</v>
      </c>
      <c r="P330" t="s">
        <v>52</v>
      </c>
    </row>
    <row r="331" spans="1:16" ht="15" customHeight="1" x14ac:dyDescent="0.4">
      <c r="A331" t="s">
        <v>15</v>
      </c>
      <c r="B331" t="s">
        <v>16</v>
      </c>
      <c r="C331" s="13">
        <v>45292</v>
      </c>
      <c r="D331" s="13">
        <v>45657</v>
      </c>
      <c r="E331" t="s">
        <v>17</v>
      </c>
      <c r="F331">
        <v>0</v>
      </c>
      <c r="G331" t="s">
        <v>18</v>
      </c>
      <c r="H331">
        <v>1</v>
      </c>
      <c r="I331" t="s">
        <v>19</v>
      </c>
      <c r="J331">
        <v>268</v>
      </c>
      <c r="K331" t="s">
        <v>3585</v>
      </c>
      <c r="L331" s="13">
        <v>45478</v>
      </c>
      <c r="M331" t="s">
        <v>76</v>
      </c>
      <c r="N331" t="s">
        <v>3338</v>
      </c>
      <c r="O331">
        <v>24.37</v>
      </c>
      <c r="P331" t="s">
        <v>52</v>
      </c>
    </row>
    <row r="332" spans="1:16" ht="15" customHeight="1" x14ac:dyDescent="0.4">
      <c r="A332" t="s">
        <v>15</v>
      </c>
      <c r="B332" t="s">
        <v>16</v>
      </c>
      <c r="C332" s="13">
        <v>45292</v>
      </c>
      <c r="D332" s="13">
        <v>45657</v>
      </c>
      <c r="E332" t="s">
        <v>17</v>
      </c>
      <c r="F332">
        <v>0</v>
      </c>
      <c r="G332" t="s">
        <v>18</v>
      </c>
      <c r="H332">
        <v>1</v>
      </c>
      <c r="I332" t="s">
        <v>19</v>
      </c>
      <c r="J332">
        <v>268</v>
      </c>
      <c r="K332" t="s">
        <v>3585</v>
      </c>
      <c r="L332" s="13">
        <v>45493</v>
      </c>
      <c r="M332" t="s">
        <v>76</v>
      </c>
      <c r="N332" t="s">
        <v>3706</v>
      </c>
      <c r="O332">
        <v>25.23</v>
      </c>
      <c r="P332" t="s">
        <v>52</v>
      </c>
    </row>
    <row r="333" spans="1:16" ht="15" customHeight="1" x14ac:dyDescent="0.4">
      <c r="A333" t="s">
        <v>15</v>
      </c>
      <c r="B333" t="s">
        <v>16</v>
      </c>
      <c r="C333" s="13">
        <v>45292</v>
      </c>
      <c r="D333" s="13">
        <v>45657</v>
      </c>
      <c r="E333" t="s">
        <v>17</v>
      </c>
      <c r="F333">
        <v>0</v>
      </c>
      <c r="G333" t="s">
        <v>18</v>
      </c>
      <c r="H333">
        <v>1</v>
      </c>
      <c r="I333" t="s">
        <v>19</v>
      </c>
      <c r="J333">
        <v>268</v>
      </c>
      <c r="K333" t="s">
        <v>3585</v>
      </c>
      <c r="L333" s="13">
        <v>45532</v>
      </c>
      <c r="M333" t="s">
        <v>76</v>
      </c>
      <c r="N333" t="s">
        <v>3707</v>
      </c>
      <c r="O333">
        <v>39.159999999999997</v>
      </c>
      <c r="P333" t="s">
        <v>52</v>
      </c>
    </row>
    <row r="334" spans="1:16" ht="15" customHeight="1" x14ac:dyDescent="0.4">
      <c r="A334" t="s">
        <v>15</v>
      </c>
      <c r="B334" t="s">
        <v>16</v>
      </c>
      <c r="C334" s="13">
        <v>45292</v>
      </c>
      <c r="D334" s="13">
        <v>45657</v>
      </c>
      <c r="E334" t="s">
        <v>17</v>
      </c>
      <c r="F334">
        <v>0</v>
      </c>
      <c r="G334" t="s">
        <v>18</v>
      </c>
      <c r="H334">
        <v>1</v>
      </c>
      <c r="I334" t="s">
        <v>19</v>
      </c>
      <c r="J334">
        <v>268</v>
      </c>
      <c r="K334" t="s">
        <v>3585</v>
      </c>
      <c r="L334" s="13">
        <v>45555</v>
      </c>
      <c r="M334" t="s">
        <v>76</v>
      </c>
      <c r="N334" t="s">
        <v>3708</v>
      </c>
      <c r="O334">
        <v>35.97</v>
      </c>
      <c r="P334" t="s">
        <v>52</v>
      </c>
    </row>
    <row r="335" spans="1:16" ht="15" customHeight="1" x14ac:dyDescent="0.4">
      <c r="A335" t="s">
        <v>15</v>
      </c>
      <c r="B335" t="s">
        <v>16</v>
      </c>
      <c r="C335" s="13">
        <v>45292</v>
      </c>
      <c r="D335" s="13">
        <v>45657</v>
      </c>
      <c r="E335" t="s">
        <v>17</v>
      </c>
      <c r="F335">
        <v>0</v>
      </c>
      <c r="G335" t="s">
        <v>18</v>
      </c>
      <c r="H335">
        <v>1</v>
      </c>
      <c r="I335" t="s">
        <v>19</v>
      </c>
      <c r="J335">
        <v>268</v>
      </c>
      <c r="K335" t="s">
        <v>3585</v>
      </c>
      <c r="L335" s="13">
        <v>45585</v>
      </c>
      <c r="M335" t="s">
        <v>76</v>
      </c>
      <c r="N335" t="s">
        <v>3709</v>
      </c>
      <c r="O335">
        <v>26.54</v>
      </c>
      <c r="P335" t="s">
        <v>52</v>
      </c>
    </row>
    <row r="336" spans="1:16" ht="15" customHeight="1" x14ac:dyDescent="0.4">
      <c r="A336" t="s">
        <v>15</v>
      </c>
      <c r="B336" t="s">
        <v>16</v>
      </c>
      <c r="C336" s="13">
        <v>45292</v>
      </c>
      <c r="D336" s="13">
        <v>45657</v>
      </c>
      <c r="E336" t="s">
        <v>17</v>
      </c>
      <c r="F336">
        <v>0</v>
      </c>
      <c r="G336" t="s">
        <v>18</v>
      </c>
      <c r="H336">
        <v>1</v>
      </c>
      <c r="I336" t="s">
        <v>19</v>
      </c>
      <c r="J336">
        <v>268</v>
      </c>
      <c r="K336" t="s">
        <v>3585</v>
      </c>
      <c r="L336" s="13">
        <v>45618</v>
      </c>
      <c r="M336" t="s">
        <v>76</v>
      </c>
      <c r="N336" t="s">
        <v>3710</v>
      </c>
      <c r="O336">
        <v>20.45</v>
      </c>
      <c r="P336" t="s">
        <v>52</v>
      </c>
    </row>
    <row r="337" spans="1:16" ht="15" customHeight="1" x14ac:dyDescent="0.4">
      <c r="A337" t="s">
        <v>15</v>
      </c>
      <c r="B337" t="s">
        <v>16</v>
      </c>
      <c r="C337" s="13">
        <v>45292</v>
      </c>
      <c r="D337" s="13">
        <v>45657</v>
      </c>
      <c r="E337" t="s">
        <v>17</v>
      </c>
      <c r="F337">
        <v>0</v>
      </c>
      <c r="G337" t="s">
        <v>18</v>
      </c>
      <c r="H337">
        <v>1</v>
      </c>
      <c r="I337" t="s">
        <v>19</v>
      </c>
      <c r="J337">
        <v>268</v>
      </c>
      <c r="K337" t="s">
        <v>3585</v>
      </c>
      <c r="L337" s="13">
        <v>45647</v>
      </c>
      <c r="M337" t="s">
        <v>76</v>
      </c>
      <c r="N337" t="s">
        <v>3711</v>
      </c>
      <c r="O337">
        <v>6.46</v>
      </c>
      <c r="P337" t="s">
        <v>52</v>
      </c>
    </row>
    <row r="338" spans="1:16" ht="15" customHeight="1" x14ac:dyDescent="0.4">
      <c r="A338" t="s">
        <v>15</v>
      </c>
      <c r="B338" t="s">
        <v>16</v>
      </c>
      <c r="C338" s="13">
        <v>45292</v>
      </c>
      <c r="D338" s="13">
        <v>45657</v>
      </c>
      <c r="E338" t="s">
        <v>17</v>
      </c>
      <c r="F338">
        <v>0</v>
      </c>
      <c r="G338" t="s">
        <v>18</v>
      </c>
      <c r="H338">
        <v>1</v>
      </c>
      <c r="I338" t="s">
        <v>19</v>
      </c>
      <c r="J338">
        <v>269</v>
      </c>
      <c r="K338" t="s">
        <v>3589</v>
      </c>
      <c r="L338" s="13">
        <v>45315</v>
      </c>
      <c r="M338" t="s">
        <v>76</v>
      </c>
      <c r="N338" t="s">
        <v>2924</v>
      </c>
      <c r="O338">
        <v>49.52</v>
      </c>
      <c r="P338" t="s">
        <v>52</v>
      </c>
    </row>
    <row r="339" spans="1:16" ht="15" customHeight="1" x14ac:dyDescent="0.4">
      <c r="A339" t="s">
        <v>15</v>
      </c>
      <c r="B339" t="s">
        <v>16</v>
      </c>
      <c r="C339" s="13">
        <v>45292</v>
      </c>
      <c r="D339" s="13">
        <v>45657</v>
      </c>
      <c r="E339" t="s">
        <v>17</v>
      </c>
      <c r="F339">
        <v>0</v>
      </c>
      <c r="G339" t="s">
        <v>18</v>
      </c>
      <c r="H339">
        <v>1</v>
      </c>
      <c r="I339" t="s">
        <v>19</v>
      </c>
      <c r="J339">
        <v>269</v>
      </c>
      <c r="K339" t="s">
        <v>3589</v>
      </c>
      <c r="L339" s="13">
        <v>45343</v>
      </c>
      <c r="M339" t="s">
        <v>76</v>
      </c>
      <c r="N339" t="s">
        <v>3334</v>
      </c>
      <c r="O339">
        <v>39.729999999999997</v>
      </c>
      <c r="P339" t="s">
        <v>52</v>
      </c>
    </row>
    <row r="340" spans="1:16" ht="15" customHeight="1" x14ac:dyDescent="0.4">
      <c r="A340" t="s">
        <v>15</v>
      </c>
      <c r="B340" t="s">
        <v>16</v>
      </c>
      <c r="C340" s="13">
        <v>45292</v>
      </c>
      <c r="D340" s="13">
        <v>45657</v>
      </c>
      <c r="E340" t="s">
        <v>17</v>
      </c>
      <c r="F340">
        <v>0</v>
      </c>
      <c r="G340" t="s">
        <v>18</v>
      </c>
      <c r="H340">
        <v>1</v>
      </c>
      <c r="I340" t="s">
        <v>19</v>
      </c>
      <c r="J340">
        <v>269</v>
      </c>
      <c r="K340" t="s">
        <v>3589</v>
      </c>
      <c r="L340" s="13">
        <v>45373</v>
      </c>
      <c r="M340" t="s">
        <v>76</v>
      </c>
      <c r="N340" t="s">
        <v>3335</v>
      </c>
      <c r="O340">
        <v>47.83</v>
      </c>
      <c r="P340" t="s">
        <v>52</v>
      </c>
    </row>
    <row r="341" spans="1:16" ht="15" customHeight="1" x14ac:dyDescent="0.4">
      <c r="A341" t="s">
        <v>15</v>
      </c>
      <c r="B341" t="s">
        <v>16</v>
      </c>
      <c r="C341" s="13">
        <v>45292</v>
      </c>
      <c r="D341" s="13">
        <v>45657</v>
      </c>
      <c r="E341" t="s">
        <v>17</v>
      </c>
      <c r="F341">
        <v>0</v>
      </c>
      <c r="G341" t="s">
        <v>18</v>
      </c>
      <c r="H341">
        <v>1</v>
      </c>
      <c r="I341" t="s">
        <v>19</v>
      </c>
      <c r="J341">
        <v>269</v>
      </c>
      <c r="K341" t="s">
        <v>3589</v>
      </c>
      <c r="L341" s="13">
        <v>45404</v>
      </c>
      <c r="M341" t="s">
        <v>76</v>
      </c>
      <c r="N341" t="s">
        <v>3336</v>
      </c>
      <c r="O341">
        <v>162.04</v>
      </c>
      <c r="P341" t="s">
        <v>52</v>
      </c>
    </row>
    <row r="342" spans="1:16" ht="15" customHeight="1" x14ac:dyDescent="0.4">
      <c r="A342" t="s">
        <v>15</v>
      </c>
      <c r="B342" t="s">
        <v>16</v>
      </c>
      <c r="C342" s="13">
        <v>45292</v>
      </c>
      <c r="D342" s="13">
        <v>45657</v>
      </c>
      <c r="E342" t="s">
        <v>17</v>
      </c>
      <c r="F342">
        <v>0</v>
      </c>
      <c r="G342" t="s">
        <v>18</v>
      </c>
      <c r="H342">
        <v>1</v>
      </c>
      <c r="I342" t="s">
        <v>19</v>
      </c>
      <c r="J342">
        <v>269</v>
      </c>
      <c r="K342" t="s">
        <v>3589</v>
      </c>
      <c r="L342" s="13">
        <v>45432</v>
      </c>
      <c r="M342" t="s">
        <v>76</v>
      </c>
      <c r="N342" t="s">
        <v>3337</v>
      </c>
      <c r="O342">
        <v>150.97999999999999</v>
      </c>
      <c r="P342" t="s">
        <v>52</v>
      </c>
    </row>
    <row r="343" spans="1:16" ht="15" customHeight="1" x14ac:dyDescent="0.4">
      <c r="A343" t="s">
        <v>15</v>
      </c>
      <c r="B343" t="s">
        <v>16</v>
      </c>
      <c r="C343" s="13">
        <v>45292</v>
      </c>
      <c r="D343" s="13">
        <v>45657</v>
      </c>
      <c r="E343" t="s">
        <v>17</v>
      </c>
      <c r="F343">
        <v>0</v>
      </c>
      <c r="G343" t="s">
        <v>18</v>
      </c>
      <c r="H343">
        <v>1</v>
      </c>
      <c r="I343" t="s">
        <v>19</v>
      </c>
      <c r="J343">
        <v>269</v>
      </c>
      <c r="K343" t="s">
        <v>3589</v>
      </c>
      <c r="L343" s="13">
        <v>45478</v>
      </c>
      <c r="M343" t="s">
        <v>76</v>
      </c>
      <c r="N343" t="s">
        <v>3338</v>
      </c>
      <c r="O343">
        <v>182.79</v>
      </c>
      <c r="P343" t="s">
        <v>52</v>
      </c>
    </row>
    <row r="344" spans="1:16" ht="15" customHeight="1" x14ac:dyDescent="0.4">
      <c r="A344" t="s">
        <v>15</v>
      </c>
      <c r="B344" t="s">
        <v>16</v>
      </c>
      <c r="C344" s="13">
        <v>45292</v>
      </c>
      <c r="D344" s="13">
        <v>45657</v>
      </c>
      <c r="E344" t="s">
        <v>17</v>
      </c>
      <c r="F344">
        <v>0</v>
      </c>
      <c r="G344" t="s">
        <v>18</v>
      </c>
      <c r="H344">
        <v>1</v>
      </c>
      <c r="I344" t="s">
        <v>19</v>
      </c>
      <c r="J344">
        <v>269</v>
      </c>
      <c r="K344" t="s">
        <v>3589</v>
      </c>
      <c r="L344" s="13">
        <v>45493</v>
      </c>
      <c r="M344" t="s">
        <v>76</v>
      </c>
      <c r="N344" t="s">
        <v>3706</v>
      </c>
      <c r="O344">
        <v>189.22</v>
      </c>
      <c r="P344" t="s">
        <v>52</v>
      </c>
    </row>
    <row r="345" spans="1:16" ht="15" customHeight="1" x14ac:dyDescent="0.4">
      <c r="A345" t="s">
        <v>15</v>
      </c>
      <c r="B345" t="s">
        <v>16</v>
      </c>
      <c r="C345" s="13">
        <v>45292</v>
      </c>
      <c r="D345" s="13">
        <v>45657</v>
      </c>
      <c r="E345" t="s">
        <v>17</v>
      </c>
      <c r="F345">
        <v>0</v>
      </c>
      <c r="G345" t="s">
        <v>18</v>
      </c>
      <c r="H345">
        <v>1</v>
      </c>
      <c r="I345" t="s">
        <v>19</v>
      </c>
      <c r="J345">
        <v>269</v>
      </c>
      <c r="K345" t="s">
        <v>3589</v>
      </c>
      <c r="L345" s="13">
        <v>45532</v>
      </c>
      <c r="M345" t="s">
        <v>76</v>
      </c>
      <c r="N345" t="s">
        <v>3707</v>
      </c>
      <c r="O345">
        <v>293.67</v>
      </c>
      <c r="P345" t="s">
        <v>52</v>
      </c>
    </row>
    <row r="346" spans="1:16" ht="15" customHeight="1" x14ac:dyDescent="0.4">
      <c r="A346" t="s">
        <v>15</v>
      </c>
      <c r="B346" t="s">
        <v>16</v>
      </c>
      <c r="C346" s="13">
        <v>45292</v>
      </c>
      <c r="D346" s="13">
        <v>45657</v>
      </c>
      <c r="E346" t="s">
        <v>17</v>
      </c>
      <c r="F346">
        <v>0</v>
      </c>
      <c r="G346" t="s">
        <v>18</v>
      </c>
      <c r="H346">
        <v>1</v>
      </c>
      <c r="I346" t="s">
        <v>19</v>
      </c>
      <c r="J346">
        <v>269</v>
      </c>
      <c r="K346" t="s">
        <v>3589</v>
      </c>
      <c r="L346" s="13">
        <v>45555</v>
      </c>
      <c r="M346" t="s">
        <v>76</v>
      </c>
      <c r="N346" t="s">
        <v>3708</v>
      </c>
      <c r="O346">
        <v>269.76</v>
      </c>
      <c r="P346" t="s">
        <v>52</v>
      </c>
    </row>
    <row r="347" spans="1:16" ht="15" customHeight="1" x14ac:dyDescent="0.4">
      <c r="A347" t="s">
        <v>15</v>
      </c>
      <c r="B347" t="s">
        <v>16</v>
      </c>
      <c r="C347" s="13">
        <v>45292</v>
      </c>
      <c r="D347" s="13">
        <v>45657</v>
      </c>
      <c r="E347" t="s">
        <v>17</v>
      </c>
      <c r="F347">
        <v>0</v>
      </c>
      <c r="G347" t="s">
        <v>18</v>
      </c>
      <c r="H347">
        <v>1</v>
      </c>
      <c r="I347" t="s">
        <v>19</v>
      </c>
      <c r="J347">
        <v>269</v>
      </c>
      <c r="K347" t="s">
        <v>3589</v>
      </c>
      <c r="L347" s="13">
        <v>45585</v>
      </c>
      <c r="M347" t="s">
        <v>76</v>
      </c>
      <c r="N347" t="s">
        <v>3709</v>
      </c>
      <c r="O347">
        <v>199.08</v>
      </c>
      <c r="P347" t="s">
        <v>52</v>
      </c>
    </row>
    <row r="348" spans="1:16" ht="15" customHeight="1" x14ac:dyDescent="0.4">
      <c r="A348" t="s">
        <v>15</v>
      </c>
      <c r="B348" t="s">
        <v>16</v>
      </c>
      <c r="C348" s="13">
        <v>45292</v>
      </c>
      <c r="D348" s="13">
        <v>45657</v>
      </c>
      <c r="E348" t="s">
        <v>17</v>
      </c>
      <c r="F348">
        <v>0</v>
      </c>
      <c r="G348" t="s">
        <v>18</v>
      </c>
      <c r="H348">
        <v>1</v>
      </c>
      <c r="I348" t="s">
        <v>19</v>
      </c>
      <c r="J348">
        <v>269</v>
      </c>
      <c r="K348" t="s">
        <v>3589</v>
      </c>
      <c r="L348" s="13">
        <v>45618</v>
      </c>
      <c r="M348" t="s">
        <v>3712</v>
      </c>
      <c r="N348" t="s">
        <v>3710</v>
      </c>
      <c r="O348">
        <v>153.36000000000001</v>
      </c>
      <c r="P348" t="s">
        <v>52</v>
      </c>
    </row>
    <row r="349" spans="1:16" ht="15" customHeight="1" x14ac:dyDescent="0.4">
      <c r="A349" t="s">
        <v>15</v>
      </c>
      <c r="B349" t="s">
        <v>16</v>
      </c>
      <c r="C349" s="13">
        <v>45292</v>
      </c>
      <c r="D349" s="13">
        <v>45657</v>
      </c>
      <c r="E349" t="s">
        <v>17</v>
      </c>
      <c r="F349">
        <v>0</v>
      </c>
      <c r="G349" t="s">
        <v>18</v>
      </c>
      <c r="H349">
        <v>1</v>
      </c>
      <c r="I349" t="s">
        <v>19</v>
      </c>
      <c r="J349">
        <v>269</v>
      </c>
      <c r="K349" t="s">
        <v>3589</v>
      </c>
      <c r="L349" s="13">
        <v>45647</v>
      </c>
      <c r="M349" t="s">
        <v>76</v>
      </c>
      <c r="N349" t="s">
        <v>3711</v>
      </c>
      <c r="O349">
        <v>48.45</v>
      </c>
      <c r="P349" t="s">
        <v>52</v>
      </c>
    </row>
    <row r="350" spans="1:16" ht="15" customHeight="1" x14ac:dyDescent="0.4">
      <c r="A350" t="s">
        <v>15</v>
      </c>
      <c r="B350" t="s">
        <v>16</v>
      </c>
      <c r="C350" s="13">
        <v>45292</v>
      </c>
      <c r="D350" s="13">
        <v>45657</v>
      </c>
      <c r="E350" t="s">
        <v>17</v>
      </c>
      <c r="F350">
        <v>0</v>
      </c>
      <c r="G350" t="s">
        <v>18</v>
      </c>
      <c r="H350">
        <v>1</v>
      </c>
      <c r="I350" t="s">
        <v>19</v>
      </c>
      <c r="J350">
        <v>269</v>
      </c>
      <c r="K350" t="s">
        <v>3589</v>
      </c>
      <c r="L350" s="13">
        <v>45657</v>
      </c>
      <c r="M350" t="s">
        <v>77</v>
      </c>
      <c r="N350" t="s">
        <v>46</v>
      </c>
      <c r="O350">
        <v>-1786.43</v>
      </c>
      <c r="P350" t="s">
        <v>46</v>
      </c>
    </row>
    <row r="351" spans="1:16" ht="15" customHeight="1" x14ac:dyDescent="0.4">
      <c r="A351" t="s">
        <v>15</v>
      </c>
      <c r="B351" t="s">
        <v>16</v>
      </c>
      <c r="C351" s="13">
        <v>45292</v>
      </c>
      <c r="D351" s="13">
        <v>45657</v>
      </c>
      <c r="E351" t="s">
        <v>17</v>
      </c>
      <c r="F351">
        <v>0</v>
      </c>
      <c r="G351" t="s">
        <v>18</v>
      </c>
      <c r="H351">
        <v>1</v>
      </c>
      <c r="I351" t="s">
        <v>19</v>
      </c>
      <c r="J351">
        <v>281</v>
      </c>
      <c r="K351" t="s">
        <v>78</v>
      </c>
      <c r="L351" s="13">
        <v>45334</v>
      </c>
      <c r="M351" t="s">
        <v>3339</v>
      </c>
      <c r="N351" t="s">
        <v>3340</v>
      </c>
      <c r="O351">
        <v>7308.17</v>
      </c>
      <c r="P351" t="s">
        <v>81</v>
      </c>
    </row>
    <row r="352" spans="1:16" ht="15" customHeight="1" x14ac:dyDescent="0.4">
      <c r="A352" t="s">
        <v>15</v>
      </c>
      <c r="B352" t="s">
        <v>16</v>
      </c>
      <c r="C352" s="13">
        <v>45292</v>
      </c>
      <c r="D352" s="13">
        <v>45657</v>
      </c>
      <c r="E352" t="s">
        <v>17</v>
      </c>
      <c r="F352">
        <v>0</v>
      </c>
      <c r="G352" t="s">
        <v>18</v>
      </c>
      <c r="H352">
        <v>1</v>
      </c>
      <c r="I352" t="s">
        <v>19</v>
      </c>
      <c r="J352">
        <v>281</v>
      </c>
      <c r="K352" t="s">
        <v>78</v>
      </c>
      <c r="L352" s="13">
        <v>45527</v>
      </c>
      <c r="M352" t="s">
        <v>3713</v>
      </c>
      <c r="N352" t="s">
        <v>3714</v>
      </c>
      <c r="O352">
        <v>7621.99</v>
      </c>
      <c r="P352" t="s">
        <v>81</v>
      </c>
    </row>
    <row r="353" spans="1:16" ht="15" customHeight="1" x14ac:dyDescent="0.4">
      <c r="A353" t="s">
        <v>15</v>
      </c>
      <c r="B353" t="s">
        <v>16</v>
      </c>
      <c r="C353" s="13">
        <v>45292</v>
      </c>
      <c r="D353" s="13">
        <v>45657</v>
      </c>
      <c r="E353" t="s">
        <v>17</v>
      </c>
      <c r="F353">
        <v>0</v>
      </c>
      <c r="G353" t="s">
        <v>18</v>
      </c>
      <c r="H353">
        <v>1</v>
      </c>
      <c r="I353" t="s">
        <v>19</v>
      </c>
      <c r="J353">
        <v>281</v>
      </c>
      <c r="K353" t="s">
        <v>78</v>
      </c>
      <c r="L353" s="13">
        <v>45657</v>
      </c>
      <c r="M353" t="s">
        <v>85</v>
      </c>
      <c r="N353" t="s">
        <v>86</v>
      </c>
      <c r="O353">
        <v>-9570.25</v>
      </c>
      <c r="P353" t="s">
        <v>46</v>
      </c>
    </row>
    <row r="354" spans="1:16" ht="15" customHeight="1" x14ac:dyDescent="0.4">
      <c r="A354" t="s">
        <v>15</v>
      </c>
      <c r="B354" t="s">
        <v>16</v>
      </c>
      <c r="C354" s="13">
        <v>45292</v>
      </c>
      <c r="D354" s="13">
        <v>45657</v>
      </c>
      <c r="E354" t="s">
        <v>17</v>
      </c>
      <c r="F354">
        <v>0</v>
      </c>
      <c r="G354" t="s">
        <v>18</v>
      </c>
      <c r="H354">
        <v>1</v>
      </c>
      <c r="I354" t="s">
        <v>19</v>
      </c>
      <c r="J354">
        <v>281</v>
      </c>
      <c r="K354" t="s">
        <v>78</v>
      </c>
      <c r="L354" s="13">
        <v>45657</v>
      </c>
      <c r="M354" t="s">
        <v>88</v>
      </c>
      <c r="N354" t="s">
        <v>86</v>
      </c>
      <c r="O354">
        <v>-18.920000000000002</v>
      </c>
      <c r="P354" t="s">
        <v>46</v>
      </c>
    </row>
    <row r="355" spans="1:16" ht="15" customHeight="1" x14ac:dyDescent="0.4">
      <c r="A355" t="s">
        <v>15</v>
      </c>
      <c r="B355" t="s">
        <v>16</v>
      </c>
      <c r="C355" s="13">
        <v>45292</v>
      </c>
      <c r="D355" s="13">
        <v>45657</v>
      </c>
      <c r="E355" t="s">
        <v>17</v>
      </c>
      <c r="F355">
        <v>0</v>
      </c>
      <c r="G355" t="s">
        <v>18</v>
      </c>
      <c r="H355">
        <v>1</v>
      </c>
      <c r="I355" t="s">
        <v>19</v>
      </c>
      <c r="J355">
        <v>281</v>
      </c>
      <c r="K355" t="s">
        <v>78</v>
      </c>
      <c r="L355" s="13">
        <v>45657</v>
      </c>
      <c r="M355" t="s">
        <v>89</v>
      </c>
      <c r="N355" t="s">
        <v>86</v>
      </c>
      <c r="O355">
        <v>-1636.83</v>
      </c>
      <c r="P355" t="s">
        <v>46</v>
      </c>
    </row>
    <row r="356" spans="1:16" ht="15" customHeight="1" x14ac:dyDescent="0.4">
      <c r="A356" t="s">
        <v>15</v>
      </c>
      <c r="B356" t="s">
        <v>16</v>
      </c>
      <c r="C356" s="13">
        <v>45292</v>
      </c>
      <c r="D356" s="13">
        <v>45657</v>
      </c>
      <c r="E356" t="s">
        <v>17</v>
      </c>
      <c r="F356">
        <v>0</v>
      </c>
      <c r="G356" t="s">
        <v>18</v>
      </c>
      <c r="H356">
        <v>1</v>
      </c>
      <c r="I356" t="s">
        <v>19</v>
      </c>
      <c r="J356">
        <v>281</v>
      </c>
      <c r="K356" t="s">
        <v>78</v>
      </c>
      <c r="L356" s="13">
        <v>45657</v>
      </c>
      <c r="M356" t="s">
        <v>90</v>
      </c>
      <c r="N356" t="s">
        <v>86</v>
      </c>
      <c r="O356">
        <v>-1622.64</v>
      </c>
      <c r="P356" t="s">
        <v>46</v>
      </c>
    </row>
    <row r="357" spans="1:16" ht="15" customHeight="1" x14ac:dyDescent="0.4">
      <c r="A357" t="s">
        <v>15</v>
      </c>
      <c r="B357" t="s">
        <v>16</v>
      </c>
      <c r="C357" s="13">
        <v>45292</v>
      </c>
      <c r="D357" s="13">
        <v>45657</v>
      </c>
      <c r="E357" t="s">
        <v>17</v>
      </c>
      <c r="F357">
        <v>0</v>
      </c>
      <c r="G357" t="s">
        <v>18</v>
      </c>
      <c r="H357">
        <v>1</v>
      </c>
      <c r="I357" t="s">
        <v>19</v>
      </c>
      <c r="J357">
        <v>281</v>
      </c>
      <c r="K357" t="s">
        <v>78</v>
      </c>
      <c r="L357" s="13">
        <v>45657</v>
      </c>
      <c r="M357" t="s">
        <v>87</v>
      </c>
      <c r="N357" t="s">
        <v>86</v>
      </c>
      <c r="O357">
        <v>-2128.83</v>
      </c>
      <c r="P357" t="s">
        <v>46</v>
      </c>
    </row>
    <row r="358" spans="1:16" ht="15" customHeight="1" x14ac:dyDescent="0.4">
      <c r="A358" t="s">
        <v>15</v>
      </c>
      <c r="B358" t="s">
        <v>16</v>
      </c>
      <c r="C358" s="13">
        <v>45292</v>
      </c>
      <c r="D358" s="13">
        <v>45657</v>
      </c>
      <c r="E358" t="s">
        <v>17</v>
      </c>
      <c r="F358">
        <v>0</v>
      </c>
      <c r="G358" t="s">
        <v>18</v>
      </c>
      <c r="H358">
        <v>1</v>
      </c>
      <c r="I358" t="s">
        <v>19</v>
      </c>
      <c r="J358">
        <v>281</v>
      </c>
      <c r="K358" t="s">
        <v>78</v>
      </c>
      <c r="L358" s="13">
        <v>45657</v>
      </c>
      <c r="M358" t="s">
        <v>3715</v>
      </c>
      <c r="N358" t="s">
        <v>46</v>
      </c>
      <c r="O358">
        <v>47.31</v>
      </c>
      <c r="P358" t="s">
        <v>46</v>
      </c>
    </row>
    <row r="359" spans="1:16" ht="15" customHeight="1" x14ac:dyDescent="0.4">
      <c r="A359" t="s">
        <v>15</v>
      </c>
      <c r="B359" t="s">
        <v>16</v>
      </c>
      <c r="C359" s="13">
        <v>45292</v>
      </c>
      <c r="D359" s="13">
        <v>45657</v>
      </c>
      <c r="E359" t="s">
        <v>17</v>
      </c>
      <c r="F359">
        <v>0</v>
      </c>
      <c r="G359" t="s">
        <v>18</v>
      </c>
      <c r="H359">
        <v>1</v>
      </c>
      <c r="I359" t="s">
        <v>19</v>
      </c>
      <c r="J359">
        <v>285</v>
      </c>
      <c r="K359" t="s">
        <v>91</v>
      </c>
      <c r="L359" s="13">
        <v>45334</v>
      </c>
      <c r="M359" t="s">
        <v>3341</v>
      </c>
      <c r="N359" t="s">
        <v>3342</v>
      </c>
      <c r="O359">
        <v>2790.24</v>
      </c>
      <c r="P359" t="s">
        <v>81</v>
      </c>
    </row>
    <row r="360" spans="1:16" ht="15" customHeight="1" x14ac:dyDescent="0.4">
      <c r="A360" t="s">
        <v>15</v>
      </c>
      <c r="B360" t="s">
        <v>16</v>
      </c>
      <c r="C360" s="13">
        <v>45292</v>
      </c>
      <c r="D360" s="13">
        <v>45657</v>
      </c>
      <c r="E360" t="s">
        <v>17</v>
      </c>
      <c r="F360">
        <v>0</v>
      </c>
      <c r="G360" t="s">
        <v>18</v>
      </c>
      <c r="H360">
        <v>1</v>
      </c>
      <c r="I360" t="s">
        <v>19</v>
      </c>
      <c r="J360">
        <v>285</v>
      </c>
      <c r="K360" t="s">
        <v>91</v>
      </c>
      <c r="L360" s="13">
        <v>45527</v>
      </c>
      <c r="M360" t="s">
        <v>3716</v>
      </c>
      <c r="N360" t="s">
        <v>3717</v>
      </c>
      <c r="O360">
        <v>317.44</v>
      </c>
      <c r="P360" t="s">
        <v>81</v>
      </c>
    </row>
    <row r="361" spans="1:16" ht="15" customHeight="1" x14ac:dyDescent="0.4">
      <c r="A361" t="s">
        <v>15</v>
      </c>
      <c r="B361" t="s">
        <v>16</v>
      </c>
      <c r="C361" s="13">
        <v>45292</v>
      </c>
      <c r="D361" s="13">
        <v>45657</v>
      </c>
      <c r="E361" t="s">
        <v>17</v>
      </c>
      <c r="F361">
        <v>0</v>
      </c>
      <c r="G361" t="s">
        <v>18</v>
      </c>
      <c r="H361">
        <v>1</v>
      </c>
      <c r="I361" t="s">
        <v>19</v>
      </c>
      <c r="J361">
        <v>289</v>
      </c>
      <c r="K361" t="s">
        <v>96</v>
      </c>
      <c r="L361" s="13">
        <v>45657</v>
      </c>
      <c r="M361" t="s">
        <v>3719</v>
      </c>
      <c r="N361" t="s">
        <v>86</v>
      </c>
      <c r="O361">
        <v>18.920000000000002</v>
      </c>
      <c r="P361" t="s">
        <v>46</v>
      </c>
    </row>
    <row r="362" spans="1:16" ht="15" customHeight="1" x14ac:dyDescent="0.4">
      <c r="A362" t="s">
        <v>15</v>
      </c>
      <c r="B362" t="s">
        <v>16</v>
      </c>
      <c r="C362" s="13">
        <v>45292</v>
      </c>
      <c r="D362" s="13">
        <v>45657</v>
      </c>
      <c r="E362" t="s">
        <v>17</v>
      </c>
      <c r="F362">
        <v>0</v>
      </c>
      <c r="G362" t="s">
        <v>18</v>
      </c>
      <c r="H362">
        <v>1</v>
      </c>
      <c r="I362" t="s">
        <v>19</v>
      </c>
      <c r="J362">
        <v>289</v>
      </c>
      <c r="K362" t="s">
        <v>96</v>
      </c>
      <c r="L362" s="13">
        <v>45657</v>
      </c>
      <c r="M362" t="s">
        <v>3718</v>
      </c>
      <c r="N362" t="s">
        <v>98</v>
      </c>
      <c r="O362">
        <v>11.93</v>
      </c>
      <c r="P362" t="s">
        <v>46</v>
      </c>
    </row>
    <row r="363" spans="1:16" ht="15" customHeight="1" x14ac:dyDescent="0.4">
      <c r="A363" t="s">
        <v>15</v>
      </c>
      <c r="B363" t="s">
        <v>16</v>
      </c>
      <c r="C363" s="13">
        <v>45292</v>
      </c>
      <c r="D363" s="13">
        <v>45657</v>
      </c>
      <c r="E363" t="s">
        <v>17</v>
      </c>
      <c r="F363">
        <v>0</v>
      </c>
      <c r="G363" t="s">
        <v>18</v>
      </c>
      <c r="H363">
        <v>1</v>
      </c>
      <c r="I363" t="s">
        <v>19</v>
      </c>
      <c r="J363">
        <v>308</v>
      </c>
      <c r="K363" t="s">
        <v>100</v>
      </c>
      <c r="L363" s="13">
        <v>45292</v>
      </c>
      <c r="M363" t="s">
        <v>3343</v>
      </c>
      <c r="N363" t="s">
        <v>659</v>
      </c>
      <c r="O363">
        <v>97.2</v>
      </c>
      <c r="P363" t="s">
        <v>103</v>
      </c>
    </row>
    <row r="364" spans="1:16" ht="15" customHeight="1" x14ac:dyDescent="0.4">
      <c r="A364" t="s">
        <v>15</v>
      </c>
      <c r="B364" t="s">
        <v>16</v>
      </c>
      <c r="C364" s="13">
        <v>45292</v>
      </c>
      <c r="D364" s="13">
        <v>45657</v>
      </c>
      <c r="E364" t="s">
        <v>17</v>
      </c>
      <c r="F364">
        <v>0</v>
      </c>
      <c r="G364" t="s">
        <v>18</v>
      </c>
      <c r="H364">
        <v>1</v>
      </c>
      <c r="I364" t="s">
        <v>19</v>
      </c>
      <c r="J364">
        <v>321</v>
      </c>
      <c r="K364" t="s">
        <v>104</v>
      </c>
      <c r="L364" s="13">
        <v>45320</v>
      </c>
      <c r="M364" t="s">
        <v>3344</v>
      </c>
      <c r="N364" t="s">
        <v>3345</v>
      </c>
      <c r="O364">
        <v>2530.73</v>
      </c>
      <c r="P364" t="s">
        <v>34</v>
      </c>
    </row>
    <row r="365" spans="1:16" ht="15" customHeight="1" x14ac:dyDescent="0.4">
      <c r="A365" t="s">
        <v>15</v>
      </c>
      <c r="B365" t="s">
        <v>16</v>
      </c>
      <c r="C365" s="13">
        <v>45292</v>
      </c>
      <c r="D365" s="13">
        <v>45657</v>
      </c>
      <c r="E365" t="s">
        <v>17</v>
      </c>
      <c r="F365">
        <v>0</v>
      </c>
      <c r="G365" t="s">
        <v>18</v>
      </c>
      <c r="H365">
        <v>1</v>
      </c>
      <c r="I365" t="s">
        <v>19</v>
      </c>
      <c r="J365">
        <v>321</v>
      </c>
      <c r="K365" t="s">
        <v>104</v>
      </c>
      <c r="L365" s="13">
        <v>45322</v>
      </c>
      <c r="M365" t="s">
        <v>3346</v>
      </c>
      <c r="N365" t="s">
        <v>106</v>
      </c>
      <c r="O365">
        <v>0.4</v>
      </c>
      <c r="P365" t="s">
        <v>107</v>
      </c>
    </row>
    <row r="366" spans="1:16" ht="15" customHeight="1" x14ac:dyDescent="0.4">
      <c r="A366" t="s">
        <v>15</v>
      </c>
      <c r="B366" t="s">
        <v>16</v>
      </c>
      <c r="C366" s="13">
        <v>45292</v>
      </c>
      <c r="D366" s="13">
        <v>45657</v>
      </c>
      <c r="E366" t="s">
        <v>17</v>
      </c>
      <c r="F366">
        <v>0</v>
      </c>
      <c r="G366" t="s">
        <v>18</v>
      </c>
      <c r="H366">
        <v>1</v>
      </c>
      <c r="I366" t="s">
        <v>19</v>
      </c>
      <c r="J366">
        <v>321</v>
      </c>
      <c r="K366" t="s">
        <v>104</v>
      </c>
      <c r="L366" s="13">
        <v>45344</v>
      </c>
      <c r="M366" t="s">
        <v>3347</v>
      </c>
      <c r="N366" t="s">
        <v>3348</v>
      </c>
      <c r="O366">
        <v>2530.73</v>
      </c>
      <c r="P366" t="s">
        <v>34</v>
      </c>
    </row>
    <row r="367" spans="1:16" ht="15" customHeight="1" x14ac:dyDescent="0.4">
      <c r="A367" t="s">
        <v>15</v>
      </c>
      <c r="B367" t="s">
        <v>16</v>
      </c>
      <c r="C367" s="13">
        <v>45292</v>
      </c>
      <c r="D367" s="13">
        <v>45657</v>
      </c>
      <c r="E367" t="s">
        <v>17</v>
      </c>
      <c r="F367">
        <v>0</v>
      </c>
      <c r="G367" t="s">
        <v>18</v>
      </c>
      <c r="H367">
        <v>1</v>
      </c>
      <c r="I367" t="s">
        <v>19</v>
      </c>
      <c r="J367">
        <v>321</v>
      </c>
      <c r="K367" t="s">
        <v>104</v>
      </c>
      <c r="L367" s="13">
        <v>45351</v>
      </c>
      <c r="M367" t="s">
        <v>3349</v>
      </c>
      <c r="N367" t="s">
        <v>106</v>
      </c>
      <c r="O367">
        <v>0.4</v>
      </c>
      <c r="P367" t="s">
        <v>107</v>
      </c>
    </row>
    <row r="368" spans="1:16" ht="15" customHeight="1" x14ac:dyDescent="0.4">
      <c r="A368" t="s">
        <v>15</v>
      </c>
      <c r="B368" t="s">
        <v>16</v>
      </c>
      <c r="C368" s="13">
        <v>45292</v>
      </c>
      <c r="D368" s="13">
        <v>45657</v>
      </c>
      <c r="E368" t="s">
        <v>17</v>
      </c>
      <c r="F368">
        <v>0</v>
      </c>
      <c r="G368" t="s">
        <v>18</v>
      </c>
      <c r="H368">
        <v>1</v>
      </c>
      <c r="I368" t="s">
        <v>19</v>
      </c>
      <c r="J368">
        <v>321</v>
      </c>
      <c r="K368" t="s">
        <v>104</v>
      </c>
      <c r="L368" s="13">
        <v>45378</v>
      </c>
      <c r="M368" t="s">
        <v>3350</v>
      </c>
      <c r="N368" t="s">
        <v>3351</v>
      </c>
      <c r="O368">
        <v>2586.02</v>
      </c>
      <c r="P368" t="s">
        <v>34</v>
      </c>
    </row>
    <row r="369" spans="1:16" ht="15" customHeight="1" x14ac:dyDescent="0.4">
      <c r="A369" t="s">
        <v>15</v>
      </c>
      <c r="B369" t="s">
        <v>16</v>
      </c>
      <c r="C369" s="13">
        <v>45292</v>
      </c>
      <c r="D369" s="13">
        <v>45657</v>
      </c>
      <c r="E369" t="s">
        <v>17</v>
      </c>
      <c r="F369">
        <v>0</v>
      </c>
      <c r="G369" t="s">
        <v>18</v>
      </c>
      <c r="H369">
        <v>1</v>
      </c>
      <c r="I369" t="s">
        <v>19</v>
      </c>
      <c r="J369">
        <v>321</v>
      </c>
      <c r="K369" t="s">
        <v>104</v>
      </c>
      <c r="L369" s="13">
        <v>45382</v>
      </c>
      <c r="M369" t="s">
        <v>3352</v>
      </c>
      <c r="N369" t="s">
        <v>106</v>
      </c>
      <c r="O369">
        <v>0.33</v>
      </c>
      <c r="P369" t="s">
        <v>107</v>
      </c>
    </row>
    <row r="370" spans="1:16" ht="15" customHeight="1" x14ac:dyDescent="0.4">
      <c r="A370" t="s">
        <v>15</v>
      </c>
      <c r="B370" t="s">
        <v>16</v>
      </c>
      <c r="C370" s="13">
        <v>45292</v>
      </c>
      <c r="D370" s="13">
        <v>45657</v>
      </c>
      <c r="E370" t="s">
        <v>17</v>
      </c>
      <c r="F370">
        <v>0</v>
      </c>
      <c r="G370" t="s">
        <v>18</v>
      </c>
      <c r="H370">
        <v>1</v>
      </c>
      <c r="I370" t="s">
        <v>19</v>
      </c>
      <c r="J370">
        <v>321</v>
      </c>
      <c r="K370" t="s">
        <v>104</v>
      </c>
      <c r="L370" s="13">
        <v>45407</v>
      </c>
      <c r="M370" t="s">
        <v>3353</v>
      </c>
      <c r="N370" t="s">
        <v>3354</v>
      </c>
      <c r="O370">
        <v>2586.02</v>
      </c>
      <c r="P370" t="s">
        <v>34</v>
      </c>
    </row>
    <row r="371" spans="1:16" ht="15" customHeight="1" x14ac:dyDescent="0.4">
      <c r="A371" t="s">
        <v>15</v>
      </c>
      <c r="B371" t="s">
        <v>16</v>
      </c>
      <c r="C371" s="13">
        <v>45292</v>
      </c>
      <c r="D371" s="13">
        <v>45657</v>
      </c>
      <c r="E371" t="s">
        <v>17</v>
      </c>
      <c r="F371">
        <v>0</v>
      </c>
      <c r="G371" t="s">
        <v>18</v>
      </c>
      <c r="H371">
        <v>1</v>
      </c>
      <c r="I371" t="s">
        <v>19</v>
      </c>
      <c r="J371">
        <v>321</v>
      </c>
      <c r="K371" t="s">
        <v>104</v>
      </c>
      <c r="L371" s="13">
        <v>45412</v>
      </c>
      <c r="M371" t="s">
        <v>3355</v>
      </c>
      <c r="N371" t="s">
        <v>106</v>
      </c>
      <c r="O371">
        <v>0.33</v>
      </c>
      <c r="P371" t="s">
        <v>107</v>
      </c>
    </row>
    <row r="372" spans="1:16" ht="15" customHeight="1" x14ac:dyDescent="0.4">
      <c r="A372" t="s">
        <v>15</v>
      </c>
      <c r="B372" t="s">
        <v>16</v>
      </c>
      <c r="C372" s="13">
        <v>45292</v>
      </c>
      <c r="D372" s="13">
        <v>45657</v>
      </c>
      <c r="E372" t="s">
        <v>17</v>
      </c>
      <c r="F372">
        <v>0</v>
      </c>
      <c r="G372" t="s">
        <v>18</v>
      </c>
      <c r="H372">
        <v>1</v>
      </c>
      <c r="I372" t="s">
        <v>19</v>
      </c>
      <c r="J372">
        <v>321</v>
      </c>
      <c r="K372" t="s">
        <v>104</v>
      </c>
      <c r="L372" s="13">
        <v>45435</v>
      </c>
      <c r="M372" t="s">
        <v>3356</v>
      </c>
      <c r="N372" t="s">
        <v>3357</v>
      </c>
      <c r="O372">
        <v>2647.71</v>
      </c>
      <c r="P372" t="s">
        <v>34</v>
      </c>
    </row>
    <row r="373" spans="1:16" ht="15" customHeight="1" x14ac:dyDescent="0.4">
      <c r="A373" t="s">
        <v>15</v>
      </c>
      <c r="B373" t="s">
        <v>16</v>
      </c>
      <c r="C373" s="13">
        <v>45292</v>
      </c>
      <c r="D373" s="13">
        <v>45657</v>
      </c>
      <c r="E373" t="s">
        <v>17</v>
      </c>
      <c r="F373">
        <v>0</v>
      </c>
      <c r="G373" t="s">
        <v>18</v>
      </c>
      <c r="H373">
        <v>1</v>
      </c>
      <c r="I373" t="s">
        <v>19</v>
      </c>
      <c r="J373">
        <v>321</v>
      </c>
      <c r="K373" t="s">
        <v>104</v>
      </c>
      <c r="L373" s="13">
        <v>45442</v>
      </c>
      <c r="M373" t="s">
        <v>3358</v>
      </c>
      <c r="N373" t="s">
        <v>106</v>
      </c>
      <c r="O373">
        <v>0.02</v>
      </c>
      <c r="P373" t="s">
        <v>107</v>
      </c>
    </row>
    <row r="374" spans="1:16" ht="15" customHeight="1" x14ac:dyDescent="0.4">
      <c r="A374" t="s">
        <v>15</v>
      </c>
      <c r="B374" t="s">
        <v>16</v>
      </c>
      <c r="C374" s="13">
        <v>45292</v>
      </c>
      <c r="D374" s="13">
        <v>45657</v>
      </c>
      <c r="E374" t="s">
        <v>17</v>
      </c>
      <c r="F374">
        <v>0</v>
      </c>
      <c r="G374" t="s">
        <v>18</v>
      </c>
      <c r="H374">
        <v>1</v>
      </c>
      <c r="I374" t="s">
        <v>19</v>
      </c>
      <c r="J374">
        <v>321</v>
      </c>
      <c r="K374" t="s">
        <v>104</v>
      </c>
      <c r="L374" s="13">
        <v>45470</v>
      </c>
      <c r="M374" t="s">
        <v>3359</v>
      </c>
      <c r="N374" t="s">
        <v>3360</v>
      </c>
      <c r="O374">
        <v>2691.41</v>
      </c>
      <c r="P374" t="s">
        <v>34</v>
      </c>
    </row>
    <row r="375" spans="1:16" ht="15" customHeight="1" x14ac:dyDescent="0.4">
      <c r="A375" t="s">
        <v>15</v>
      </c>
      <c r="B375" t="s">
        <v>16</v>
      </c>
      <c r="C375" s="13">
        <v>45292</v>
      </c>
      <c r="D375" s="13">
        <v>45657</v>
      </c>
      <c r="E375" t="s">
        <v>17</v>
      </c>
      <c r="F375">
        <v>0</v>
      </c>
      <c r="G375" t="s">
        <v>18</v>
      </c>
      <c r="H375">
        <v>1</v>
      </c>
      <c r="I375" t="s">
        <v>19</v>
      </c>
      <c r="J375">
        <v>321</v>
      </c>
      <c r="K375" t="s">
        <v>104</v>
      </c>
      <c r="L375" s="13">
        <v>45475</v>
      </c>
      <c r="M375" t="s">
        <v>3361</v>
      </c>
      <c r="N375" t="s">
        <v>106</v>
      </c>
      <c r="O375">
        <v>0.38</v>
      </c>
      <c r="P375" t="s">
        <v>107</v>
      </c>
    </row>
    <row r="376" spans="1:16" ht="15" customHeight="1" x14ac:dyDescent="0.4">
      <c r="A376" t="s">
        <v>15</v>
      </c>
      <c r="B376" t="s">
        <v>16</v>
      </c>
      <c r="C376" s="13">
        <v>45292</v>
      </c>
      <c r="D376" s="13">
        <v>45657</v>
      </c>
      <c r="E376" t="s">
        <v>17</v>
      </c>
      <c r="F376">
        <v>0</v>
      </c>
      <c r="G376" t="s">
        <v>18</v>
      </c>
      <c r="H376">
        <v>1</v>
      </c>
      <c r="I376" t="s">
        <v>19</v>
      </c>
      <c r="J376">
        <v>321</v>
      </c>
      <c r="K376" t="s">
        <v>104</v>
      </c>
      <c r="L376" s="13">
        <v>45499</v>
      </c>
      <c r="M376" t="s">
        <v>3720</v>
      </c>
      <c r="N376" t="s">
        <v>3721</v>
      </c>
      <c r="O376">
        <v>2658.64</v>
      </c>
      <c r="P376" t="s">
        <v>34</v>
      </c>
    </row>
    <row r="377" spans="1:16" ht="15" customHeight="1" x14ac:dyDescent="0.4">
      <c r="A377" t="s">
        <v>15</v>
      </c>
      <c r="B377" t="s">
        <v>16</v>
      </c>
      <c r="C377" s="13">
        <v>45292</v>
      </c>
      <c r="D377" s="13">
        <v>45657</v>
      </c>
      <c r="E377" t="s">
        <v>17</v>
      </c>
      <c r="F377">
        <v>0</v>
      </c>
      <c r="G377" t="s">
        <v>18</v>
      </c>
      <c r="H377">
        <v>1</v>
      </c>
      <c r="I377" t="s">
        <v>19</v>
      </c>
      <c r="J377">
        <v>321</v>
      </c>
      <c r="K377" t="s">
        <v>104</v>
      </c>
      <c r="L377" s="13">
        <v>45504</v>
      </c>
      <c r="M377" t="s">
        <v>3722</v>
      </c>
      <c r="N377" t="s">
        <v>106</v>
      </c>
      <c r="O377">
        <v>-0.39</v>
      </c>
      <c r="P377" t="s">
        <v>107</v>
      </c>
    </row>
    <row r="378" spans="1:16" ht="15" customHeight="1" x14ac:dyDescent="0.4">
      <c r="A378" t="s">
        <v>15</v>
      </c>
      <c r="B378" t="s">
        <v>16</v>
      </c>
      <c r="C378" s="13">
        <v>45292</v>
      </c>
      <c r="D378" s="13">
        <v>45657</v>
      </c>
      <c r="E378" t="s">
        <v>17</v>
      </c>
      <c r="F378">
        <v>0</v>
      </c>
      <c r="G378" t="s">
        <v>18</v>
      </c>
      <c r="H378">
        <v>1</v>
      </c>
      <c r="I378" t="s">
        <v>19</v>
      </c>
      <c r="J378">
        <v>321</v>
      </c>
      <c r="K378" t="s">
        <v>104</v>
      </c>
      <c r="L378" s="13">
        <v>45527</v>
      </c>
      <c r="M378" t="s">
        <v>3723</v>
      </c>
      <c r="N378" t="s">
        <v>3724</v>
      </c>
      <c r="O378">
        <v>2647.71</v>
      </c>
      <c r="P378" t="s">
        <v>34</v>
      </c>
    </row>
    <row r="379" spans="1:16" ht="15" customHeight="1" x14ac:dyDescent="0.4">
      <c r="A379" t="s">
        <v>15</v>
      </c>
      <c r="B379" t="s">
        <v>16</v>
      </c>
      <c r="C379" s="13">
        <v>45292</v>
      </c>
      <c r="D379" s="13">
        <v>45657</v>
      </c>
      <c r="E379" t="s">
        <v>17</v>
      </c>
      <c r="F379">
        <v>0</v>
      </c>
      <c r="G379" t="s">
        <v>18</v>
      </c>
      <c r="H379">
        <v>1</v>
      </c>
      <c r="I379" t="s">
        <v>19</v>
      </c>
      <c r="J379">
        <v>321</v>
      </c>
      <c r="K379" t="s">
        <v>104</v>
      </c>
      <c r="L379" s="13">
        <v>45534</v>
      </c>
      <c r="M379" t="s">
        <v>3725</v>
      </c>
      <c r="N379" t="s">
        <v>106</v>
      </c>
      <c r="O379">
        <v>0.02</v>
      </c>
      <c r="P379" t="s">
        <v>107</v>
      </c>
    </row>
    <row r="380" spans="1:16" ht="15" customHeight="1" x14ac:dyDescent="0.4">
      <c r="A380" t="s">
        <v>15</v>
      </c>
      <c r="B380" t="s">
        <v>16</v>
      </c>
      <c r="C380" s="13">
        <v>45292</v>
      </c>
      <c r="D380" s="13">
        <v>45657</v>
      </c>
      <c r="E380" t="s">
        <v>17</v>
      </c>
      <c r="F380">
        <v>0</v>
      </c>
      <c r="G380" t="s">
        <v>18</v>
      </c>
      <c r="H380">
        <v>1</v>
      </c>
      <c r="I380" t="s">
        <v>19</v>
      </c>
      <c r="J380">
        <v>321</v>
      </c>
      <c r="K380" t="s">
        <v>104</v>
      </c>
      <c r="L380" s="13">
        <v>45565</v>
      </c>
      <c r="M380" t="s">
        <v>3726</v>
      </c>
      <c r="N380" t="s">
        <v>3727</v>
      </c>
      <c r="O380">
        <v>2647.71</v>
      </c>
      <c r="P380" t="s">
        <v>34</v>
      </c>
    </row>
    <row r="381" spans="1:16" ht="15" customHeight="1" x14ac:dyDescent="0.4">
      <c r="A381" t="s">
        <v>15</v>
      </c>
      <c r="B381" t="s">
        <v>16</v>
      </c>
      <c r="C381" s="13">
        <v>45292</v>
      </c>
      <c r="D381" s="13">
        <v>45657</v>
      </c>
      <c r="E381" t="s">
        <v>17</v>
      </c>
      <c r="F381">
        <v>0</v>
      </c>
      <c r="G381" t="s">
        <v>18</v>
      </c>
      <c r="H381">
        <v>1</v>
      </c>
      <c r="I381" t="s">
        <v>19</v>
      </c>
      <c r="J381">
        <v>321</v>
      </c>
      <c r="K381" t="s">
        <v>104</v>
      </c>
      <c r="L381" s="13">
        <v>45565</v>
      </c>
      <c r="M381" t="s">
        <v>3728</v>
      </c>
      <c r="N381" t="s">
        <v>106</v>
      </c>
      <c r="O381">
        <v>-0.09</v>
      </c>
      <c r="P381" t="s">
        <v>107</v>
      </c>
    </row>
    <row r="382" spans="1:16" ht="15" customHeight="1" x14ac:dyDescent="0.4">
      <c r="A382" t="s">
        <v>15</v>
      </c>
      <c r="B382" t="s">
        <v>16</v>
      </c>
      <c r="C382" s="13">
        <v>45292</v>
      </c>
      <c r="D382" s="13">
        <v>45657</v>
      </c>
      <c r="E382" t="s">
        <v>17</v>
      </c>
      <c r="F382">
        <v>0</v>
      </c>
      <c r="G382" t="s">
        <v>18</v>
      </c>
      <c r="H382">
        <v>1</v>
      </c>
      <c r="I382" t="s">
        <v>19</v>
      </c>
      <c r="J382">
        <v>321</v>
      </c>
      <c r="K382" t="s">
        <v>104</v>
      </c>
      <c r="L382" s="13">
        <v>45590</v>
      </c>
      <c r="M382" t="s">
        <v>3729</v>
      </c>
      <c r="N382" t="s">
        <v>3730</v>
      </c>
      <c r="O382">
        <v>2647.71</v>
      </c>
      <c r="P382" t="s">
        <v>34</v>
      </c>
    </row>
    <row r="383" spans="1:16" ht="15" customHeight="1" x14ac:dyDescent="0.4">
      <c r="A383" t="s">
        <v>15</v>
      </c>
      <c r="B383" t="s">
        <v>16</v>
      </c>
      <c r="C383" s="13">
        <v>45292</v>
      </c>
      <c r="D383" s="13">
        <v>45657</v>
      </c>
      <c r="E383" t="s">
        <v>17</v>
      </c>
      <c r="F383">
        <v>0</v>
      </c>
      <c r="G383" t="s">
        <v>18</v>
      </c>
      <c r="H383">
        <v>1</v>
      </c>
      <c r="I383" t="s">
        <v>19</v>
      </c>
      <c r="J383">
        <v>321</v>
      </c>
      <c r="K383" t="s">
        <v>104</v>
      </c>
      <c r="L383" s="13">
        <v>45604</v>
      </c>
      <c r="M383" t="s">
        <v>3731</v>
      </c>
      <c r="N383" t="s">
        <v>106</v>
      </c>
      <c r="O383">
        <v>-0.09</v>
      </c>
      <c r="P383" t="s">
        <v>107</v>
      </c>
    </row>
    <row r="384" spans="1:16" ht="15" customHeight="1" x14ac:dyDescent="0.4">
      <c r="A384" t="s">
        <v>15</v>
      </c>
      <c r="B384" t="s">
        <v>16</v>
      </c>
      <c r="C384" s="13">
        <v>45292</v>
      </c>
      <c r="D384" s="13">
        <v>45657</v>
      </c>
      <c r="E384" t="s">
        <v>17</v>
      </c>
      <c r="F384">
        <v>0</v>
      </c>
      <c r="G384" t="s">
        <v>18</v>
      </c>
      <c r="H384">
        <v>1</v>
      </c>
      <c r="I384" t="s">
        <v>19</v>
      </c>
      <c r="J384">
        <v>321</v>
      </c>
      <c r="K384" t="s">
        <v>104</v>
      </c>
      <c r="L384" s="13">
        <v>45624</v>
      </c>
      <c r="M384" t="s">
        <v>3732</v>
      </c>
      <c r="N384" t="s">
        <v>3733</v>
      </c>
      <c r="O384">
        <v>2647.71</v>
      </c>
      <c r="P384" t="s">
        <v>34</v>
      </c>
    </row>
    <row r="385" spans="1:16" ht="15" customHeight="1" x14ac:dyDescent="0.4">
      <c r="A385" t="s">
        <v>15</v>
      </c>
      <c r="B385" t="s">
        <v>16</v>
      </c>
      <c r="C385" s="13">
        <v>45292</v>
      </c>
      <c r="D385" s="13">
        <v>45657</v>
      </c>
      <c r="E385" t="s">
        <v>17</v>
      </c>
      <c r="F385">
        <v>0</v>
      </c>
      <c r="G385" t="s">
        <v>18</v>
      </c>
      <c r="H385">
        <v>1</v>
      </c>
      <c r="I385" t="s">
        <v>19</v>
      </c>
      <c r="J385">
        <v>321</v>
      </c>
      <c r="K385" t="s">
        <v>104</v>
      </c>
      <c r="L385" s="13">
        <v>45626</v>
      </c>
      <c r="M385" t="s">
        <v>3734</v>
      </c>
      <c r="N385" t="s">
        <v>106</v>
      </c>
      <c r="O385">
        <v>-0.09</v>
      </c>
      <c r="P385" t="s">
        <v>107</v>
      </c>
    </row>
    <row r="386" spans="1:16" ht="15" customHeight="1" x14ac:dyDescent="0.4">
      <c r="A386" t="s">
        <v>15</v>
      </c>
      <c r="B386" t="s">
        <v>16</v>
      </c>
      <c r="C386" s="13">
        <v>45292</v>
      </c>
      <c r="D386" s="13">
        <v>45657</v>
      </c>
      <c r="E386" t="s">
        <v>17</v>
      </c>
      <c r="F386">
        <v>0</v>
      </c>
      <c r="G386" t="s">
        <v>18</v>
      </c>
      <c r="H386">
        <v>1</v>
      </c>
      <c r="I386" t="s">
        <v>19</v>
      </c>
      <c r="J386">
        <v>321</v>
      </c>
      <c r="K386" t="s">
        <v>104</v>
      </c>
      <c r="L386" s="13">
        <v>45649</v>
      </c>
      <c r="M386" t="s">
        <v>3735</v>
      </c>
      <c r="N386" t="s">
        <v>3736</v>
      </c>
      <c r="O386">
        <v>5148.3599999999997</v>
      </c>
      <c r="P386" t="s">
        <v>34</v>
      </c>
    </row>
    <row r="387" spans="1:16" ht="15" customHeight="1" x14ac:dyDescent="0.4">
      <c r="A387" t="s">
        <v>15</v>
      </c>
      <c r="B387" t="s">
        <v>16</v>
      </c>
      <c r="C387" s="13">
        <v>45292</v>
      </c>
      <c r="D387" s="13">
        <v>45657</v>
      </c>
      <c r="E387" t="s">
        <v>17</v>
      </c>
      <c r="F387">
        <v>0</v>
      </c>
      <c r="G387" t="s">
        <v>18</v>
      </c>
      <c r="H387">
        <v>1</v>
      </c>
      <c r="I387" t="s">
        <v>19</v>
      </c>
      <c r="J387">
        <v>322</v>
      </c>
      <c r="K387" t="s">
        <v>143</v>
      </c>
      <c r="L387" s="13">
        <v>45320</v>
      </c>
      <c r="M387" t="s">
        <v>3362</v>
      </c>
      <c r="N387" t="s">
        <v>3345</v>
      </c>
      <c r="O387">
        <v>608.84</v>
      </c>
      <c r="P387" t="s">
        <v>34</v>
      </c>
    </row>
    <row r="388" spans="1:16" ht="15" customHeight="1" x14ac:dyDescent="0.4">
      <c r="A388" t="s">
        <v>15</v>
      </c>
      <c r="B388" t="s">
        <v>16</v>
      </c>
      <c r="C388" s="13">
        <v>45292</v>
      </c>
      <c r="D388" s="13">
        <v>45657</v>
      </c>
      <c r="E388" t="s">
        <v>17</v>
      </c>
      <c r="F388">
        <v>0</v>
      </c>
      <c r="G388" t="s">
        <v>18</v>
      </c>
      <c r="H388">
        <v>1</v>
      </c>
      <c r="I388" t="s">
        <v>19</v>
      </c>
      <c r="J388">
        <v>322</v>
      </c>
      <c r="K388" t="s">
        <v>143</v>
      </c>
      <c r="L388" s="13">
        <v>45322</v>
      </c>
      <c r="M388" t="s">
        <v>3363</v>
      </c>
      <c r="N388" t="s">
        <v>3364</v>
      </c>
      <c r="O388">
        <v>0.66</v>
      </c>
      <c r="P388" t="s">
        <v>146</v>
      </c>
    </row>
    <row r="389" spans="1:16" ht="15" customHeight="1" x14ac:dyDescent="0.4">
      <c r="A389" t="s">
        <v>15</v>
      </c>
      <c r="B389" t="s">
        <v>16</v>
      </c>
      <c r="C389" s="13">
        <v>45292</v>
      </c>
      <c r="D389" s="13">
        <v>45657</v>
      </c>
      <c r="E389" t="s">
        <v>17</v>
      </c>
      <c r="F389">
        <v>0</v>
      </c>
      <c r="G389" t="s">
        <v>18</v>
      </c>
      <c r="H389">
        <v>1</v>
      </c>
      <c r="I389" t="s">
        <v>19</v>
      </c>
      <c r="J389">
        <v>322</v>
      </c>
      <c r="K389" t="s">
        <v>143</v>
      </c>
      <c r="L389" s="13">
        <v>45344</v>
      </c>
      <c r="M389" t="s">
        <v>3365</v>
      </c>
      <c r="N389" t="s">
        <v>3348</v>
      </c>
      <c r="O389">
        <v>608.84</v>
      </c>
      <c r="P389" t="s">
        <v>34</v>
      </c>
    </row>
    <row r="390" spans="1:16" ht="15" customHeight="1" x14ac:dyDescent="0.4">
      <c r="A390" t="s">
        <v>15</v>
      </c>
      <c r="B390" t="s">
        <v>16</v>
      </c>
      <c r="C390" s="13">
        <v>45292</v>
      </c>
      <c r="D390" s="13">
        <v>45657</v>
      </c>
      <c r="E390" t="s">
        <v>17</v>
      </c>
      <c r="F390">
        <v>0</v>
      </c>
      <c r="G390" t="s">
        <v>18</v>
      </c>
      <c r="H390">
        <v>1</v>
      </c>
      <c r="I390" t="s">
        <v>19</v>
      </c>
      <c r="J390">
        <v>322</v>
      </c>
      <c r="K390" t="s">
        <v>143</v>
      </c>
      <c r="L390" s="13">
        <v>45351</v>
      </c>
      <c r="M390" t="s">
        <v>3366</v>
      </c>
      <c r="N390" t="s">
        <v>1104</v>
      </c>
      <c r="O390">
        <v>0.66</v>
      </c>
      <c r="P390" t="s">
        <v>146</v>
      </c>
    </row>
    <row r="391" spans="1:16" ht="15" customHeight="1" x14ac:dyDescent="0.4">
      <c r="A391" t="s">
        <v>15</v>
      </c>
      <c r="B391" t="s">
        <v>16</v>
      </c>
      <c r="C391" s="13">
        <v>45292</v>
      </c>
      <c r="D391" s="13">
        <v>45657</v>
      </c>
      <c r="E391" t="s">
        <v>17</v>
      </c>
      <c r="F391">
        <v>0</v>
      </c>
      <c r="G391" t="s">
        <v>18</v>
      </c>
      <c r="H391">
        <v>1</v>
      </c>
      <c r="I391" t="s">
        <v>19</v>
      </c>
      <c r="J391">
        <v>322</v>
      </c>
      <c r="K391" t="s">
        <v>143</v>
      </c>
      <c r="L391" s="13">
        <v>45378</v>
      </c>
      <c r="M391" t="s">
        <v>3367</v>
      </c>
      <c r="N391" t="s">
        <v>3351</v>
      </c>
      <c r="O391">
        <v>648.84</v>
      </c>
      <c r="P391" t="s">
        <v>34</v>
      </c>
    </row>
    <row r="392" spans="1:16" ht="15" customHeight="1" x14ac:dyDescent="0.4">
      <c r="A392" t="s">
        <v>15</v>
      </c>
      <c r="B392" t="s">
        <v>16</v>
      </c>
      <c r="C392" s="13">
        <v>45292</v>
      </c>
      <c r="D392" s="13">
        <v>45657</v>
      </c>
      <c r="E392" t="s">
        <v>17</v>
      </c>
      <c r="F392">
        <v>0</v>
      </c>
      <c r="G392" t="s">
        <v>18</v>
      </c>
      <c r="H392">
        <v>1</v>
      </c>
      <c r="I392" t="s">
        <v>19</v>
      </c>
      <c r="J392">
        <v>322</v>
      </c>
      <c r="K392" t="s">
        <v>143</v>
      </c>
      <c r="L392" s="13">
        <v>45382</v>
      </c>
      <c r="M392" t="s">
        <v>3368</v>
      </c>
      <c r="N392" t="s">
        <v>3369</v>
      </c>
      <c r="O392">
        <v>0.28999999999999998</v>
      </c>
      <c r="P392" t="s">
        <v>146</v>
      </c>
    </row>
    <row r="393" spans="1:16" ht="15" customHeight="1" x14ac:dyDescent="0.4">
      <c r="A393" t="s">
        <v>15</v>
      </c>
      <c r="B393" t="s">
        <v>16</v>
      </c>
      <c r="C393" s="13">
        <v>45292</v>
      </c>
      <c r="D393" s="13">
        <v>45657</v>
      </c>
      <c r="E393" t="s">
        <v>17</v>
      </c>
      <c r="F393">
        <v>0</v>
      </c>
      <c r="G393" t="s">
        <v>18</v>
      </c>
      <c r="H393">
        <v>1</v>
      </c>
      <c r="I393" t="s">
        <v>19</v>
      </c>
      <c r="J393">
        <v>322</v>
      </c>
      <c r="K393" t="s">
        <v>143</v>
      </c>
      <c r="L393" s="13">
        <v>45407</v>
      </c>
      <c r="M393" t="s">
        <v>3370</v>
      </c>
      <c r="N393" t="s">
        <v>3354</v>
      </c>
      <c r="O393">
        <v>648.62</v>
      </c>
      <c r="P393" t="s">
        <v>34</v>
      </c>
    </row>
    <row r="394" spans="1:16" ht="15" customHeight="1" x14ac:dyDescent="0.4">
      <c r="A394" t="s">
        <v>15</v>
      </c>
      <c r="B394" t="s">
        <v>16</v>
      </c>
      <c r="C394" s="13">
        <v>45292</v>
      </c>
      <c r="D394" s="13">
        <v>45657</v>
      </c>
      <c r="E394" t="s">
        <v>17</v>
      </c>
      <c r="F394">
        <v>0</v>
      </c>
      <c r="G394" t="s">
        <v>18</v>
      </c>
      <c r="H394">
        <v>1</v>
      </c>
      <c r="I394" t="s">
        <v>19</v>
      </c>
      <c r="J394">
        <v>322</v>
      </c>
      <c r="K394" t="s">
        <v>143</v>
      </c>
      <c r="L394" s="13">
        <v>45412</v>
      </c>
      <c r="M394" t="s">
        <v>3371</v>
      </c>
      <c r="N394" t="s">
        <v>3372</v>
      </c>
      <c r="O394">
        <v>0.51</v>
      </c>
      <c r="P394" t="s">
        <v>146</v>
      </c>
    </row>
    <row r="395" spans="1:16" ht="15" customHeight="1" x14ac:dyDescent="0.4">
      <c r="A395" t="s">
        <v>15</v>
      </c>
      <c r="B395" t="s">
        <v>16</v>
      </c>
      <c r="C395" s="13">
        <v>45292</v>
      </c>
      <c r="D395" s="13">
        <v>45657</v>
      </c>
      <c r="E395" t="s">
        <v>17</v>
      </c>
      <c r="F395">
        <v>0</v>
      </c>
      <c r="G395" t="s">
        <v>18</v>
      </c>
      <c r="H395">
        <v>1</v>
      </c>
      <c r="I395" t="s">
        <v>19</v>
      </c>
      <c r="J395">
        <v>322</v>
      </c>
      <c r="K395" t="s">
        <v>143</v>
      </c>
      <c r="L395" s="13">
        <v>45435</v>
      </c>
      <c r="M395" t="s">
        <v>3373</v>
      </c>
      <c r="N395" t="s">
        <v>3357</v>
      </c>
      <c r="O395">
        <v>693.62</v>
      </c>
      <c r="P395" t="s">
        <v>34</v>
      </c>
    </row>
    <row r="396" spans="1:16" ht="15" customHeight="1" x14ac:dyDescent="0.4">
      <c r="A396" t="s">
        <v>15</v>
      </c>
      <c r="B396" t="s">
        <v>16</v>
      </c>
      <c r="C396" s="13">
        <v>45292</v>
      </c>
      <c r="D396" s="13">
        <v>45657</v>
      </c>
      <c r="E396" t="s">
        <v>17</v>
      </c>
      <c r="F396">
        <v>0</v>
      </c>
      <c r="G396" t="s">
        <v>18</v>
      </c>
      <c r="H396">
        <v>1</v>
      </c>
      <c r="I396" t="s">
        <v>19</v>
      </c>
      <c r="J396">
        <v>322</v>
      </c>
      <c r="K396" t="s">
        <v>143</v>
      </c>
      <c r="L396" s="13">
        <v>45442</v>
      </c>
      <c r="M396" t="s">
        <v>3374</v>
      </c>
      <c r="N396" t="s">
        <v>3375</v>
      </c>
      <c r="O396">
        <v>0.08</v>
      </c>
      <c r="P396" t="s">
        <v>146</v>
      </c>
    </row>
    <row r="397" spans="1:16" ht="15" customHeight="1" x14ac:dyDescent="0.4">
      <c r="A397" t="s">
        <v>15</v>
      </c>
      <c r="B397" t="s">
        <v>16</v>
      </c>
      <c r="C397" s="13">
        <v>45292</v>
      </c>
      <c r="D397" s="13">
        <v>45657</v>
      </c>
      <c r="E397" t="s">
        <v>17</v>
      </c>
      <c r="F397">
        <v>0</v>
      </c>
      <c r="G397" t="s">
        <v>18</v>
      </c>
      <c r="H397">
        <v>1</v>
      </c>
      <c r="I397" t="s">
        <v>19</v>
      </c>
      <c r="J397">
        <v>322</v>
      </c>
      <c r="K397" t="s">
        <v>143</v>
      </c>
      <c r="L397" s="13">
        <v>45470</v>
      </c>
      <c r="M397" t="s">
        <v>3376</v>
      </c>
      <c r="N397" t="s">
        <v>3360</v>
      </c>
      <c r="O397">
        <v>724.81</v>
      </c>
      <c r="P397" t="s">
        <v>34</v>
      </c>
    </row>
    <row r="398" spans="1:16" ht="15" customHeight="1" x14ac:dyDescent="0.4">
      <c r="A398" t="s">
        <v>15</v>
      </c>
      <c r="B398" t="s">
        <v>16</v>
      </c>
      <c r="C398" s="13">
        <v>45292</v>
      </c>
      <c r="D398" s="13">
        <v>45657</v>
      </c>
      <c r="E398" t="s">
        <v>17</v>
      </c>
      <c r="F398">
        <v>0</v>
      </c>
      <c r="G398" t="s">
        <v>18</v>
      </c>
      <c r="H398">
        <v>1</v>
      </c>
      <c r="I398" t="s">
        <v>19</v>
      </c>
      <c r="J398">
        <v>322</v>
      </c>
      <c r="K398" t="s">
        <v>143</v>
      </c>
      <c r="L398" s="13">
        <v>45475</v>
      </c>
      <c r="M398" t="s">
        <v>3377</v>
      </c>
      <c r="N398" t="s">
        <v>3378</v>
      </c>
      <c r="O398">
        <v>-0.51</v>
      </c>
      <c r="P398" t="s">
        <v>146</v>
      </c>
    </row>
    <row r="399" spans="1:16" ht="15" customHeight="1" x14ac:dyDescent="0.4">
      <c r="A399" t="s">
        <v>15</v>
      </c>
      <c r="B399" t="s">
        <v>16</v>
      </c>
      <c r="C399" s="13">
        <v>45292</v>
      </c>
      <c r="D399" s="13">
        <v>45657</v>
      </c>
      <c r="E399" t="s">
        <v>17</v>
      </c>
      <c r="F399">
        <v>0</v>
      </c>
      <c r="G399" t="s">
        <v>18</v>
      </c>
      <c r="H399">
        <v>1</v>
      </c>
      <c r="I399" t="s">
        <v>19</v>
      </c>
      <c r="J399">
        <v>322</v>
      </c>
      <c r="K399" t="s">
        <v>143</v>
      </c>
      <c r="L399" s="13">
        <v>45499</v>
      </c>
      <c r="M399" t="s">
        <v>3737</v>
      </c>
      <c r="N399" t="s">
        <v>3721</v>
      </c>
      <c r="O399">
        <v>701.16</v>
      </c>
      <c r="P399" t="s">
        <v>34</v>
      </c>
    </row>
    <row r="400" spans="1:16" ht="15" customHeight="1" x14ac:dyDescent="0.4">
      <c r="A400" t="s">
        <v>15</v>
      </c>
      <c r="B400" t="s">
        <v>16</v>
      </c>
      <c r="C400" s="13">
        <v>45292</v>
      </c>
      <c r="D400" s="13">
        <v>45657</v>
      </c>
      <c r="E400" t="s">
        <v>17</v>
      </c>
      <c r="F400">
        <v>0</v>
      </c>
      <c r="G400" t="s">
        <v>18</v>
      </c>
      <c r="H400">
        <v>1</v>
      </c>
      <c r="I400" t="s">
        <v>19</v>
      </c>
      <c r="J400">
        <v>322</v>
      </c>
      <c r="K400" t="s">
        <v>143</v>
      </c>
      <c r="L400" s="13">
        <v>45504</v>
      </c>
      <c r="M400" t="s">
        <v>3738</v>
      </c>
      <c r="N400" t="s">
        <v>3739</v>
      </c>
      <c r="O400">
        <v>0.68</v>
      </c>
      <c r="P400" t="s">
        <v>146</v>
      </c>
    </row>
    <row r="401" spans="1:16" ht="15" customHeight="1" x14ac:dyDescent="0.4">
      <c r="A401" t="s">
        <v>15</v>
      </c>
      <c r="B401" t="s">
        <v>16</v>
      </c>
      <c r="C401" s="13">
        <v>45292</v>
      </c>
      <c r="D401" s="13">
        <v>45657</v>
      </c>
      <c r="E401" t="s">
        <v>17</v>
      </c>
      <c r="F401">
        <v>0</v>
      </c>
      <c r="G401" t="s">
        <v>18</v>
      </c>
      <c r="H401">
        <v>1</v>
      </c>
      <c r="I401" t="s">
        <v>19</v>
      </c>
      <c r="J401">
        <v>322</v>
      </c>
      <c r="K401" t="s">
        <v>143</v>
      </c>
      <c r="L401" s="13">
        <v>45527</v>
      </c>
      <c r="M401" t="s">
        <v>3740</v>
      </c>
      <c r="N401" t="s">
        <v>3724</v>
      </c>
      <c r="O401">
        <v>693.44</v>
      </c>
      <c r="P401" t="s">
        <v>34</v>
      </c>
    </row>
    <row r="402" spans="1:16" ht="15" customHeight="1" x14ac:dyDescent="0.4">
      <c r="A402" t="s">
        <v>15</v>
      </c>
      <c r="B402" t="s">
        <v>16</v>
      </c>
      <c r="C402" s="13">
        <v>45292</v>
      </c>
      <c r="D402" s="13">
        <v>45657</v>
      </c>
      <c r="E402" t="s">
        <v>17</v>
      </c>
      <c r="F402">
        <v>0</v>
      </c>
      <c r="G402" t="s">
        <v>18</v>
      </c>
      <c r="H402">
        <v>1</v>
      </c>
      <c r="I402" t="s">
        <v>19</v>
      </c>
      <c r="J402">
        <v>322</v>
      </c>
      <c r="K402" t="s">
        <v>143</v>
      </c>
      <c r="L402" s="13">
        <v>45534</v>
      </c>
      <c r="M402" t="s">
        <v>3741</v>
      </c>
      <c r="N402" t="s">
        <v>3742</v>
      </c>
      <c r="O402">
        <v>0.26</v>
      </c>
      <c r="P402" t="s">
        <v>146</v>
      </c>
    </row>
    <row r="403" spans="1:16" ht="15" customHeight="1" x14ac:dyDescent="0.4">
      <c r="A403" t="s">
        <v>15</v>
      </c>
      <c r="B403" t="s">
        <v>16</v>
      </c>
      <c r="C403" s="13">
        <v>45292</v>
      </c>
      <c r="D403" s="13">
        <v>45657</v>
      </c>
      <c r="E403" t="s">
        <v>17</v>
      </c>
      <c r="F403">
        <v>0</v>
      </c>
      <c r="G403" t="s">
        <v>18</v>
      </c>
      <c r="H403">
        <v>1</v>
      </c>
      <c r="I403" t="s">
        <v>19</v>
      </c>
      <c r="J403">
        <v>322</v>
      </c>
      <c r="K403" t="s">
        <v>143</v>
      </c>
      <c r="L403" s="13">
        <v>45565</v>
      </c>
      <c r="M403" t="s">
        <v>3744</v>
      </c>
      <c r="N403" t="s">
        <v>3745</v>
      </c>
      <c r="O403">
        <v>-0.17</v>
      </c>
      <c r="P403" t="s">
        <v>146</v>
      </c>
    </row>
    <row r="404" spans="1:16" ht="15" customHeight="1" x14ac:dyDescent="0.4">
      <c r="A404" t="s">
        <v>15</v>
      </c>
      <c r="B404" t="s">
        <v>16</v>
      </c>
      <c r="C404" s="13">
        <v>45292</v>
      </c>
      <c r="D404" s="13">
        <v>45657</v>
      </c>
      <c r="E404" t="s">
        <v>17</v>
      </c>
      <c r="F404">
        <v>0</v>
      </c>
      <c r="G404" t="s">
        <v>18</v>
      </c>
      <c r="H404">
        <v>1</v>
      </c>
      <c r="I404" t="s">
        <v>19</v>
      </c>
      <c r="J404">
        <v>322</v>
      </c>
      <c r="K404" t="s">
        <v>143</v>
      </c>
      <c r="L404" s="13">
        <v>45565</v>
      </c>
      <c r="M404" t="s">
        <v>3743</v>
      </c>
      <c r="N404" t="s">
        <v>3727</v>
      </c>
      <c r="O404">
        <v>692.87</v>
      </c>
      <c r="P404" t="s">
        <v>34</v>
      </c>
    </row>
    <row r="405" spans="1:16" ht="15" customHeight="1" x14ac:dyDescent="0.4">
      <c r="A405" t="s">
        <v>15</v>
      </c>
      <c r="B405" t="s">
        <v>16</v>
      </c>
      <c r="C405" s="13">
        <v>45292</v>
      </c>
      <c r="D405" s="13">
        <v>45657</v>
      </c>
      <c r="E405" t="s">
        <v>17</v>
      </c>
      <c r="F405">
        <v>0</v>
      </c>
      <c r="G405" t="s">
        <v>18</v>
      </c>
      <c r="H405">
        <v>1</v>
      </c>
      <c r="I405" t="s">
        <v>19</v>
      </c>
      <c r="J405">
        <v>322</v>
      </c>
      <c r="K405" t="s">
        <v>143</v>
      </c>
      <c r="L405" s="13">
        <v>45590</v>
      </c>
      <c r="M405" t="s">
        <v>3746</v>
      </c>
      <c r="N405" t="s">
        <v>3730</v>
      </c>
      <c r="O405">
        <v>694.61</v>
      </c>
      <c r="P405" t="s">
        <v>34</v>
      </c>
    </row>
    <row r="406" spans="1:16" ht="15" customHeight="1" x14ac:dyDescent="0.4">
      <c r="A406" t="s">
        <v>15</v>
      </c>
      <c r="B406" t="s">
        <v>16</v>
      </c>
      <c r="C406" s="13">
        <v>45292</v>
      </c>
      <c r="D406" s="13">
        <v>45657</v>
      </c>
      <c r="E406" t="s">
        <v>17</v>
      </c>
      <c r="F406">
        <v>0</v>
      </c>
      <c r="G406" t="s">
        <v>18</v>
      </c>
      <c r="H406">
        <v>1</v>
      </c>
      <c r="I406" t="s">
        <v>19</v>
      </c>
      <c r="J406">
        <v>322</v>
      </c>
      <c r="K406" t="s">
        <v>143</v>
      </c>
      <c r="L406" s="13">
        <v>45604</v>
      </c>
      <c r="M406" t="s">
        <v>3747</v>
      </c>
      <c r="N406" t="s">
        <v>3748</v>
      </c>
      <c r="O406">
        <v>0.09</v>
      </c>
      <c r="P406" t="s">
        <v>146</v>
      </c>
    </row>
    <row r="407" spans="1:16" ht="15" customHeight="1" x14ac:dyDescent="0.4">
      <c r="A407" t="s">
        <v>15</v>
      </c>
      <c r="B407" t="s">
        <v>16</v>
      </c>
      <c r="C407" s="13">
        <v>45292</v>
      </c>
      <c r="D407" s="13">
        <v>45657</v>
      </c>
      <c r="E407" t="s">
        <v>17</v>
      </c>
      <c r="F407">
        <v>0</v>
      </c>
      <c r="G407" t="s">
        <v>18</v>
      </c>
      <c r="H407">
        <v>1</v>
      </c>
      <c r="I407" t="s">
        <v>19</v>
      </c>
      <c r="J407">
        <v>322</v>
      </c>
      <c r="K407" t="s">
        <v>143</v>
      </c>
      <c r="L407" s="13">
        <v>45624</v>
      </c>
      <c r="M407" t="s">
        <v>3749</v>
      </c>
      <c r="N407" t="s">
        <v>3733</v>
      </c>
      <c r="O407">
        <v>667.63</v>
      </c>
      <c r="P407" t="s">
        <v>34</v>
      </c>
    </row>
    <row r="408" spans="1:16" ht="15" customHeight="1" x14ac:dyDescent="0.4">
      <c r="A408" t="s">
        <v>15</v>
      </c>
      <c r="B408" t="s">
        <v>16</v>
      </c>
      <c r="C408" s="13">
        <v>45292</v>
      </c>
      <c r="D408" s="13">
        <v>45657</v>
      </c>
      <c r="E408" t="s">
        <v>17</v>
      </c>
      <c r="F408">
        <v>0</v>
      </c>
      <c r="G408" t="s">
        <v>18</v>
      </c>
      <c r="H408">
        <v>1</v>
      </c>
      <c r="I408" t="s">
        <v>19</v>
      </c>
      <c r="J408">
        <v>322</v>
      </c>
      <c r="K408" t="s">
        <v>143</v>
      </c>
      <c r="L408" s="13">
        <v>45626</v>
      </c>
      <c r="M408" t="s">
        <v>3750</v>
      </c>
      <c r="N408" t="s">
        <v>3751</v>
      </c>
      <c r="O408">
        <v>7.0000000000000007E-2</v>
      </c>
      <c r="P408" t="s">
        <v>146</v>
      </c>
    </row>
    <row r="409" spans="1:16" ht="15" customHeight="1" x14ac:dyDescent="0.4">
      <c r="A409" t="s">
        <v>15</v>
      </c>
      <c r="B409" t="s">
        <v>16</v>
      </c>
      <c r="C409" s="13">
        <v>45292</v>
      </c>
      <c r="D409" s="13">
        <v>45657</v>
      </c>
      <c r="E409" t="s">
        <v>17</v>
      </c>
      <c r="F409">
        <v>0</v>
      </c>
      <c r="G409" t="s">
        <v>18</v>
      </c>
      <c r="H409">
        <v>1</v>
      </c>
      <c r="I409" t="s">
        <v>19</v>
      </c>
      <c r="J409">
        <v>322</v>
      </c>
      <c r="K409" t="s">
        <v>143</v>
      </c>
      <c r="L409" s="13">
        <v>45649</v>
      </c>
      <c r="M409" t="s">
        <v>3752</v>
      </c>
      <c r="N409" t="s">
        <v>3736</v>
      </c>
      <c r="O409">
        <v>2479.92</v>
      </c>
      <c r="P409" t="s">
        <v>34</v>
      </c>
    </row>
    <row r="410" spans="1:16" ht="15" customHeight="1" x14ac:dyDescent="0.4">
      <c r="A410" t="s">
        <v>15</v>
      </c>
      <c r="B410" t="s">
        <v>16</v>
      </c>
      <c r="C410" s="13">
        <v>45292</v>
      </c>
      <c r="D410" s="13">
        <v>45657</v>
      </c>
      <c r="E410" t="s">
        <v>17</v>
      </c>
      <c r="F410">
        <v>0</v>
      </c>
      <c r="G410" t="s">
        <v>18</v>
      </c>
      <c r="H410">
        <v>1</v>
      </c>
      <c r="I410" t="s">
        <v>19</v>
      </c>
      <c r="J410">
        <v>323</v>
      </c>
      <c r="K410" t="s">
        <v>181</v>
      </c>
      <c r="L410" s="13">
        <v>45320</v>
      </c>
      <c r="M410" t="s">
        <v>3379</v>
      </c>
      <c r="N410" t="s">
        <v>3345</v>
      </c>
      <c r="O410">
        <v>144.44999999999999</v>
      </c>
      <c r="P410" t="s">
        <v>34</v>
      </c>
    </row>
    <row r="411" spans="1:16" ht="15" customHeight="1" x14ac:dyDescent="0.4">
      <c r="A411" t="s">
        <v>15</v>
      </c>
      <c r="B411" t="s">
        <v>16</v>
      </c>
      <c r="C411" s="13">
        <v>45292</v>
      </c>
      <c r="D411" s="13">
        <v>45657</v>
      </c>
      <c r="E411" t="s">
        <v>17</v>
      </c>
      <c r="F411">
        <v>0</v>
      </c>
      <c r="G411" t="s">
        <v>18</v>
      </c>
      <c r="H411">
        <v>1</v>
      </c>
      <c r="I411" t="s">
        <v>19</v>
      </c>
      <c r="J411">
        <v>323</v>
      </c>
      <c r="K411" t="s">
        <v>181</v>
      </c>
      <c r="L411" s="13">
        <v>45344</v>
      </c>
      <c r="M411" t="s">
        <v>3380</v>
      </c>
      <c r="N411" t="s">
        <v>3348</v>
      </c>
      <c r="O411">
        <v>144.44999999999999</v>
      </c>
      <c r="P411" t="s">
        <v>34</v>
      </c>
    </row>
    <row r="412" spans="1:16" ht="15" customHeight="1" x14ac:dyDescent="0.4">
      <c r="A412" t="s">
        <v>15</v>
      </c>
      <c r="B412" t="s">
        <v>16</v>
      </c>
      <c r="C412" s="13">
        <v>45292</v>
      </c>
      <c r="D412" s="13">
        <v>45657</v>
      </c>
      <c r="E412" t="s">
        <v>17</v>
      </c>
      <c r="F412">
        <v>0</v>
      </c>
      <c r="G412" t="s">
        <v>18</v>
      </c>
      <c r="H412">
        <v>1</v>
      </c>
      <c r="I412" t="s">
        <v>19</v>
      </c>
      <c r="J412">
        <v>323</v>
      </c>
      <c r="K412" t="s">
        <v>181</v>
      </c>
      <c r="L412" s="13">
        <v>45378</v>
      </c>
      <c r="M412" t="s">
        <v>3381</v>
      </c>
      <c r="N412" t="s">
        <v>3351</v>
      </c>
      <c r="O412">
        <v>153.79</v>
      </c>
      <c r="P412" t="s">
        <v>34</v>
      </c>
    </row>
    <row r="413" spans="1:16" ht="15" customHeight="1" x14ac:dyDescent="0.4">
      <c r="A413" t="s">
        <v>15</v>
      </c>
      <c r="B413" t="s">
        <v>16</v>
      </c>
      <c r="C413" s="13">
        <v>45292</v>
      </c>
      <c r="D413" s="13">
        <v>45657</v>
      </c>
      <c r="E413" t="s">
        <v>17</v>
      </c>
      <c r="F413">
        <v>0</v>
      </c>
      <c r="G413" t="s">
        <v>18</v>
      </c>
      <c r="H413">
        <v>1</v>
      </c>
      <c r="I413" t="s">
        <v>19</v>
      </c>
      <c r="J413">
        <v>323</v>
      </c>
      <c r="K413" t="s">
        <v>181</v>
      </c>
      <c r="L413" s="13">
        <v>45407</v>
      </c>
      <c r="M413" t="s">
        <v>3382</v>
      </c>
      <c r="N413" t="s">
        <v>3354</v>
      </c>
      <c r="O413">
        <v>153.74</v>
      </c>
      <c r="P413" t="s">
        <v>34</v>
      </c>
    </row>
    <row r="414" spans="1:16" ht="15" customHeight="1" x14ac:dyDescent="0.4">
      <c r="A414" t="s">
        <v>15</v>
      </c>
      <c r="B414" t="s">
        <v>16</v>
      </c>
      <c r="C414" s="13">
        <v>45292</v>
      </c>
      <c r="D414" s="13">
        <v>45657</v>
      </c>
      <c r="E414" t="s">
        <v>17</v>
      </c>
      <c r="F414">
        <v>0</v>
      </c>
      <c r="G414" t="s">
        <v>18</v>
      </c>
      <c r="H414">
        <v>1</v>
      </c>
      <c r="I414" t="s">
        <v>19</v>
      </c>
      <c r="J414">
        <v>323</v>
      </c>
      <c r="K414" t="s">
        <v>181</v>
      </c>
      <c r="L414" s="13">
        <v>45435</v>
      </c>
      <c r="M414" t="s">
        <v>3383</v>
      </c>
      <c r="N414" t="s">
        <v>3357</v>
      </c>
      <c r="O414">
        <v>164.26</v>
      </c>
      <c r="P414" t="s">
        <v>34</v>
      </c>
    </row>
    <row r="415" spans="1:16" ht="15" customHeight="1" x14ac:dyDescent="0.4">
      <c r="A415" t="s">
        <v>15</v>
      </c>
      <c r="B415" t="s">
        <v>16</v>
      </c>
      <c r="C415" s="13">
        <v>45292</v>
      </c>
      <c r="D415" s="13">
        <v>45657</v>
      </c>
      <c r="E415" t="s">
        <v>17</v>
      </c>
      <c r="F415">
        <v>0</v>
      </c>
      <c r="G415" t="s">
        <v>18</v>
      </c>
      <c r="H415">
        <v>1</v>
      </c>
      <c r="I415" t="s">
        <v>19</v>
      </c>
      <c r="J415">
        <v>323</v>
      </c>
      <c r="K415" t="s">
        <v>181</v>
      </c>
      <c r="L415" s="13">
        <v>45470</v>
      </c>
      <c r="M415" t="s">
        <v>3384</v>
      </c>
      <c r="N415" t="s">
        <v>3360</v>
      </c>
      <c r="O415">
        <v>171.54</v>
      </c>
      <c r="P415" t="s">
        <v>34</v>
      </c>
    </row>
    <row r="416" spans="1:16" ht="15" customHeight="1" x14ac:dyDescent="0.4">
      <c r="A416" t="s">
        <v>15</v>
      </c>
      <c r="B416" t="s">
        <v>16</v>
      </c>
      <c r="C416" s="13">
        <v>45292</v>
      </c>
      <c r="D416" s="13">
        <v>45657</v>
      </c>
      <c r="E416" t="s">
        <v>17</v>
      </c>
      <c r="F416">
        <v>0</v>
      </c>
      <c r="G416" t="s">
        <v>18</v>
      </c>
      <c r="H416">
        <v>1</v>
      </c>
      <c r="I416" t="s">
        <v>19</v>
      </c>
      <c r="J416">
        <v>323</v>
      </c>
      <c r="K416" t="s">
        <v>181</v>
      </c>
      <c r="L416" s="13">
        <v>45499</v>
      </c>
      <c r="M416" t="s">
        <v>3753</v>
      </c>
      <c r="N416" t="s">
        <v>3721</v>
      </c>
      <c r="O416">
        <v>166.02</v>
      </c>
      <c r="P416" t="s">
        <v>34</v>
      </c>
    </row>
    <row r="417" spans="1:16" ht="15" customHeight="1" x14ac:dyDescent="0.4">
      <c r="A417" t="s">
        <v>15</v>
      </c>
      <c r="B417" t="s">
        <v>16</v>
      </c>
      <c r="C417" s="13">
        <v>45292</v>
      </c>
      <c r="D417" s="13">
        <v>45657</v>
      </c>
      <c r="E417" t="s">
        <v>17</v>
      </c>
      <c r="F417">
        <v>0</v>
      </c>
      <c r="G417" t="s">
        <v>18</v>
      </c>
      <c r="H417">
        <v>1</v>
      </c>
      <c r="I417" t="s">
        <v>19</v>
      </c>
      <c r="J417">
        <v>323</v>
      </c>
      <c r="K417" t="s">
        <v>181</v>
      </c>
      <c r="L417" s="13">
        <v>45527</v>
      </c>
      <c r="M417" t="s">
        <v>3754</v>
      </c>
      <c r="N417" t="s">
        <v>3724</v>
      </c>
      <c r="O417">
        <v>164.22</v>
      </c>
      <c r="P417" t="s">
        <v>34</v>
      </c>
    </row>
    <row r="418" spans="1:16" ht="15" customHeight="1" x14ac:dyDescent="0.4">
      <c r="A418" t="s">
        <v>15</v>
      </c>
      <c r="B418" t="s">
        <v>16</v>
      </c>
      <c r="C418" s="13">
        <v>45292</v>
      </c>
      <c r="D418" s="13">
        <v>45657</v>
      </c>
      <c r="E418" t="s">
        <v>17</v>
      </c>
      <c r="F418">
        <v>0</v>
      </c>
      <c r="G418" t="s">
        <v>18</v>
      </c>
      <c r="H418">
        <v>1</v>
      </c>
      <c r="I418" t="s">
        <v>19</v>
      </c>
      <c r="J418">
        <v>323</v>
      </c>
      <c r="K418" t="s">
        <v>181</v>
      </c>
      <c r="L418" s="13">
        <v>45565</v>
      </c>
      <c r="M418" t="s">
        <v>3755</v>
      </c>
      <c r="N418" t="s">
        <v>3727</v>
      </c>
      <c r="O418">
        <v>164.08</v>
      </c>
      <c r="P418" t="s">
        <v>34</v>
      </c>
    </row>
    <row r="419" spans="1:16" ht="15" customHeight="1" x14ac:dyDescent="0.4">
      <c r="A419" t="s">
        <v>15</v>
      </c>
      <c r="B419" t="s">
        <v>16</v>
      </c>
      <c r="C419" s="13">
        <v>45292</v>
      </c>
      <c r="D419" s="13">
        <v>45657</v>
      </c>
      <c r="E419" t="s">
        <v>17</v>
      </c>
      <c r="F419">
        <v>0</v>
      </c>
      <c r="G419" t="s">
        <v>18</v>
      </c>
      <c r="H419">
        <v>1</v>
      </c>
      <c r="I419" t="s">
        <v>19</v>
      </c>
      <c r="J419">
        <v>323</v>
      </c>
      <c r="K419" t="s">
        <v>181</v>
      </c>
      <c r="L419" s="13">
        <v>45590</v>
      </c>
      <c r="M419" t="s">
        <v>3756</v>
      </c>
      <c r="N419" t="s">
        <v>3730</v>
      </c>
      <c r="O419">
        <v>164.49</v>
      </c>
      <c r="P419" t="s">
        <v>34</v>
      </c>
    </row>
    <row r="420" spans="1:16" ht="15" customHeight="1" x14ac:dyDescent="0.4">
      <c r="A420" t="s">
        <v>15</v>
      </c>
      <c r="B420" t="s">
        <v>16</v>
      </c>
      <c r="C420" s="13">
        <v>45292</v>
      </c>
      <c r="D420" s="13">
        <v>45657</v>
      </c>
      <c r="E420" t="s">
        <v>17</v>
      </c>
      <c r="F420">
        <v>0</v>
      </c>
      <c r="G420" t="s">
        <v>18</v>
      </c>
      <c r="H420">
        <v>1</v>
      </c>
      <c r="I420" t="s">
        <v>19</v>
      </c>
      <c r="J420">
        <v>323</v>
      </c>
      <c r="K420" t="s">
        <v>181</v>
      </c>
      <c r="L420" s="13">
        <v>45624</v>
      </c>
      <c r="M420" t="s">
        <v>3757</v>
      </c>
      <c r="N420" t="s">
        <v>3733</v>
      </c>
      <c r="O420">
        <v>158.22999999999999</v>
      </c>
      <c r="P420" t="s">
        <v>34</v>
      </c>
    </row>
    <row r="421" spans="1:16" ht="15" customHeight="1" x14ac:dyDescent="0.4">
      <c r="A421" t="s">
        <v>15</v>
      </c>
      <c r="B421" t="s">
        <v>16</v>
      </c>
      <c r="C421" s="13">
        <v>45292</v>
      </c>
      <c r="D421" s="13">
        <v>45657</v>
      </c>
      <c r="E421" t="s">
        <v>17</v>
      </c>
      <c r="F421">
        <v>0</v>
      </c>
      <c r="G421" t="s">
        <v>18</v>
      </c>
      <c r="H421">
        <v>1</v>
      </c>
      <c r="I421" t="s">
        <v>19</v>
      </c>
      <c r="J421">
        <v>323</v>
      </c>
      <c r="K421" t="s">
        <v>181</v>
      </c>
      <c r="L421" s="13">
        <v>45649</v>
      </c>
      <c r="M421" t="s">
        <v>3758</v>
      </c>
      <c r="N421" t="s">
        <v>3736</v>
      </c>
      <c r="O421">
        <v>581.54999999999995</v>
      </c>
      <c r="P421" t="s">
        <v>34</v>
      </c>
    </row>
    <row r="422" spans="1:16" ht="15" customHeight="1" x14ac:dyDescent="0.4">
      <c r="A422" t="s">
        <v>15</v>
      </c>
      <c r="B422" t="s">
        <v>16</v>
      </c>
      <c r="C422" s="13">
        <v>45292</v>
      </c>
      <c r="D422" s="13">
        <v>45657</v>
      </c>
      <c r="E422" t="s">
        <v>17</v>
      </c>
      <c r="F422">
        <v>0</v>
      </c>
      <c r="G422" t="s">
        <v>18</v>
      </c>
      <c r="H422">
        <v>1</v>
      </c>
      <c r="I422" t="s">
        <v>19</v>
      </c>
      <c r="J422">
        <v>326</v>
      </c>
      <c r="K422" t="s">
        <v>199</v>
      </c>
      <c r="L422" s="13">
        <v>45657</v>
      </c>
      <c r="M422" t="s">
        <v>3759</v>
      </c>
      <c r="N422" t="s">
        <v>753</v>
      </c>
      <c r="O422">
        <v>3438</v>
      </c>
      <c r="P422" t="s">
        <v>202</v>
      </c>
    </row>
    <row r="423" spans="1:16" ht="15" customHeight="1" x14ac:dyDescent="0.4">
      <c r="A423" t="s">
        <v>15</v>
      </c>
      <c r="B423" t="s">
        <v>16</v>
      </c>
      <c r="C423" s="13">
        <v>45292</v>
      </c>
      <c r="D423" s="13">
        <v>45657</v>
      </c>
      <c r="E423" t="s">
        <v>17</v>
      </c>
      <c r="F423">
        <v>0</v>
      </c>
      <c r="G423" t="s">
        <v>18</v>
      </c>
      <c r="H423">
        <v>1</v>
      </c>
      <c r="I423" t="s">
        <v>19</v>
      </c>
      <c r="J423">
        <v>327</v>
      </c>
      <c r="K423" t="s">
        <v>754</v>
      </c>
      <c r="L423" s="13">
        <v>45352</v>
      </c>
      <c r="M423" t="s">
        <v>3385</v>
      </c>
      <c r="N423" t="s">
        <v>3386</v>
      </c>
      <c r="O423">
        <v>44.44</v>
      </c>
      <c r="P423" t="s">
        <v>3387</v>
      </c>
    </row>
    <row r="424" spans="1:16" ht="15" customHeight="1" x14ac:dyDescent="0.4">
      <c r="A424" t="s">
        <v>15</v>
      </c>
      <c r="B424" t="s">
        <v>16</v>
      </c>
      <c r="C424" s="13">
        <v>45292</v>
      </c>
      <c r="D424" s="13">
        <v>45657</v>
      </c>
      <c r="E424" t="s">
        <v>17</v>
      </c>
      <c r="F424">
        <v>0</v>
      </c>
      <c r="G424" t="s">
        <v>18</v>
      </c>
      <c r="H424">
        <v>1</v>
      </c>
      <c r="I424" t="s">
        <v>19</v>
      </c>
      <c r="J424">
        <v>327</v>
      </c>
      <c r="K424" t="s">
        <v>754</v>
      </c>
      <c r="L424" s="13">
        <v>45657</v>
      </c>
      <c r="M424" t="s">
        <v>3760</v>
      </c>
      <c r="N424" t="s">
        <v>106</v>
      </c>
      <c r="O424">
        <v>50.96</v>
      </c>
      <c r="P424" t="s">
        <v>756</v>
      </c>
    </row>
    <row r="425" spans="1:16" ht="15" customHeight="1" x14ac:dyDescent="0.4">
      <c r="A425" t="s">
        <v>15</v>
      </c>
      <c r="B425" t="s">
        <v>16</v>
      </c>
      <c r="C425" s="13">
        <v>45292</v>
      </c>
      <c r="D425" s="13">
        <v>45657</v>
      </c>
      <c r="E425" t="s">
        <v>17</v>
      </c>
      <c r="F425">
        <v>0</v>
      </c>
      <c r="G425" t="s">
        <v>18</v>
      </c>
      <c r="H425">
        <v>1</v>
      </c>
      <c r="I425" t="s">
        <v>19</v>
      </c>
      <c r="J425">
        <v>328</v>
      </c>
      <c r="K425" t="s">
        <v>1154</v>
      </c>
      <c r="L425" s="13">
        <v>45617</v>
      </c>
      <c r="M425" t="s">
        <v>3761</v>
      </c>
      <c r="N425" t="s">
        <v>3762</v>
      </c>
      <c r="O425">
        <v>330</v>
      </c>
      <c r="P425" t="s">
        <v>1157</v>
      </c>
    </row>
    <row r="426" spans="1:16" ht="15" customHeight="1" x14ac:dyDescent="0.4">
      <c r="A426" t="s">
        <v>15</v>
      </c>
      <c r="B426" t="s">
        <v>16</v>
      </c>
      <c r="C426" s="13">
        <v>45292</v>
      </c>
      <c r="D426" s="13">
        <v>45657</v>
      </c>
      <c r="E426" t="s">
        <v>17</v>
      </c>
      <c r="F426">
        <v>0</v>
      </c>
      <c r="G426" t="s">
        <v>18</v>
      </c>
      <c r="H426">
        <v>1</v>
      </c>
      <c r="I426" t="s">
        <v>19</v>
      </c>
      <c r="J426">
        <v>337</v>
      </c>
      <c r="K426" t="s">
        <v>203</v>
      </c>
      <c r="L426" s="13">
        <v>45320</v>
      </c>
      <c r="M426" t="s">
        <v>3388</v>
      </c>
      <c r="N426" t="s">
        <v>3345</v>
      </c>
      <c r="O426">
        <v>22.02</v>
      </c>
      <c r="P426" t="s">
        <v>34</v>
      </c>
    </row>
    <row r="427" spans="1:16" ht="15" customHeight="1" x14ac:dyDescent="0.4">
      <c r="A427" t="s">
        <v>15</v>
      </c>
      <c r="B427" t="s">
        <v>16</v>
      </c>
      <c r="C427" s="13">
        <v>45292</v>
      </c>
      <c r="D427" s="13">
        <v>45657</v>
      </c>
      <c r="E427" t="s">
        <v>17</v>
      </c>
      <c r="F427">
        <v>0</v>
      </c>
      <c r="G427" t="s">
        <v>18</v>
      </c>
      <c r="H427">
        <v>1</v>
      </c>
      <c r="I427" t="s">
        <v>19</v>
      </c>
      <c r="J427">
        <v>337</v>
      </c>
      <c r="K427" t="s">
        <v>203</v>
      </c>
      <c r="L427" s="13">
        <v>45320</v>
      </c>
      <c r="M427" t="s">
        <v>3389</v>
      </c>
      <c r="N427" t="s">
        <v>3345</v>
      </c>
      <c r="O427">
        <v>45.87</v>
      </c>
      <c r="P427" t="s">
        <v>34</v>
      </c>
    </row>
    <row r="428" spans="1:16" ht="15" customHeight="1" x14ac:dyDescent="0.4">
      <c r="A428" t="s">
        <v>15</v>
      </c>
      <c r="B428" t="s">
        <v>16</v>
      </c>
      <c r="C428" s="13">
        <v>45292</v>
      </c>
      <c r="D428" s="13">
        <v>45657</v>
      </c>
      <c r="E428" t="s">
        <v>17</v>
      </c>
      <c r="F428">
        <v>0</v>
      </c>
      <c r="G428" t="s">
        <v>18</v>
      </c>
      <c r="H428">
        <v>1</v>
      </c>
      <c r="I428" t="s">
        <v>19</v>
      </c>
      <c r="J428">
        <v>337</v>
      </c>
      <c r="K428" t="s">
        <v>203</v>
      </c>
      <c r="L428" s="13">
        <v>45322</v>
      </c>
      <c r="M428" t="s">
        <v>3390</v>
      </c>
      <c r="N428" t="s">
        <v>106</v>
      </c>
      <c r="O428">
        <v>-0.01</v>
      </c>
      <c r="P428" t="s">
        <v>1160</v>
      </c>
    </row>
    <row r="429" spans="1:16" ht="15" customHeight="1" x14ac:dyDescent="0.4">
      <c r="A429" t="s">
        <v>15</v>
      </c>
      <c r="B429" t="s">
        <v>16</v>
      </c>
      <c r="C429" s="13">
        <v>45292</v>
      </c>
      <c r="D429" s="13">
        <v>45657</v>
      </c>
      <c r="E429" t="s">
        <v>17</v>
      </c>
      <c r="F429">
        <v>0</v>
      </c>
      <c r="G429" t="s">
        <v>18</v>
      </c>
      <c r="H429">
        <v>1</v>
      </c>
      <c r="I429" t="s">
        <v>19</v>
      </c>
      <c r="J429">
        <v>337</v>
      </c>
      <c r="K429" t="s">
        <v>203</v>
      </c>
      <c r="L429" s="13">
        <v>45322</v>
      </c>
      <c r="M429" t="s">
        <v>3391</v>
      </c>
      <c r="N429" t="s">
        <v>106</v>
      </c>
      <c r="O429">
        <v>-0.01</v>
      </c>
      <c r="P429" t="s">
        <v>205</v>
      </c>
    </row>
    <row r="430" spans="1:16" ht="15" customHeight="1" x14ac:dyDescent="0.4">
      <c r="A430" t="s">
        <v>15</v>
      </c>
      <c r="B430" t="s">
        <v>16</v>
      </c>
      <c r="C430" s="13">
        <v>45292</v>
      </c>
      <c r="D430" s="13">
        <v>45657</v>
      </c>
      <c r="E430" t="s">
        <v>17</v>
      </c>
      <c r="F430">
        <v>0</v>
      </c>
      <c r="G430" t="s">
        <v>18</v>
      </c>
      <c r="H430">
        <v>1</v>
      </c>
      <c r="I430" t="s">
        <v>19</v>
      </c>
      <c r="J430">
        <v>337</v>
      </c>
      <c r="K430" t="s">
        <v>203</v>
      </c>
      <c r="L430" s="13">
        <v>45344</v>
      </c>
      <c r="M430" t="s">
        <v>3392</v>
      </c>
      <c r="N430" t="s">
        <v>3348</v>
      </c>
      <c r="O430">
        <v>45.87</v>
      </c>
      <c r="P430" t="s">
        <v>34</v>
      </c>
    </row>
    <row r="431" spans="1:16" ht="15" customHeight="1" x14ac:dyDescent="0.4">
      <c r="A431" t="s">
        <v>15</v>
      </c>
      <c r="B431" t="s">
        <v>16</v>
      </c>
      <c r="C431" s="13">
        <v>45292</v>
      </c>
      <c r="D431" s="13">
        <v>45657</v>
      </c>
      <c r="E431" t="s">
        <v>17</v>
      </c>
      <c r="F431">
        <v>0</v>
      </c>
      <c r="G431" t="s">
        <v>18</v>
      </c>
      <c r="H431">
        <v>1</v>
      </c>
      <c r="I431" t="s">
        <v>19</v>
      </c>
      <c r="J431">
        <v>337</v>
      </c>
      <c r="K431" t="s">
        <v>203</v>
      </c>
      <c r="L431" s="13">
        <v>45344</v>
      </c>
      <c r="M431" t="s">
        <v>3393</v>
      </c>
      <c r="N431" t="s">
        <v>3348</v>
      </c>
      <c r="O431">
        <v>22.02</v>
      </c>
      <c r="P431" t="s">
        <v>34</v>
      </c>
    </row>
    <row r="432" spans="1:16" ht="15" customHeight="1" x14ac:dyDescent="0.4">
      <c r="A432" t="s">
        <v>15</v>
      </c>
      <c r="B432" t="s">
        <v>16</v>
      </c>
      <c r="C432" s="13">
        <v>45292</v>
      </c>
      <c r="D432" s="13">
        <v>45657</v>
      </c>
      <c r="E432" t="s">
        <v>17</v>
      </c>
      <c r="F432">
        <v>0</v>
      </c>
      <c r="G432" t="s">
        <v>18</v>
      </c>
      <c r="H432">
        <v>1</v>
      </c>
      <c r="I432" t="s">
        <v>19</v>
      </c>
      <c r="J432">
        <v>337</v>
      </c>
      <c r="K432" t="s">
        <v>203</v>
      </c>
      <c r="L432" s="13">
        <v>45351</v>
      </c>
      <c r="M432" t="s">
        <v>3394</v>
      </c>
      <c r="N432" t="s">
        <v>106</v>
      </c>
      <c r="O432">
        <v>-0.01</v>
      </c>
      <c r="P432" t="s">
        <v>1160</v>
      </c>
    </row>
    <row r="433" spans="1:16" ht="15" customHeight="1" x14ac:dyDescent="0.4">
      <c r="A433" t="s">
        <v>15</v>
      </c>
      <c r="B433" t="s">
        <v>16</v>
      </c>
      <c r="C433" s="13">
        <v>45292</v>
      </c>
      <c r="D433" s="13">
        <v>45657</v>
      </c>
      <c r="E433" t="s">
        <v>17</v>
      </c>
      <c r="F433">
        <v>0</v>
      </c>
      <c r="G433" t="s">
        <v>18</v>
      </c>
      <c r="H433">
        <v>1</v>
      </c>
      <c r="I433" t="s">
        <v>19</v>
      </c>
      <c r="J433">
        <v>337</v>
      </c>
      <c r="K433" t="s">
        <v>203</v>
      </c>
      <c r="L433" s="13">
        <v>45351</v>
      </c>
      <c r="M433" t="s">
        <v>3395</v>
      </c>
      <c r="N433" t="s">
        <v>106</v>
      </c>
      <c r="O433">
        <v>-0.01</v>
      </c>
      <c r="P433" t="s">
        <v>205</v>
      </c>
    </row>
    <row r="434" spans="1:16" ht="15" customHeight="1" x14ac:dyDescent="0.4">
      <c r="A434" t="s">
        <v>15</v>
      </c>
      <c r="B434" t="s">
        <v>16</v>
      </c>
      <c r="C434" s="13">
        <v>45292</v>
      </c>
      <c r="D434" s="13">
        <v>45657</v>
      </c>
      <c r="E434" t="s">
        <v>17</v>
      </c>
      <c r="F434">
        <v>0</v>
      </c>
      <c r="G434" t="s">
        <v>18</v>
      </c>
      <c r="H434">
        <v>1</v>
      </c>
      <c r="I434" t="s">
        <v>19</v>
      </c>
      <c r="J434">
        <v>337</v>
      </c>
      <c r="K434" t="s">
        <v>203</v>
      </c>
      <c r="L434" s="13">
        <v>45378</v>
      </c>
      <c r="M434" t="s">
        <v>3397</v>
      </c>
      <c r="N434" t="s">
        <v>3351</v>
      </c>
      <c r="O434">
        <v>45.87</v>
      </c>
      <c r="P434" t="s">
        <v>34</v>
      </c>
    </row>
    <row r="435" spans="1:16" ht="15" customHeight="1" x14ac:dyDescent="0.4">
      <c r="A435" t="s">
        <v>15</v>
      </c>
      <c r="B435" t="s">
        <v>16</v>
      </c>
      <c r="C435" s="13">
        <v>45292</v>
      </c>
      <c r="D435" s="13">
        <v>45657</v>
      </c>
      <c r="E435" t="s">
        <v>17</v>
      </c>
      <c r="F435">
        <v>0</v>
      </c>
      <c r="G435" t="s">
        <v>18</v>
      </c>
      <c r="H435">
        <v>1</v>
      </c>
      <c r="I435" t="s">
        <v>19</v>
      </c>
      <c r="J435">
        <v>337</v>
      </c>
      <c r="K435" t="s">
        <v>203</v>
      </c>
      <c r="L435" s="13">
        <v>45378</v>
      </c>
      <c r="M435" t="s">
        <v>3396</v>
      </c>
      <c r="N435" t="s">
        <v>3351</v>
      </c>
      <c r="O435">
        <v>22.5</v>
      </c>
      <c r="P435" t="s">
        <v>34</v>
      </c>
    </row>
    <row r="436" spans="1:16" ht="15" customHeight="1" x14ac:dyDescent="0.4">
      <c r="A436" t="s">
        <v>15</v>
      </c>
      <c r="B436" t="s">
        <v>16</v>
      </c>
      <c r="C436" s="13">
        <v>45292</v>
      </c>
      <c r="D436" s="13">
        <v>45657</v>
      </c>
      <c r="E436" t="s">
        <v>17</v>
      </c>
      <c r="F436">
        <v>0</v>
      </c>
      <c r="G436" t="s">
        <v>18</v>
      </c>
      <c r="H436">
        <v>1</v>
      </c>
      <c r="I436" t="s">
        <v>19</v>
      </c>
      <c r="J436">
        <v>337</v>
      </c>
      <c r="K436" t="s">
        <v>203</v>
      </c>
      <c r="L436" s="13">
        <v>45382</v>
      </c>
      <c r="M436" t="s">
        <v>3398</v>
      </c>
      <c r="N436" t="s">
        <v>106</v>
      </c>
      <c r="O436">
        <v>-0.01</v>
      </c>
      <c r="P436" t="s">
        <v>1160</v>
      </c>
    </row>
    <row r="437" spans="1:16" ht="15" customHeight="1" x14ac:dyDescent="0.4">
      <c r="A437" t="s">
        <v>15</v>
      </c>
      <c r="B437" t="s">
        <v>16</v>
      </c>
      <c r="C437" s="13">
        <v>45292</v>
      </c>
      <c r="D437" s="13">
        <v>45657</v>
      </c>
      <c r="E437" t="s">
        <v>17</v>
      </c>
      <c r="F437">
        <v>0</v>
      </c>
      <c r="G437" t="s">
        <v>18</v>
      </c>
      <c r="H437">
        <v>1</v>
      </c>
      <c r="I437" t="s">
        <v>19</v>
      </c>
      <c r="J437">
        <v>337</v>
      </c>
      <c r="K437" t="s">
        <v>203</v>
      </c>
      <c r="L437" s="13">
        <v>45407</v>
      </c>
      <c r="M437" t="s">
        <v>3400</v>
      </c>
      <c r="N437" t="s">
        <v>3354</v>
      </c>
      <c r="O437">
        <v>45.87</v>
      </c>
      <c r="P437" t="s">
        <v>34</v>
      </c>
    </row>
    <row r="438" spans="1:16" ht="15" customHeight="1" x14ac:dyDescent="0.4">
      <c r="A438" t="s">
        <v>15</v>
      </c>
      <c r="B438" t="s">
        <v>16</v>
      </c>
      <c r="C438" s="13">
        <v>45292</v>
      </c>
      <c r="D438" s="13">
        <v>45657</v>
      </c>
      <c r="E438" t="s">
        <v>17</v>
      </c>
      <c r="F438">
        <v>0</v>
      </c>
      <c r="G438" t="s">
        <v>18</v>
      </c>
      <c r="H438">
        <v>1</v>
      </c>
      <c r="I438" t="s">
        <v>19</v>
      </c>
      <c r="J438">
        <v>337</v>
      </c>
      <c r="K438" t="s">
        <v>203</v>
      </c>
      <c r="L438" s="13">
        <v>45407</v>
      </c>
      <c r="M438" t="s">
        <v>3399</v>
      </c>
      <c r="N438" t="s">
        <v>3354</v>
      </c>
      <c r="O438">
        <v>22.5</v>
      </c>
      <c r="P438" t="s">
        <v>34</v>
      </c>
    </row>
    <row r="439" spans="1:16" ht="15" customHeight="1" x14ac:dyDescent="0.4">
      <c r="A439" t="s">
        <v>15</v>
      </c>
      <c r="B439" t="s">
        <v>16</v>
      </c>
      <c r="C439" s="13">
        <v>45292</v>
      </c>
      <c r="D439" s="13">
        <v>45657</v>
      </c>
      <c r="E439" t="s">
        <v>17</v>
      </c>
      <c r="F439">
        <v>0</v>
      </c>
      <c r="G439" t="s">
        <v>18</v>
      </c>
      <c r="H439">
        <v>1</v>
      </c>
      <c r="I439" t="s">
        <v>19</v>
      </c>
      <c r="J439">
        <v>337</v>
      </c>
      <c r="K439" t="s">
        <v>203</v>
      </c>
      <c r="L439" s="13">
        <v>45412</v>
      </c>
      <c r="M439" t="s">
        <v>3401</v>
      </c>
      <c r="N439" t="s">
        <v>106</v>
      </c>
      <c r="O439">
        <v>-0.01</v>
      </c>
      <c r="P439" t="s">
        <v>1160</v>
      </c>
    </row>
    <row r="440" spans="1:16" ht="15" customHeight="1" x14ac:dyDescent="0.4">
      <c r="A440" t="s">
        <v>15</v>
      </c>
      <c r="B440" t="s">
        <v>16</v>
      </c>
      <c r="C440" s="13">
        <v>45292</v>
      </c>
      <c r="D440" s="13">
        <v>45657</v>
      </c>
      <c r="E440" t="s">
        <v>17</v>
      </c>
      <c r="F440">
        <v>0</v>
      </c>
      <c r="G440" t="s">
        <v>18</v>
      </c>
      <c r="H440">
        <v>1</v>
      </c>
      <c r="I440" t="s">
        <v>19</v>
      </c>
      <c r="J440">
        <v>337</v>
      </c>
      <c r="K440" t="s">
        <v>203</v>
      </c>
      <c r="L440" s="13">
        <v>45435</v>
      </c>
      <c r="M440" t="s">
        <v>3402</v>
      </c>
      <c r="N440" t="s">
        <v>3357</v>
      </c>
      <c r="O440">
        <v>23.04</v>
      </c>
      <c r="P440" t="s">
        <v>34</v>
      </c>
    </row>
    <row r="441" spans="1:16" ht="15" customHeight="1" x14ac:dyDescent="0.4">
      <c r="A441" t="s">
        <v>15</v>
      </c>
      <c r="B441" t="s">
        <v>16</v>
      </c>
      <c r="C441" s="13">
        <v>45292</v>
      </c>
      <c r="D441" s="13">
        <v>45657</v>
      </c>
      <c r="E441" t="s">
        <v>17</v>
      </c>
      <c r="F441">
        <v>0</v>
      </c>
      <c r="G441" t="s">
        <v>18</v>
      </c>
      <c r="H441">
        <v>1</v>
      </c>
      <c r="I441" t="s">
        <v>19</v>
      </c>
      <c r="J441">
        <v>337</v>
      </c>
      <c r="K441" t="s">
        <v>203</v>
      </c>
      <c r="L441" s="13">
        <v>45435</v>
      </c>
      <c r="M441" t="s">
        <v>3403</v>
      </c>
      <c r="N441" t="s">
        <v>3357</v>
      </c>
      <c r="O441">
        <v>45.87</v>
      </c>
      <c r="P441" t="s">
        <v>34</v>
      </c>
    </row>
    <row r="442" spans="1:16" ht="15" customHeight="1" x14ac:dyDescent="0.4">
      <c r="A442" t="s">
        <v>15</v>
      </c>
      <c r="B442" t="s">
        <v>16</v>
      </c>
      <c r="C442" s="13">
        <v>45292</v>
      </c>
      <c r="D442" s="13">
        <v>45657</v>
      </c>
      <c r="E442" t="s">
        <v>17</v>
      </c>
      <c r="F442">
        <v>0</v>
      </c>
      <c r="G442" t="s">
        <v>18</v>
      </c>
      <c r="H442">
        <v>1</v>
      </c>
      <c r="I442" t="s">
        <v>19</v>
      </c>
      <c r="J442">
        <v>337</v>
      </c>
      <c r="K442" t="s">
        <v>203</v>
      </c>
      <c r="L442" s="13">
        <v>45442</v>
      </c>
      <c r="M442" t="s">
        <v>3404</v>
      </c>
      <c r="N442" t="s">
        <v>106</v>
      </c>
      <c r="O442">
        <v>-0.01</v>
      </c>
      <c r="P442" t="s">
        <v>205</v>
      </c>
    </row>
    <row r="443" spans="1:16" ht="15" customHeight="1" x14ac:dyDescent="0.4">
      <c r="A443" t="s">
        <v>15</v>
      </c>
      <c r="B443" t="s">
        <v>16</v>
      </c>
      <c r="C443" s="13">
        <v>45292</v>
      </c>
      <c r="D443" s="13">
        <v>45657</v>
      </c>
      <c r="E443" t="s">
        <v>17</v>
      </c>
      <c r="F443">
        <v>0</v>
      </c>
      <c r="G443" t="s">
        <v>18</v>
      </c>
      <c r="H443">
        <v>1</v>
      </c>
      <c r="I443" t="s">
        <v>19</v>
      </c>
      <c r="J443">
        <v>337</v>
      </c>
      <c r="K443" t="s">
        <v>203</v>
      </c>
      <c r="L443" s="13">
        <v>45442</v>
      </c>
      <c r="M443" t="s">
        <v>3405</v>
      </c>
      <c r="N443" t="s">
        <v>106</v>
      </c>
      <c r="O443">
        <v>-0.01</v>
      </c>
      <c r="P443" t="s">
        <v>1160</v>
      </c>
    </row>
    <row r="444" spans="1:16" ht="15" customHeight="1" x14ac:dyDescent="0.4">
      <c r="A444" t="s">
        <v>15</v>
      </c>
      <c r="B444" t="s">
        <v>16</v>
      </c>
      <c r="C444" s="13">
        <v>45292</v>
      </c>
      <c r="D444" s="13">
        <v>45657</v>
      </c>
      <c r="E444" t="s">
        <v>17</v>
      </c>
      <c r="F444">
        <v>0</v>
      </c>
      <c r="G444" t="s">
        <v>18</v>
      </c>
      <c r="H444">
        <v>1</v>
      </c>
      <c r="I444" t="s">
        <v>19</v>
      </c>
      <c r="J444">
        <v>337</v>
      </c>
      <c r="K444" t="s">
        <v>203</v>
      </c>
      <c r="L444" s="13">
        <v>45470</v>
      </c>
      <c r="M444" t="s">
        <v>3406</v>
      </c>
      <c r="N444" t="s">
        <v>3360</v>
      </c>
      <c r="O444">
        <v>23.42</v>
      </c>
      <c r="P444" t="s">
        <v>34</v>
      </c>
    </row>
    <row r="445" spans="1:16" ht="15" customHeight="1" x14ac:dyDescent="0.4">
      <c r="A445" t="s">
        <v>15</v>
      </c>
      <c r="B445" t="s">
        <v>16</v>
      </c>
      <c r="C445" s="13">
        <v>45292</v>
      </c>
      <c r="D445" s="13">
        <v>45657</v>
      </c>
      <c r="E445" t="s">
        <v>17</v>
      </c>
      <c r="F445">
        <v>0</v>
      </c>
      <c r="G445" t="s">
        <v>18</v>
      </c>
      <c r="H445">
        <v>1</v>
      </c>
      <c r="I445" t="s">
        <v>19</v>
      </c>
      <c r="J445">
        <v>337</v>
      </c>
      <c r="K445" t="s">
        <v>203</v>
      </c>
      <c r="L445" s="13">
        <v>45470</v>
      </c>
      <c r="M445" t="s">
        <v>3407</v>
      </c>
      <c r="N445" t="s">
        <v>3360</v>
      </c>
      <c r="O445">
        <v>45.87</v>
      </c>
      <c r="P445" t="s">
        <v>34</v>
      </c>
    </row>
    <row r="446" spans="1:16" ht="15" customHeight="1" x14ac:dyDescent="0.4">
      <c r="A446" t="s">
        <v>15</v>
      </c>
      <c r="B446" t="s">
        <v>16</v>
      </c>
      <c r="C446" s="13">
        <v>45292</v>
      </c>
      <c r="D446" s="13">
        <v>45657</v>
      </c>
      <c r="E446" t="s">
        <v>17</v>
      </c>
      <c r="F446">
        <v>0</v>
      </c>
      <c r="G446" t="s">
        <v>18</v>
      </c>
      <c r="H446">
        <v>1</v>
      </c>
      <c r="I446" t="s">
        <v>19</v>
      </c>
      <c r="J446">
        <v>337</v>
      </c>
      <c r="K446" t="s">
        <v>203</v>
      </c>
      <c r="L446" s="13">
        <v>45475</v>
      </c>
      <c r="M446" t="s">
        <v>3409</v>
      </c>
      <c r="N446" t="s">
        <v>106</v>
      </c>
      <c r="O446">
        <v>-0.01</v>
      </c>
      <c r="P446" t="s">
        <v>205</v>
      </c>
    </row>
    <row r="447" spans="1:16" ht="15" customHeight="1" x14ac:dyDescent="0.4">
      <c r="A447" t="s">
        <v>15</v>
      </c>
      <c r="B447" t="s">
        <v>16</v>
      </c>
      <c r="C447" s="13">
        <v>45292</v>
      </c>
      <c r="D447" s="13">
        <v>45657</v>
      </c>
      <c r="E447" t="s">
        <v>17</v>
      </c>
      <c r="F447">
        <v>0</v>
      </c>
      <c r="G447" t="s">
        <v>18</v>
      </c>
      <c r="H447">
        <v>1</v>
      </c>
      <c r="I447" t="s">
        <v>19</v>
      </c>
      <c r="J447">
        <v>337</v>
      </c>
      <c r="K447" t="s">
        <v>203</v>
      </c>
      <c r="L447" s="13">
        <v>45475</v>
      </c>
      <c r="M447" t="s">
        <v>3408</v>
      </c>
      <c r="N447" t="s">
        <v>106</v>
      </c>
      <c r="O447">
        <v>-0.01</v>
      </c>
      <c r="P447" t="s">
        <v>1160</v>
      </c>
    </row>
    <row r="448" spans="1:16" ht="15" customHeight="1" x14ac:dyDescent="0.4">
      <c r="A448" t="s">
        <v>15</v>
      </c>
      <c r="B448" t="s">
        <v>16</v>
      </c>
      <c r="C448" s="13">
        <v>45292</v>
      </c>
      <c r="D448" s="13">
        <v>45657</v>
      </c>
      <c r="E448" t="s">
        <v>17</v>
      </c>
      <c r="F448">
        <v>0</v>
      </c>
      <c r="G448" t="s">
        <v>18</v>
      </c>
      <c r="H448">
        <v>1</v>
      </c>
      <c r="I448" t="s">
        <v>19</v>
      </c>
      <c r="J448">
        <v>337</v>
      </c>
      <c r="K448" t="s">
        <v>203</v>
      </c>
      <c r="L448" s="13">
        <v>45499</v>
      </c>
      <c r="M448" t="s">
        <v>3764</v>
      </c>
      <c r="N448" t="s">
        <v>3721</v>
      </c>
      <c r="O448">
        <v>45.87</v>
      </c>
      <c r="P448" t="s">
        <v>34</v>
      </c>
    </row>
    <row r="449" spans="1:16" ht="15" customHeight="1" x14ac:dyDescent="0.4">
      <c r="A449" t="s">
        <v>15</v>
      </c>
      <c r="B449" t="s">
        <v>16</v>
      </c>
      <c r="C449" s="13">
        <v>45292</v>
      </c>
      <c r="D449" s="13">
        <v>45657</v>
      </c>
      <c r="E449" t="s">
        <v>17</v>
      </c>
      <c r="F449">
        <v>0</v>
      </c>
      <c r="G449" t="s">
        <v>18</v>
      </c>
      <c r="H449">
        <v>1</v>
      </c>
      <c r="I449" t="s">
        <v>19</v>
      </c>
      <c r="J449">
        <v>337</v>
      </c>
      <c r="K449" t="s">
        <v>203</v>
      </c>
      <c r="L449" s="13">
        <v>45499</v>
      </c>
      <c r="M449" t="s">
        <v>3763</v>
      </c>
      <c r="N449" t="s">
        <v>3721</v>
      </c>
      <c r="O449">
        <v>23.13</v>
      </c>
      <c r="P449" t="s">
        <v>34</v>
      </c>
    </row>
    <row r="450" spans="1:16" ht="15" customHeight="1" x14ac:dyDescent="0.4">
      <c r="A450" t="s">
        <v>15</v>
      </c>
      <c r="B450" t="s">
        <v>16</v>
      </c>
      <c r="C450" s="13">
        <v>45292</v>
      </c>
      <c r="D450" s="13">
        <v>45657</v>
      </c>
      <c r="E450" t="s">
        <v>17</v>
      </c>
      <c r="F450">
        <v>0</v>
      </c>
      <c r="G450" t="s">
        <v>18</v>
      </c>
      <c r="H450">
        <v>1</v>
      </c>
      <c r="I450" t="s">
        <v>19</v>
      </c>
      <c r="J450">
        <v>337</v>
      </c>
      <c r="K450" t="s">
        <v>203</v>
      </c>
      <c r="L450" s="13">
        <v>45504</v>
      </c>
      <c r="M450" t="s">
        <v>3765</v>
      </c>
      <c r="N450" t="s">
        <v>106</v>
      </c>
      <c r="O450">
        <v>-0.01</v>
      </c>
      <c r="P450" t="s">
        <v>1160</v>
      </c>
    </row>
    <row r="451" spans="1:16" ht="15" customHeight="1" x14ac:dyDescent="0.4">
      <c r="A451" t="s">
        <v>15</v>
      </c>
      <c r="B451" t="s">
        <v>16</v>
      </c>
      <c r="C451" s="13">
        <v>45292</v>
      </c>
      <c r="D451" s="13">
        <v>45657</v>
      </c>
      <c r="E451" t="s">
        <v>17</v>
      </c>
      <c r="F451">
        <v>0</v>
      </c>
      <c r="G451" t="s">
        <v>18</v>
      </c>
      <c r="H451">
        <v>1</v>
      </c>
      <c r="I451" t="s">
        <v>19</v>
      </c>
      <c r="J451">
        <v>337</v>
      </c>
      <c r="K451" t="s">
        <v>203</v>
      </c>
      <c r="L451" s="13">
        <v>45527</v>
      </c>
      <c r="M451" t="s">
        <v>3767</v>
      </c>
      <c r="N451" t="s">
        <v>3724</v>
      </c>
      <c r="O451">
        <v>23.04</v>
      </c>
      <c r="P451" t="s">
        <v>34</v>
      </c>
    </row>
    <row r="452" spans="1:16" ht="15" customHeight="1" x14ac:dyDescent="0.4">
      <c r="A452" t="s">
        <v>15</v>
      </c>
      <c r="B452" t="s">
        <v>16</v>
      </c>
      <c r="C452" s="13">
        <v>45292</v>
      </c>
      <c r="D452" s="13">
        <v>45657</v>
      </c>
      <c r="E452" t="s">
        <v>17</v>
      </c>
      <c r="F452">
        <v>0</v>
      </c>
      <c r="G452" t="s">
        <v>18</v>
      </c>
      <c r="H452">
        <v>1</v>
      </c>
      <c r="I452" t="s">
        <v>19</v>
      </c>
      <c r="J452">
        <v>337</v>
      </c>
      <c r="K452" t="s">
        <v>203</v>
      </c>
      <c r="L452" s="13">
        <v>45527</v>
      </c>
      <c r="M452" t="s">
        <v>3766</v>
      </c>
      <c r="N452" t="s">
        <v>3724</v>
      </c>
      <c r="O452">
        <v>45.87</v>
      </c>
      <c r="P452" t="s">
        <v>34</v>
      </c>
    </row>
    <row r="453" spans="1:16" ht="15" customHeight="1" x14ac:dyDescent="0.4">
      <c r="A453" t="s">
        <v>15</v>
      </c>
      <c r="B453" t="s">
        <v>16</v>
      </c>
      <c r="C453" s="13">
        <v>45292</v>
      </c>
      <c r="D453" s="13">
        <v>45657</v>
      </c>
      <c r="E453" t="s">
        <v>17</v>
      </c>
      <c r="F453">
        <v>0</v>
      </c>
      <c r="G453" t="s">
        <v>18</v>
      </c>
      <c r="H453">
        <v>1</v>
      </c>
      <c r="I453" t="s">
        <v>19</v>
      </c>
      <c r="J453">
        <v>337</v>
      </c>
      <c r="K453" t="s">
        <v>203</v>
      </c>
      <c r="L453" s="13">
        <v>45534</v>
      </c>
      <c r="M453" t="s">
        <v>3769</v>
      </c>
      <c r="N453" t="s">
        <v>106</v>
      </c>
      <c r="O453">
        <v>-0.01</v>
      </c>
      <c r="P453" t="s">
        <v>205</v>
      </c>
    </row>
    <row r="454" spans="1:16" ht="15" customHeight="1" x14ac:dyDescent="0.4">
      <c r="A454" t="s">
        <v>15</v>
      </c>
      <c r="B454" t="s">
        <v>16</v>
      </c>
      <c r="C454" s="13">
        <v>45292</v>
      </c>
      <c r="D454" s="13">
        <v>45657</v>
      </c>
      <c r="E454" t="s">
        <v>17</v>
      </c>
      <c r="F454">
        <v>0</v>
      </c>
      <c r="G454" t="s">
        <v>18</v>
      </c>
      <c r="H454">
        <v>1</v>
      </c>
      <c r="I454" t="s">
        <v>19</v>
      </c>
      <c r="J454">
        <v>337</v>
      </c>
      <c r="K454" t="s">
        <v>203</v>
      </c>
      <c r="L454" s="13">
        <v>45534</v>
      </c>
      <c r="M454" t="s">
        <v>3768</v>
      </c>
      <c r="N454" t="s">
        <v>106</v>
      </c>
      <c r="O454">
        <v>-0.01</v>
      </c>
      <c r="P454" t="s">
        <v>1160</v>
      </c>
    </row>
    <row r="455" spans="1:16" ht="15" customHeight="1" x14ac:dyDescent="0.4">
      <c r="A455" t="s">
        <v>15</v>
      </c>
      <c r="B455" t="s">
        <v>16</v>
      </c>
      <c r="C455" s="13">
        <v>45292</v>
      </c>
      <c r="D455" s="13">
        <v>45657</v>
      </c>
      <c r="E455" t="s">
        <v>17</v>
      </c>
      <c r="F455">
        <v>0</v>
      </c>
      <c r="G455" t="s">
        <v>18</v>
      </c>
      <c r="H455">
        <v>1</v>
      </c>
      <c r="I455" t="s">
        <v>19</v>
      </c>
      <c r="J455">
        <v>337</v>
      </c>
      <c r="K455" t="s">
        <v>203</v>
      </c>
      <c r="L455" s="13">
        <v>45565</v>
      </c>
      <c r="M455" t="s">
        <v>3770</v>
      </c>
      <c r="N455" t="s">
        <v>3727</v>
      </c>
      <c r="O455">
        <v>45.87</v>
      </c>
      <c r="P455" t="s">
        <v>34</v>
      </c>
    </row>
    <row r="456" spans="1:16" ht="15" customHeight="1" x14ac:dyDescent="0.4">
      <c r="A456" t="s">
        <v>15</v>
      </c>
      <c r="B456" t="s">
        <v>16</v>
      </c>
      <c r="C456" s="13">
        <v>45292</v>
      </c>
      <c r="D456" s="13">
        <v>45657</v>
      </c>
      <c r="E456" t="s">
        <v>17</v>
      </c>
      <c r="F456">
        <v>0</v>
      </c>
      <c r="G456" t="s">
        <v>18</v>
      </c>
      <c r="H456">
        <v>1</v>
      </c>
      <c r="I456" t="s">
        <v>19</v>
      </c>
      <c r="J456">
        <v>337</v>
      </c>
      <c r="K456" t="s">
        <v>203</v>
      </c>
      <c r="L456" s="13">
        <v>45565</v>
      </c>
      <c r="M456" t="s">
        <v>3772</v>
      </c>
      <c r="N456" t="s">
        <v>106</v>
      </c>
      <c r="O456">
        <v>-0.01</v>
      </c>
      <c r="P456" t="s">
        <v>205</v>
      </c>
    </row>
    <row r="457" spans="1:16" ht="15" customHeight="1" x14ac:dyDescent="0.4">
      <c r="A457" t="s">
        <v>15</v>
      </c>
      <c r="B457" t="s">
        <v>16</v>
      </c>
      <c r="C457" s="13">
        <v>45292</v>
      </c>
      <c r="D457" s="13">
        <v>45657</v>
      </c>
      <c r="E457" t="s">
        <v>17</v>
      </c>
      <c r="F457">
        <v>0</v>
      </c>
      <c r="G457" t="s">
        <v>18</v>
      </c>
      <c r="H457">
        <v>1</v>
      </c>
      <c r="I457" t="s">
        <v>19</v>
      </c>
      <c r="J457">
        <v>337</v>
      </c>
      <c r="K457" t="s">
        <v>203</v>
      </c>
      <c r="L457" s="13">
        <v>45565</v>
      </c>
      <c r="M457" t="s">
        <v>3773</v>
      </c>
      <c r="N457" t="s">
        <v>106</v>
      </c>
      <c r="O457">
        <v>-0.01</v>
      </c>
      <c r="P457" t="s">
        <v>1160</v>
      </c>
    </row>
    <row r="458" spans="1:16" ht="15" customHeight="1" x14ac:dyDescent="0.4">
      <c r="A458" t="s">
        <v>15</v>
      </c>
      <c r="B458" t="s">
        <v>16</v>
      </c>
      <c r="C458" s="13">
        <v>45292</v>
      </c>
      <c r="D458" s="13">
        <v>45657</v>
      </c>
      <c r="E458" t="s">
        <v>17</v>
      </c>
      <c r="F458">
        <v>0</v>
      </c>
      <c r="G458" t="s">
        <v>18</v>
      </c>
      <c r="H458">
        <v>1</v>
      </c>
      <c r="I458" t="s">
        <v>19</v>
      </c>
      <c r="J458">
        <v>337</v>
      </c>
      <c r="K458" t="s">
        <v>203</v>
      </c>
      <c r="L458" s="13">
        <v>45565</v>
      </c>
      <c r="M458" t="s">
        <v>3771</v>
      </c>
      <c r="N458" t="s">
        <v>3727</v>
      </c>
      <c r="O458">
        <v>23.04</v>
      </c>
      <c r="P458" t="s">
        <v>34</v>
      </c>
    </row>
    <row r="459" spans="1:16" ht="15" customHeight="1" x14ac:dyDescent="0.4">
      <c r="A459" t="s">
        <v>15</v>
      </c>
      <c r="B459" t="s">
        <v>16</v>
      </c>
      <c r="C459" s="13">
        <v>45292</v>
      </c>
      <c r="D459" s="13">
        <v>45657</v>
      </c>
      <c r="E459" t="s">
        <v>17</v>
      </c>
      <c r="F459">
        <v>0</v>
      </c>
      <c r="G459" t="s">
        <v>18</v>
      </c>
      <c r="H459">
        <v>1</v>
      </c>
      <c r="I459" t="s">
        <v>19</v>
      </c>
      <c r="J459">
        <v>337</v>
      </c>
      <c r="K459" t="s">
        <v>203</v>
      </c>
      <c r="L459" s="13">
        <v>45590</v>
      </c>
      <c r="M459" t="s">
        <v>3775</v>
      </c>
      <c r="N459" t="s">
        <v>3730</v>
      </c>
      <c r="O459">
        <v>45.87</v>
      </c>
      <c r="P459" t="s">
        <v>34</v>
      </c>
    </row>
    <row r="460" spans="1:16" ht="15" customHeight="1" x14ac:dyDescent="0.4">
      <c r="A460" t="s">
        <v>15</v>
      </c>
      <c r="B460" t="s">
        <v>16</v>
      </c>
      <c r="C460" s="13">
        <v>45292</v>
      </c>
      <c r="D460" s="13">
        <v>45657</v>
      </c>
      <c r="E460" t="s">
        <v>17</v>
      </c>
      <c r="F460">
        <v>0</v>
      </c>
      <c r="G460" t="s">
        <v>18</v>
      </c>
      <c r="H460">
        <v>1</v>
      </c>
      <c r="I460" t="s">
        <v>19</v>
      </c>
      <c r="J460">
        <v>337</v>
      </c>
      <c r="K460" t="s">
        <v>203</v>
      </c>
      <c r="L460" s="13">
        <v>45590</v>
      </c>
      <c r="M460" t="s">
        <v>3774</v>
      </c>
      <c r="N460" t="s">
        <v>3730</v>
      </c>
      <c r="O460">
        <v>23.04</v>
      </c>
      <c r="P460" t="s">
        <v>34</v>
      </c>
    </row>
    <row r="461" spans="1:16" ht="15" customHeight="1" x14ac:dyDescent="0.4">
      <c r="A461" t="s">
        <v>15</v>
      </c>
      <c r="B461" t="s">
        <v>16</v>
      </c>
      <c r="C461" s="13">
        <v>45292</v>
      </c>
      <c r="D461" s="13">
        <v>45657</v>
      </c>
      <c r="E461" t="s">
        <v>17</v>
      </c>
      <c r="F461">
        <v>0</v>
      </c>
      <c r="G461" t="s">
        <v>18</v>
      </c>
      <c r="H461">
        <v>1</v>
      </c>
      <c r="I461" t="s">
        <v>19</v>
      </c>
      <c r="J461">
        <v>337</v>
      </c>
      <c r="K461" t="s">
        <v>203</v>
      </c>
      <c r="L461" s="13">
        <v>45604</v>
      </c>
      <c r="M461" t="s">
        <v>3776</v>
      </c>
      <c r="N461" t="s">
        <v>106</v>
      </c>
      <c r="O461">
        <v>-0.01</v>
      </c>
      <c r="P461" t="s">
        <v>1160</v>
      </c>
    </row>
    <row r="462" spans="1:16" ht="15" customHeight="1" x14ac:dyDescent="0.4">
      <c r="A462" t="s">
        <v>15</v>
      </c>
      <c r="B462" t="s">
        <v>16</v>
      </c>
      <c r="C462" s="13">
        <v>45292</v>
      </c>
      <c r="D462" s="13">
        <v>45657</v>
      </c>
      <c r="E462" t="s">
        <v>17</v>
      </c>
      <c r="F462">
        <v>0</v>
      </c>
      <c r="G462" t="s">
        <v>18</v>
      </c>
      <c r="H462">
        <v>1</v>
      </c>
      <c r="I462" t="s">
        <v>19</v>
      </c>
      <c r="J462">
        <v>337</v>
      </c>
      <c r="K462" t="s">
        <v>203</v>
      </c>
      <c r="L462" s="13">
        <v>45604</v>
      </c>
      <c r="M462" t="s">
        <v>3777</v>
      </c>
      <c r="N462" t="s">
        <v>106</v>
      </c>
      <c r="O462">
        <v>-0.01</v>
      </c>
      <c r="P462" t="s">
        <v>205</v>
      </c>
    </row>
    <row r="463" spans="1:16" ht="15" customHeight="1" x14ac:dyDescent="0.4">
      <c r="A463" t="s">
        <v>15</v>
      </c>
      <c r="B463" t="s">
        <v>16</v>
      </c>
      <c r="C463" s="13">
        <v>45292</v>
      </c>
      <c r="D463" s="13">
        <v>45657</v>
      </c>
      <c r="E463" t="s">
        <v>17</v>
      </c>
      <c r="F463">
        <v>0</v>
      </c>
      <c r="G463" t="s">
        <v>18</v>
      </c>
      <c r="H463">
        <v>1</v>
      </c>
      <c r="I463" t="s">
        <v>19</v>
      </c>
      <c r="J463">
        <v>337</v>
      </c>
      <c r="K463" t="s">
        <v>203</v>
      </c>
      <c r="L463" s="13">
        <v>45624</v>
      </c>
      <c r="M463" t="s">
        <v>3778</v>
      </c>
      <c r="N463" t="s">
        <v>3733</v>
      </c>
      <c r="O463">
        <v>23.04</v>
      </c>
      <c r="P463" t="s">
        <v>34</v>
      </c>
    </row>
    <row r="464" spans="1:16" ht="15" customHeight="1" x14ac:dyDescent="0.4">
      <c r="A464" t="s">
        <v>15</v>
      </c>
      <c r="B464" t="s">
        <v>16</v>
      </c>
      <c r="C464" s="13">
        <v>45292</v>
      </c>
      <c r="D464" s="13">
        <v>45657</v>
      </c>
      <c r="E464" t="s">
        <v>17</v>
      </c>
      <c r="F464">
        <v>0</v>
      </c>
      <c r="G464" t="s">
        <v>18</v>
      </c>
      <c r="H464">
        <v>1</v>
      </c>
      <c r="I464" t="s">
        <v>19</v>
      </c>
      <c r="J464">
        <v>337</v>
      </c>
      <c r="K464" t="s">
        <v>203</v>
      </c>
      <c r="L464" s="13">
        <v>45624</v>
      </c>
      <c r="M464" t="s">
        <v>3779</v>
      </c>
      <c r="N464" t="s">
        <v>3733</v>
      </c>
      <c r="O464">
        <v>45.87</v>
      </c>
      <c r="P464" t="s">
        <v>34</v>
      </c>
    </row>
    <row r="465" spans="1:16" ht="15" customHeight="1" x14ac:dyDescent="0.4">
      <c r="A465" t="s">
        <v>15</v>
      </c>
      <c r="B465" t="s">
        <v>16</v>
      </c>
      <c r="C465" s="13">
        <v>45292</v>
      </c>
      <c r="D465" s="13">
        <v>45657</v>
      </c>
      <c r="E465" t="s">
        <v>17</v>
      </c>
      <c r="F465">
        <v>0</v>
      </c>
      <c r="G465" t="s">
        <v>18</v>
      </c>
      <c r="H465">
        <v>1</v>
      </c>
      <c r="I465" t="s">
        <v>19</v>
      </c>
      <c r="J465">
        <v>337</v>
      </c>
      <c r="K465" t="s">
        <v>203</v>
      </c>
      <c r="L465" s="13">
        <v>45626</v>
      </c>
      <c r="M465" t="s">
        <v>3781</v>
      </c>
      <c r="N465" t="s">
        <v>106</v>
      </c>
      <c r="O465">
        <v>-0.01</v>
      </c>
      <c r="P465" t="s">
        <v>205</v>
      </c>
    </row>
    <row r="466" spans="1:16" ht="15" customHeight="1" x14ac:dyDescent="0.4">
      <c r="A466" t="s">
        <v>15</v>
      </c>
      <c r="B466" t="s">
        <v>16</v>
      </c>
      <c r="C466" s="13">
        <v>45292</v>
      </c>
      <c r="D466" s="13">
        <v>45657</v>
      </c>
      <c r="E466" t="s">
        <v>17</v>
      </c>
      <c r="F466">
        <v>0</v>
      </c>
      <c r="G466" t="s">
        <v>18</v>
      </c>
      <c r="H466">
        <v>1</v>
      </c>
      <c r="I466" t="s">
        <v>19</v>
      </c>
      <c r="J466">
        <v>337</v>
      </c>
      <c r="K466" t="s">
        <v>203</v>
      </c>
      <c r="L466" s="13">
        <v>45626</v>
      </c>
      <c r="M466" t="s">
        <v>3780</v>
      </c>
      <c r="N466" t="s">
        <v>106</v>
      </c>
      <c r="O466">
        <v>-0.01</v>
      </c>
      <c r="P466" t="s">
        <v>1160</v>
      </c>
    </row>
    <row r="467" spans="1:16" ht="15" customHeight="1" x14ac:dyDescent="0.4">
      <c r="A467" t="s">
        <v>15</v>
      </c>
      <c r="B467" t="s">
        <v>16</v>
      </c>
      <c r="C467" s="13">
        <v>45292</v>
      </c>
      <c r="D467" s="13">
        <v>45657</v>
      </c>
      <c r="E467" t="s">
        <v>17</v>
      </c>
      <c r="F467">
        <v>0</v>
      </c>
      <c r="G467" t="s">
        <v>18</v>
      </c>
      <c r="H467">
        <v>1</v>
      </c>
      <c r="I467" t="s">
        <v>19</v>
      </c>
      <c r="J467">
        <v>337</v>
      </c>
      <c r="K467" t="s">
        <v>203</v>
      </c>
      <c r="L467" s="13">
        <v>45649</v>
      </c>
      <c r="M467" t="s">
        <v>3783</v>
      </c>
      <c r="N467" t="s">
        <v>3736</v>
      </c>
      <c r="O467">
        <v>44.79</v>
      </c>
      <c r="P467" t="s">
        <v>34</v>
      </c>
    </row>
    <row r="468" spans="1:16" ht="15" customHeight="1" x14ac:dyDescent="0.4">
      <c r="A468" t="s">
        <v>15</v>
      </c>
      <c r="B468" t="s">
        <v>16</v>
      </c>
      <c r="C468" s="13">
        <v>45292</v>
      </c>
      <c r="D468" s="13">
        <v>45657</v>
      </c>
      <c r="E468" t="s">
        <v>17</v>
      </c>
      <c r="F468">
        <v>0</v>
      </c>
      <c r="G468" t="s">
        <v>18</v>
      </c>
      <c r="H468">
        <v>1</v>
      </c>
      <c r="I468" t="s">
        <v>19</v>
      </c>
      <c r="J468">
        <v>337</v>
      </c>
      <c r="K468" t="s">
        <v>203</v>
      </c>
      <c r="L468" s="13">
        <v>45649</v>
      </c>
      <c r="M468" t="s">
        <v>3782</v>
      </c>
      <c r="N468" t="s">
        <v>3736</v>
      </c>
      <c r="O468">
        <v>45.87</v>
      </c>
      <c r="P468" t="s">
        <v>34</v>
      </c>
    </row>
    <row r="469" spans="1:16" ht="15" customHeight="1" x14ac:dyDescent="0.4">
      <c r="A469" t="s">
        <v>15</v>
      </c>
      <c r="B469" t="s">
        <v>16</v>
      </c>
      <c r="C469" s="13">
        <v>45292</v>
      </c>
      <c r="D469" s="13">
        <v>45657</v>
      </c>
      <c r="E469" t="s">
        <v>17</v>
      </c>
      <c r="F469">
        <v>0</v>
      </c>
      <c r="G469" t="s">
        <v>18</v>
      </c>
      <c r="H469">
        <v>1</v>
      </c>
      <c r="I469" t="s">
        <v>19</v>
      </c>
      <c r="J469">
        <v>349</v>
      </c>
      <c r="K469" t="s">
        <v>236</v>
      </c>
      <c r="L469" s="13">
        <v>45327</v>
      </c>
      <c r="M469" t="s">
        <v>1589</v>
      </c>
      <c r="N469" t="s">
        <v>3410</v>
      </c>
      <c r="O469">
        <v>44.66</v>
      </c>
      <c r="P469" t="s">
        <v>239</v>
      </c>
    </row>
    <row r="470" spans="1:16" ht="15" customHeight="1" x14ac:dyDescent="0.4">
      <c r="A470" t="s">
        <v>15</v>
      </c>
      <c r="B470" t="s">
        <v>16</v>
      </c>
      <c r="C470" s="13">
        <v>45292</v>
      </c>
      <c r="D470" s="13">
        <v>45657</v>
      </c>
      <c r="E470" t="s">
        <v>17</v>
      </c>
      <c r="F470">
        <v>0</v>
      </c>
      <c r="G470" t="s">
        <v>18</v>
      </c>
      <c r="H470">
        <v>1</v>
      </c>
      <c r="I470" t="s">
        <v>19</v>
      </c>
      <c r="J470">
        <v>349</v>
      </c>
      <c r="K470" t="s">
        <v>236</v>
      </c>
      <c r="L470" s="13">
        <v>45399</v>
      </c>
      <c r="M470" t="s">
        <v>1589</v>
      </c>
      <c r="N470" t="s">
        <v>3411</v>
      </c>
      <c r="O470">
        <v>40.21</v>
      </c>
      <c r="P470" t="s">
        <v>239</v>
      </c>
    </row>
    <row r="471" spans="1:16" ht="15" customHeight="1" x14ac:dyDescent="0.4">
      <c r="A471" t="s">
        <v>15</v>
      </c>
      <c r="B471" t="s">
        <v>16</v>
      </c>
      <c r="C471" s="13">
        <v>45292</v>
      </c>
      <c r="D471" s="13">
        <v>45657</v>
      </c>
      <c r="E471" t="s">
        <v>17</v>
      </c>
      <c r="F471">
        <v>0</v>
      </c>
      <c r="G471" t="s">
        <v>18</v>
      </c>
      <c r="H471">
        <v>1</v>
      </c>
      <c r="I471" t="s">
        <v>19</v>
      </c>
      <c r="J471">
        <v>349</v>
      </c>
      <c r="K471" t="s">
        <v>236</v>
      </c>
      <c r="L471" s="13">
        <v>45450</v>
      </c>
      <c r="M471" t="s">
        <v>1589</v>
      </c>
      <c r="N471" t="s">
        <v>3412</v>
      </c>
      <c r="O471">
        <v>20.86</v>
      </c>
      <c r="P471" t="s">
        <v>239</v>
      </c>
    </row>
    <row r="472" spans="1:16" ht="15" customHeight="1" x14ac:dyDescent="0.4">
      <c r="A472" t="s">
        <v>15</v>
      </c>
      <c r="B472" t="s">
        <v>16</v>
      </c>
      <c r="C472" s="13">
        <v>45292</v>
      </c>
      <c r="D472" s="13">
        <v>45657</v>
      </c>
      <c r="E472" t="s">
        <v>17</v>
      </c>
      <c r="F472">
        <v>0</v>
      </c>
      <c r="G472" t="s">
        <v>18</v>
      </c>
      <c r="H472">
        <v>1</v>
      </c>
      <c r="I472" t="s">
        <v>19</v>
      </c>
      <c r="J472">
        <v>349</v>
      </c>
      <c r="K472" t="s">
        <v>236</v>
      </c>
      <c r="L472" s="13">
        <v>45495</v>
      </c>
      <c r="M472" t="s">
        <v>1589</v>
      </c>
      <c r="N472" t="s">
        <v>3784</v>
      </c>
      <c r="O472">
        <v>19.690000000000001</v>
      </c>
      <c r="P472" t="s">
        <v>239</v>
      </c>
    </row>
    <row r="473" spans="1:16" ht="15" customHeight="1" x14ac:dyDescent="0.4">
      <c r="A473" t="s">
        <v>15</v>
      </c>
      <c r="B473" t="s">
        <v>16</v>
      </c>
      <c r="C473" s="13">
        <v>45292</v>
      </c>
      <c r="D473" s="13">
        <v>45657</v>
      </c>
      <c r="E473" t="s">
        <v>17</v>
      </c>
      <c r="F473">
        <v>0</v>
      </c>
      <c r="G473" t="s">
        <v>18</v>
      </c>
      <c r="H473">
        <v>1</v>
      </c>
      <c r="I473" t="s">
        <v>19</v>
      </c>
      <c r="J473">
        <v>349</v>
      </c>
      <c r="K473" t="s">
        <v>236</v>
      </c>
      <c r="L473" s="13">
        <v>45573</v>
      </c>
      <c r="M473" t="s">
        <v>1589</v>
      </c>
      <c r="N473" t="s">
        <v>3785</v>
      </c>
      <c r="O473">
        <v>21.45</v>
      </c>
      <c r="P473" t="s">
        <v>239</v>
      </c>
    </row>
    <row r="474" spans="1:16" ht="15" customHeight="1" x14ac:dyDescent="0.4">
      <c r="A474" t="s">
        <v>15</v>
      </c>
      <c r="B474" t="s">
        <v>16</v>
      </c>
      <c r="C474" s="13">
        <v>45292</v>
      </c>
      <c r="D474" s="13">
        <v>45657</v>
      </c>
      <c r="E474" t="s">
        <v>17</v>
      </c>
      <c r="F474">
        <v>0</v>
      </c>
      <c r="G474" t="s">
        <v>18</v>
      </c>
      <c r="H474">
        <v>1</v>
      </c>
      <c r="I474" t="s">
        <v>19</v>
      </c>
      <c r="J474">
        <v>349</v>
      </c>
      <c r="K474" t="s">
        <v>236</v>
      </c>
      <c r="L474" s="13">
        <v>45618</v>
      </c>
      <c r="M474" t="s">
        <v>1589</v>
      </c>
      <c r="N474" t="s">
        <v>3786</v>
      </c>
      <c r="O474">
        <v>29.93</v>
      </c>
      <c r="P474" t="s">
        <v>239</v>
      </c>
    </row>
    <row r="475" spans="1:16" ht="15" customHeight="1" x14ac:dyDescent="0.4">
      <c r="A475" t="s">
        <v>15</v>
      </c>
      <c r="B475" t="s">
        <v>16</v>
      </c>
      <c r="C475" s="13">
        <v>45292</v>
      </c>
      <c r="D475" s="13">
        <v>45657</v>
      </c>
      <c r="E475" t="s">
        <v>17</v>
      </c>
      <c r="F475">
        <v>0</v>
      </c>
      <c r="G475" t="s">
        <v>18</v>
      </c>
      <c r="H475">
        <v>1</v>
      </c>
      <c r="I475" t="s">
        <v>19</v>
      </c>
      <c r="J475">
        <v>355</v>
      </c>
      <c r="K475" t="s">
        <v>250</v>
      </c>
      <c r="L475" s="13">
        <v>45386</v>
      </c>
      <c r="M475" t="s">
        <v>251</v>
      </c>
      <c r="N475" t="s">
        <v>46</v>
      </c>
      <c r="O475">
        <v>28.8</v>
      </c>
      <c r="P475" t="s">
        <v>46</v>
      </c>
    </row>
    <row r="476" spans="1:16" ht="15" customHeight="1" x14ac:dyDescent="0.4">
      <c r="A476" t="s">
        <v>15</v>
      </c>
      <c r="B476" t="s">
        <v>16</v>
      </c>
      <c r="C476" s="13">
        <v>45292</v>
      </c>
      <c r="D476" s="13">
        <v>45657</v>
      </c>
      <c r="E476" t="s">
        <v>17</v>
      </c>
      <c r="F476">
        <v>0</v>
      </c>
      <c r="G476" t="s">
        <v>18</v>
      </c>
      <c r="H476">
        <v>1</v>
      </c>
      <c r="I476" t="s">
        <v>19</v>
      </c>
      <c r="J476">
        <v>355</v>
      </c>
      <c r="K476" t="s">
        <v>250</v>
      </c>
      <c r="L476" s="13">
        <v>45476</v>
      </c>
      <c r="M476" t="s">
        <v>251</v>
      </c>
      <c r="N476" t="s">
        <v>46</v>
      </c>
      <c r="O476">
        <v>28.8</v>
      </c>
      <c r="P476" t="s">
        <v>46</v>
      </c>
    </row>
    <row r="477" spans="1:16" ht="15" customHeight="1" x14ac:dyDescent="0.4">
      <c r="A477" t="s">
        <v>15</v>
      </c>
      <c r="B477" t="s">
        <v>16</v>
      </c>
      <c r="C477" s="13">
        <v>45292</v>
      </c>
      <c r="D477" s="13">
        <v>45657</v>
      </c>
      <c r="E477" t="s">
        <v>17</v>
      </c>
      <c r="F477">
        <v>0</v>
      </c>
      <c r="G477" t="s">
        <v>18</v>
      </c>
      <c r="H477">
        <v>1</v>
      </c>
      <c r="I477" t="s">
        <v>19</v>
      </c>
      <c r="J477">
        <v>355</v>
      </c>
      <c r="K477" t="s">
        <v>250</v>
      </c>
      <c r="L477" s="13">
        <v>45568</v>
      </c>
      <c r="M477" t="s">
        <v>251</v>
      </c>
      <c r="N477" t="s">
        <v>46</v>
      </c>
      <c r="O477">
        <v>28.8</v>
      </c>
      <c r="P477" t="s">
        <v>46</v>
      </c>
    </row>
    <row r="478" spans="1:16" ht="15" customHeight="1" x14ac:dyDescent="0.4">
      <c r="A478" t="s">
        <v>15</v>
      </c>
      <c r="B478" t="s">
        <v>16</v>
      </c>
      <c r="C478" s="13">
        <v>45292</v>
      </c>
      <c r="D478" s="13">
        <v>45657</v>
      </c>
      <c r="E478" t="s">
        <v>17</v>
      </c>
      <c r="F478">
        <v>0</v>
      </c>
      <c r="G478" t="s">
        <v>18</v>
      </c>
      <c r="H478">
        <v>1</v>
      </c>
      <c r="I478" t="s">
        <v>19</v>
      </c>
      <c r="J478">
        <v>355</v>
      </c>
      <c r="K478" t="s">
        <v>250</v>
      </c>
      <c r="L478" s="13">
        <v>45657</v>
      </c>
      <c r="M478" t="s">
        <v>251</v>
      </c>
      <c r="N478" t="s">
        <v>3787</v>
      </c>
      <c r="O478">
        <v>28.8</v>
      </c>
      <c r="P478" t="s">
        <v>3788</v>
      </c>
    </row>
    <row r="479" spans="1:16" ht="15" customHeight="1" x14ac:dyDescent="0.4">
      <c r="A479" t="s">
        <v>15</v>
      </c>
      <c r="B479" t="s">
        <v>16</v>
      </c>
      <c r="C479" s="13">
        <v>45292</v>
      </c>
      <c r="D479" s="13">
        <v>45657</v>
      </c>
      <c r="E479" t="s">
        <v>17</v>
      </c>
      <c r="F479">
        <v>0</v>
      </c>
      <c r="G479" t="s">
        <v>18</v>
      </c>
      <c r="H479">
        <v>1</v>
      </c>
      <c r="I479" t="s">
        <v>19</v>
      </c>
      <c r="J479">
        <v>382</v>
      </c>
      <c r="K479" t="s">
        <v>253</v>
      </c>
      <c r="L479" s="13">
        <v>45348</v>
      </c>
      <c r="M479" t="s">
        <v>3413</v>
      </c>
      <c r="N479" t="s">
        <v>3414</v>
      </c>
      <c r="O479">
        <v>2400</v>
      </c>
      <c r="P479" t="s">
        <v>3415</v>
      </c>
    </row>
    <row r="480" spans="1:16" ht="15" customHeight="1" x14ac:dyDescent="0.4">
      <c r="A480" t="s">
        <v>15</v>
      </c>
      <c r="B480" t="s">
        <v>16</v>
      </c>
      <c r="C480" s="13">
        <v>45292</v>
      </c>
      <c r="D480" s="13">
        <v>45657</v>
      </c>
      <c r="E480" t="s">
        <v>30</v>
      </c>
      <c r="F480">
        <v>0</v>
      </c>
      <c r="G480" t="s">
        <v>18</v>
      </c>
      <c r="H480">
        <v>1</v>
      </c>
      <c r="I480" t="s">
        <v>19</v>
      </c>
      <c r="J480">
        <v>391</v>
      </c>
      <c r="K480" t="s">
        <v>257</v>
      </c>
      <c r="L480" s="13">
        <v>45638</v>
      </c>
      <c r="M480" t="s">
        <v>3789</v>
      </c>
      <c r="N480" t="s">
        <v>3790</v>
      </c>
      <c r="O480">
        <v>1380</v>
      </c>
      <c r="P480" t="s">
        <v>3791</v>
      </c>
    </row>
    <row r="481" spans="1:16" ht="15" customHeight="1" x14ac:dyDescent="0.4">
      <c r="A481" t="s">
        <v>15</v>
      </c>
      <c r="B481" t="s">
        <v>16</v>
      </c>
      <c r="C481" s="13">
        <v>45292</v>
      </c>
      <c r="D481" s="13">
        <v>45657</v>
      </c>
      <c r="E481" t="s">
        <v>30</v>
      </c>
      <c r="F481">
        <v>0</v>
      </c>
      <c r="G481" t="s">
        <v>18</v>
      </c>
      <c r="H481">
        <v>1</v>
      </c>
      <c r="I481" t="s">
        <v>19</v>
      </c>
      <c r="J481">
        <v>403</v>
      </c>
      <c r="K481" t="s">
        <v>261</v>
      </c>
      <c r="L481" s="13">
        <v>45377</v>
      </c>
      <c r="M481" t="s">
        <v>3416</v>
      </c>
      <c r="N481" t="s">
        <v>3417</v>
      </c>
      <c r="O481">
        <v>260</v>
      </c>
      <c r="P481" t="s">
        <v>267</v>
      </c>
    </row>
    <row r="482" spans="1:16" ht="15" customHeight="1" x14ac:dyDescent="0.4">
      <c r="A482" t="s">
        <v>15</v>
      </c>
      <c r="B482" t="s">
        <v>16</v>
      </c>
      <c r="C482" s="13">
        <v>45292</v>
      </c>
      <c r="D482" s="13">
        <v>45657</v>
      </c>
      <c r="E482" t="s">
        <v>30</v>
      </c>
      <c r="F482">
        <v>0</v>
      </c>
      <c r="G482" t="s">
        <v>18</v>
      </c>
      <c r="H482">
        <v>1</v>
      </c>
      <c r="I482" t="s">
        <v>19</v>
      </c>
      <c r="J482">
        <v>403</v>
      </c>
      <c r="K482" t="s">
        <v>261</v>
      </c>
      <c r="L482" s="13">
        <v>45390</v>
      </c>
      <c r="M482" t="s">
        <v>3418</v>
      </c>
      <c r="N482" t="s">
        <v>3419</v>
      </c>
      <c r="O482">
        <v>192</v>
      </c>
      <c r="P482" t="s">
        <v>808</v>
      </c>
    </row>
    <row r="483" spans="1:16" ht="15" customHeight="1" x14ac:dyDescent="0.4">
      <c r="A483" t="s">
        <v>15</v>
      </c>
      <c r="B483" t="s">
        <v>16</v>
      </c>
      <c r="C483" s="13">
        <v>45292</v>
      </c>
      <c r="D483" s="13">
        <v>45657</v>
      </c>
      <c r="E483" t="s">
        <v>30</v>
      </c>
      <c r="F483">
        <v>0</v>
      </c>
      <c r="G483" t="s">
        <v>18</v>
      </c>
      <c r="H483">
        <v>1</v>
      </c>
      <c r="I483" t="s">
        <v>19</v>
      </c>
      <c r="J483">
        <v>403</v>
      </c>
      <c r="K483" t="s">
        <v>261</v>
      </c>
      <c r="L483" s="13">
        <v>45473</v>
      </c>
      <c r="M483" t="s">
        <v>265</v>
      </c>
      <c r="N483" t="s">
        <v>3422</v>
      </c>
      <c r="O483">
        <v>520</v>
      </c>
      <c r="P483" t="s">
        <v>267</v>
      </c>
    </row>
    <row r="484" spans="1:16" ht="15" customHeight="1" x14ac:dyDescent="0.4">
      <c r="A484" t="s">
        <v>15</v>
      </c>
      <c r="B484" t="s">
        <v>16</v>
      </c>
      <c r="C484" s="13">
        <v>45292</v>
      </c>
      <c r="D484" s="13">
        <v>45657</v>
      </c>
      <c r="E484" t="s">
        <v>30</v>
      </c>
      <c r="F484">
        <v>0</v>
      </c>
      <c r="G484" t="s">
        <v>18</v>
      </c>
      <c r="H484">
        <v>1</v>
      </c>
      <c r="I484" t="s">
        <v>19</v>
      </c>
      <c r="J484">
        <v>403</v>
      </c>
      <c r="K484" t="s">
        <v>261</v>
      </c>
      <c r="L484" s="13">
        <v>45473</v>
      </c>
      <c r="M484" t="s">
        <v>3420</v>
      </c>
      <c r="N484" t="s">
        <v>3421</v>
      </c>
      <c r="O484">
        <v>260</v>
      </c>
      <c r="P484" t="s">
        <v>264</v>
      </c>
    </row>
    <row r="485" spans="1:16" ht="15" customHeight="1" x14ac:dyDescent="0.4">
      <c r="A485" t="s">
        <v>15</v>
      </c>
      <c r="B485" t="s">
        <v>16</v>
      </c>
      <c r="C485" s="13">
        <v>45292</v>
      </c>
      <c r="D485" s="13">
        <v>45657</v>
      </c>
      <c r="E485" t="s">
        <v>30</v>
      </c>
      <c r="F485">
        <v>0</v>
      </c>
      <c r="G485" t="s">
        <v>18</v>
      </c>
      <c r="H485">
        <v>1</v>
      </c>
      <c r="I485" t="s">
        <v>19</v>
      </c>
      <c r="J485">
        <v>403</v>
      </c>
      <c r="K485" t="s">
        <v>261</v>
      </c>
      <c r="L485" s="13">
        <v>45565</v>
      </c>
      <c r="M485" t="s">
        <v>3792</v>
      </c>
      <c r="N485" t="s">
        <v>3793</v>
      </c>
      <c r="O485">
        <v>260</v>
      </c>
      <c r="P485" t="s">
        <v>267</v>
      </c>
    </row>
    <row r="486" spans="1:16" ht="15" customHeight="1" x14ac:dyDescent="0.4">
      <c r="A486" t="s">
        <v>15</v>
      </c>
      <c r="B486" t="s">
        <v>16</v>
      </c>
      <c r="C486" s="13">
        <v>45292</v>
      </c>
      <c r="D486" s="13">
        <v>45657</v>
      </c>
      <c r="E486" t="s">
        <v>30</v>
      </c>
      <c r="F486">
        <v>0</v>
      </c>
      <c r="G486" t="s">
        <v>18</v>
      </c>
      <c r="H486">
        <v>1</v>
      </c>
      <c r="I486" t="s">
        <v>19</v>
      </c>
      <c r="J486">
        <v>403</v>
      </c>
      <c r="K486" t="s">
        <v>261</v>
      </c>
      <c r="L486" s="13">
        <v>45596</v>
      </c>
      <c r="M486" t="s">
        <v>3794</v>
      </c>
      <c r="N486" t="s">
        <v>3795</v>
      </c>
      <c r="O486">
        <v>260</v>
      </c>
      <c r="P486" t="s">
        <v>264</v>
      </c>
    </row>
    <row r="487" spans="1:16" ht="15" customHeight="1" x14ac:dyDescent="0.4">
      <c r="A487" t="s">
        <v>15</v>
      </c>
      <c r="B487" t="s">
        <v>16</v>
      </c>
      <c r="C487" s="13">
        <v>45292</v>
      </c>
      <c r="D487" s="13">
        <v>45657</v>
      </c>
      <c r="E487" t="s">
        <v>30</v>
      </c>
      <c r="F487">
        <v>0</v>
      </c>
      <c r="G487" t="s">
        <v>18</v>
      </c>
      <c r="H487">
        <v>1</v>
      </c>
      <c r="I487" t="s">
        <v>19</v>
      </c>
      <c r="J487">
        <v>403</v>
      </c>
      <c r="K487" t="s">
        <v>261</v>
      </c>
      <c r="L487" s="13">
        <v>45628</v>
      </c>
      <c r="M487" t="s">
        <v>3796</v>
      </c>
      <c r="N487" t="s">
        <v>3797</v>
      </c>
      <c r="O487">
        <v>130</v>
      </c>
      <c r="P487" t="s">
        <v>808</v>
      </c>
    </row>
    <row r="488" spans="1:16" ht="15" customHeight="1" x14ac:dyDescent="0.4">
      <c r="A488" t="s">
        <v>15</v>
      </c>
      <c r="B488" t="s">
        <v>16</v>
      </c>
      <c r="C488" s="13">
        <v>45292</v>
      </c>
      <c r="D488" s="13">
        <v>45657</v>
      </c>
      <c r="E488" t="s">
        <v>30</v>
      </c>
      <c r="F488">
        <v>0</v>
      </c>
      <c r="G488" t="s">
        <v>18</v>
      </c>
      <c r="H488">
        <v>1</v>
      </c>
      <c r="I488" t="s">
        <v>19</v>
      </c>
      <c r="J488">
        <v>403</v>
      </c>
      <c r="K488" t="s">
        <v>261</v>
      </c>
      <c r="L488" s="13">
        <v>45641</v>
      </c>
      <c r="M488" t="s">
        <v>3799</v>
      </c>
      <c r="N488" t="s">
        <v>3798</v>
      </c>
      <c r="O488">
        <v>130</v>
      </c>
      <c r="P488" t="s">
        <v>264</v>
      </c>
    </row>
    <row r="489" spans="1:16" ht="15" customHeight="1" x14ac:dyDescent="0.4">
      <c r="A489" t="s">
        <v>15</v>
      </c>
      <c r="B489" t="s">
        <v>16</v>
      </c>
      <c r="C489" s="13">
        <v>45292</v>
      </c>
      <c r="D489" s="13">
        <v>45657</v>
      </c>
      <c r="E489" t="s">
        <v>30</v>
      </c>
      <c r="F489">
        <v>0</v>
      </c>
      <c r="G489" t="s">
        <v>18</v>
      </c>
      <c r="H489">
        <v>1</v>
      </c>
      <c r="I489" t="s">
        <v>19</v>
      </c>
      <c r="J489">
        <v>403</v>
      </c>
      <c r="K489" t="s">
        <v>261</v>
      </c>
      <c r="L489" s="13">
        <v>45641</v>
      </c>
      <c r="M489" t="s">
        <v>3792</v>
      </c>
      <c r="N489" t="s">
        <v>3798</v>
      </c>
      <c r="O489">
        <v>260</v>
      </c>
      <c r="P489" t="s">
        <v>264</v>
      </c>
    </row>
    <row r="490" spans="1:16" ht="15" customHeight="1" x14ac:dyDescent="0.4">
      <c r="A490" t="s">
        <v>15</v>
      </c>
      <c r="B490" t="s">
        <v>16</v>
      </c>
      <c r="C490" s="13">
        <v>45292</v>
      </c>
      <c r="D490" s="13">
        <v>45657</v>
      </c>
      <c r="E490" t="s">
        <v>17</v>
      </c>
      <c r="F490">
        <v>0</v>
      </c>
      <c r="G490" t="s">
        <v>18</v>
      </c>
      <c r="H490">
        <v>1</v>
      </c>
      <c r="I490" t="s">
        <v>19</v>
      </c>
      <c r="J490">
        <v>441</v>
      </c>
      <c r="K490" t="s">
        <v>268</v>
      </c>
      <c r="L490" s="13">
        <v>45295</v>
      </c>
      <c r="M490" t="s">
        <v>3423</v>
      </c>
      <c r="N490" t="s">
        <v>3424</v>
      </c>
      <c r="O490">
        <v>7350.36</v>
      </c>
      <c r="P490" t="s">
        <v>271</v>
      </c>
    </row>
    <row r="491" spans="1:16" ht="15" customHeight="1" x14ac:dyDescent="0.4">
      <c r="A491" t="s">
        <v>15</v>
      </c>
      <c r="B491" t="s">
        <v>16</v>
      </c>
      <c r="C491" s="13">
        <v>45292</v>
      </c>
      <c r="D491" s="13">
        <v>45657</v>
      </c>
      <c r="E491" t="s">
        <v>17</v>
      </c>
      <c r="F491">
        <v>0</v>
      </c>
      <c r="G491" t="s">
        <v>18</v>
      </c>
      <c r="H491">
        <v>1</v>
      </c>
      <c r="I491" t="s">
        <v>19</v>
      </c>
      <c r="J491">
        <v>461</v>
      </c>
      <c r="K491" t="s">
        <v>272</v>
      </c>
      <c r="L491" s="13">
        <v>45399</v>
      </c>
      <c r="M491" t="s">
        <v>3800</v>
      </c>
      <c r="N491" t="s">
        <v>3425</v>
      </c>
      <c r="O491">
        <v>2237.5300000000002</v>
      </c>
      <c r="P491" t="s">
        <v>805</v>
      </c>
    </row>
    <row r="492" spans="1:16" ht="15" customHeight="1" x14ac:dyDescent="0.4">
      <c r="A492" t="s">
        <v>15</v>
      </c>
      <c r="B492" t="s">
        <v>16</v>
      </c>
      <c r="C492" s="13">
        <v>45292</v>
      </c>
      <c r="D492" s="13">
        <v>45657</v>
      </c>
      <c r="E492" t="s">
        <v>17</v>
      </c>
      <c r="F492">
        <v>0</v>
      </c>
      <c r="G492" t="s">
        <v>18</v>
      </c>
      <c r="H492">
        <v>1</v>
      </c>
      <c r="I492" t="s">
        <v>19</v>
      </c>
      <c r="J492">
        <v>702</v>
      </c>
      <c r="K492" t="s">
        <v>275</v>
      </c>
      <c r="L492" s="13">
        <v>45657</v>
      </c>
      <c r="M492" t="s">
        <v>3801</v>
      </c>
      <c r="N492" t="s">
        <v>46</v>
      </c>
      <c r="O492">
        <v>46.62</v>
      </c>
      <c r="P492" t="s">
        <v>46</v>
      </c>
    </row>
    <row r="493" spans="1:16" ht="15" customHeight="1" x14ac:dyDescent="0.4">
      <c r="A493" t="s">
        <v>15</v>
      </c>
      <c r="B493" t="s">
        <v>16</v>
      </c>
      <c r="C493" s="13">
        <v>45292</v>
      </c>
      <c r="D493" s="13">
        <v>45657</v>
      </c>
      <c r="E493" t="s">
        <v>30</v>
      </c>
      <c r="F493">
        <v>0</v>
      </c>
      <c r="G493" t="s">
        <v>18</v>
      </c>
      <c r="H493">
        <v>1</v>
      </c>
      <c r="I493" t="s">
        <v>19</v>
      </c>
      <c r="J493">
        <v>787</v>
      </c>
      <c r="K493" t="s">
        <v>1216</v>
      </c>
      <c r="L493" s="13">
        <v>45320</v>
      </c>
      <c r="M493" t="s">
        <v>3802</v>
      </c>
      <c r="N493" t="s">
        <v>3803</v>
      </c>
      <c r="O493">
        <v>27.4</v>
      </c>
      <c r="P493" t="s">
        <v>965</v>
      </c>
    </row>
    <row r="494" spans="1:16" ht="15" customHeight="1" x14ac:dyDescent="0.4">
      <c r="A494" t="s">
        <v>15</v>
      </c>
      <c r="B494" t="s">
        <v>16</v>
      </c>
      <c r="C494" s="13">
        <v>45292</v>
      </c>
      <c r="D494" s="13">
        <v>45657</v>
      </c>
      <c r="E494" t="s">
        <v>17</v>
      </c>
      <c r="F494">
        <v>0</v>
      </c>
      <c r="G494" t="s">
        <v>18</v>
      </c>
      <c r="H494">
        <v>1</v>
      </c>
      <c r="I494" t="s">
        <v>19</v>
      </c>
      <c r="J494">
        <v>791</v>
      </c>
      <c r="K494" t="s">
        <v>277</v>
      </c>
      <c r="L494" s="13">
        <v>45292</v>
      </c>
      <c r="M494" t="s">
        <v>3804</v>
      </c>
      <c r="N494" t="s">
        <v>3426</v>
      </c>
      <c r="O494">
        <v>393.73</v>
      </c>
      <c r="P494" t="s">
        <v>280</v>
      </c>
    </row>
    <row r="495" spans="1:16" ht="15" customHeight="1" x14ac:dyDescent="0.4">
      <c r="A495" t="s">
        <v>15</v>
      </c>
      <c r="B495" t="s">
        <v>16</v>
      </c>
      <c r="C495" s="13">
        <v>45292</v>
      </c>
      <c r="D495" s="13">
        <v>45657</v>
      </c>
      <c r="E495" t="s">
        <v>17</v>
      </c>
      <c r="F495">
        <v>0</v>
      </c>
      <c r="G495" t="s">
        <v>18</v>
      </c>
      <c r="H495">
        <v>1</v>
      </c>
      <c r="I495" t="s">
        <v>19</v>
      </c>
      <c r="J495">
        <v>791</v>
      </c>
      <c r="K495" t="s">
        <v>277</v>
      </c>
      <c r="L495" s="13">
        <v>45359</v>
      </c>
      <c r="M495" t="s">
        <v>3427</v>
      </c>
      <c r="N495" t="s">
        <v>3428</v>
      </c>
      <c r="O495">
        <v>393.73</v>
      </c>
      <c r="P495" t="s">
        <v>280</v>
      </c>
    </row>
    <row r="496" spans="1:16" ht="15" customHeight="1" x14ac:dyDescent="0.4">
      <c r="A496" t="s">
        <v>15</v>
      </c>
      <c r="B496" t="s">
        <v>16</v>
      </c>
      <c r="C496" s="13">
        <v>45292</v>
      </c>
      <c r="D496" s="13">
        <v>45657</v>
      </c>
      <c r="E496" t="s">
        <v>17</v>
      </c>
      <c r="F496">
        <v>0</v>
      </c>
      <c r="G496" t="s">
        <v>18</v>
      </c>
      <c r="H496">
        <v>1</v>
      </c>
      <c r="I496" t="s">
        <v>19</v>
      </c>
      <c r="J496">
        <v>791</v>
      </c>
      <c r="K496" t="s">
        <v>277</v>
      </c>
      <c r="L496" s="13">
        <v>45468</v>
      </c>
      <c r="M496" t="s">
        <v>3805</v>
      </c>
      <c r="N496" t="s">
        <v>3806</v>
      </c>
      <c r="O496">
        <v>393.73</v>
      </c>
      <c r="P496" t="s">
        <v>280</v>
      </c>
    </row>
    <row r="497" spans="1:16" ht="15" customHeight="1" x14ac:dyDescent="0.4">
      <c r="A497" t="s">
        <v>15</v>
      </c>
      <c r="B497" t="s">
        <v>16</v>
      </c>
      <c r="C497" s="13">
        <v>45292</v>
      </c>
      <c r="D497" s="13">
        <v>45657</v>
      </c>
      <c r="E497" t="s">
        <v>17</v>
      </c>
      <c r="F497">
        <v>0</v>
      </c>
      <c r="G497" t="s">
        <v>18</v>
      </c>
      <c r="H497">
        <v>1</v>
      </c>
      <c r="I497" t="s">
        <v>19</v>
      </c>
      <c r="J497">
        <v>791</v>
      </c>
      <c r="K497" t="s">
        <v>277</v>
      </c>
      <c r="L497" s="13">
        <v>45653</v>
      </c>
      <c r="M497" t="s">
        <v>3807</v>
      </c>
      <c r="N497" t="s">
        <v>3808</v>
      </c>
      <c r="O497">
        <v>393.73</v>
      </c>
      <c r="P497" t="s">
        <v>280</v>
      </c>
    </row>
    <row r="498" spans="1:16" ht="15" customHeight="1" x14ac:dyDescent="0.4">
      <c r="A498" t="s">
        <v>15</v>
      </c>
      <c r="B498" t="s">
        <v>16</v>
      </c>
      <c r="C498" s="13">
        <v>45292</v>
      </c>
      <c r="D498" s="13">
        <v>45657</v>
      </c>
      <c r="E498" t="s">
        <v>17</v>
      </c>
      <c r="F498">
        <v>0</v>
      </c>
      <c r="G498" t="s">
        <v>18</v>
      </c>
      <c r="H498">
        <v>1</v>
      </c>
      <c r="I498" t="s">
        <v>19</v>
      </c>
      <c r="J498">
        <v>791</v>
      </c>
      <c r="K498" t="s">
        <v>277</v>
      </c>
      <c r="L498" s="13">
        <v>45657</v>
      </c>
      <c r="M498" t="s">
        <v>287</v>
      </c>
      <c r="N498" t="s">
        <v>288</v>
      </c>
      <c r="O498">
        <v>-524.91999999999996</v>
      </c>
      <c r="P498" t="s">
        <v>46</v>
      </c>
    </row>
    <row r="499" spans="1:16" ht="15" customHeight="1" x14ac:dyDescent="0.4">
      <c r="A499" t="s">
        <v>15</v>
      </c>
      <c r="B499" t="s">
        <v>16</v>
      </c>
      <c r="C499" s="13">
        <v>45292</v>
      </c>
      <c r="D499" s="13">
        <v>45657</v>
      </c>
      <c r="E499" t="s">
        <v>30</v>
      </c>
      <c r="F499">
        <v>0</v>
      </c>
      <c r="G499" t="s">
        <v>18</v>
      </c>
      <c r="H499">
        <v>1</v>
      </c>
      <c r="I499" t="s">
        <v>19</v>
      </c>
      <c r="J499">
        <v>793</v>
      </c>
      <c r="K499" t="s">
        <v>2786</v>
      </c>
      <c r="L499" s="13">
        <v>45485</v>
      </c>
      <c r="M499" t="s">
        <v>3809</v>
      </c>
      <c r="N499" t="s">
        <v>3810</v>
      </c>
      <c r="O499">
        <v>267.08</v>
      </c>
      <c r="P499" t="s">
        <v>965</v>
      </c>
    </row>
    <row r="500" spans="1:16" ht="15" customHeight="1" x14ac:dyDescent="0.4">
      <c r="A500" t="s">
        <v>15</v>
      </c>
      <c r="B500" t="s">
        <v>16</v>
      </c>
      <c r="C500" s="13">
        <v>45292</v>
      </c>
      <c r="D500" s="13">
        <v>45657</v>
      </c>
      <c r="E500" t="s">
        <v>17</v>
      </c>
      <c r="F500">
        <v>0</v>
      </c>
      <c r="G500" t="s">
        <v>18</v>
      </c>
      <c r="H500">
        <v>1</v>
      </c>
      <c r="I500" t="s">
        <v>19</v>
      </c>
      <c r="J500">
        <v>841</v>
      </c>
      <c r="K500" t="s">
        <v>289</v>
      </c>
      <c r="L500" s="13">
        <v>45322</v>
      </c>
      <c r="M500" t="s">
        <v>3811</v>
      </c>
      <c r="N500" t="s">
        <v>3812</v>
      </c>
      <c r="O500">
        <v>1015.8</v>
      </c>
      <c r="P500" t="s">
        <v>292</v>
      </c>
    </row>
    <row r="501" spans="1:16" ht="15" customHeight="1" x14ac:dyDescent="0.4">
      <c r="A501" t="s">
        <v>15</v>
      </c>
      <c r="B501" t="s">
        <v>16</v>
      </c>
      <c r="C501" s="13">
        <v>45292</v>
      </c>
      <c r="D501" s="13">
        <v>45657</v>
      </c>
      <c r="E501" t="s">
        <v>17</v>
      </c>
      <c r="F501">
        <v>0</v>
      </c>
      <c r="G501" t="s">
        <v>18</v>
      </c>
      <c r="H501">
        <v>1</v>
      </c>
      <c r="I501" t="s">
        <v>19</v>
      </c>
      <c r="J501">
        <v>841</v>
      </c>
      <c r="K501" t="s">
        <v>289</v>
      </c>
      <c r="L501" s="13">
        <v>45349</v>
      </c>
      <c r="M501" t="s">
        <v>3429</v>
      </c>
      <c r="N501" t="s">
        <v>3430</v>
      </c>
      <c r="O501">
        <v>1015.8</v>
      </c>
      <c r="P501" t="s">
        <v>292</v>
      </c>
    </row>
    <row r="502" spans="1:16" ht="15" customHeight="1" x14ac:dyDescent="0.4">
      <c r="A502" t="s">
        <v>15</v>
      </c>
      <c r="B502" t="s">
        <v>16</v>
      </c>
      <c r="C502" s="13">
        <v>45292</v>
      </c>
      <c r="D502" s="13">
        <v>45657</v>
      </c>
      <c r="E502" t="s">
        <v>17</v>
      </c>
      <c r="F502">
        <v>0</v>
      </c>
      <c r="G502" t="s">
        <v>18</v>
      </c>
      <c r="H502">
        <v>1</v>
      </c>
      <c r="I502" t="s">
        <v>19</v>
      </c>
      <c r="J502">
        <v>841</v>
      </c>
      <c r="K502" t="s">
        <v>289</v>
      </c>
      <c r="L502" s="13">
        <v>45400</v>
      </c>
      <c r="M502" t="s">
        <v>3431</v>
      </c>
      <c r="N502" t="s">
        <v>3432</v>
      </c>
      <c r="O502">
        <v>1015.81</v>
      </c>
      <c r="P502" t="s">
        <v>292</v>
      </c>
    </row>
    <row r="503" spans="1:16" ht="15" customHeight="1" x14ac:dyDescent="0.4">
      <c r="A503" t="s">
        <v>15</v>
      </c>
      <c r="B503" t="s">
        <v>16</v>
      </c>
      <c r="C503" s="13">
        <v>45292</v>
      </c>
      <c r="D503" s="13">
        <v>45657</v>
      </c>
      <c r="E503" t="s">
        <v>17</v>
      </c>
      <c r="F503">
        <v>0</v>
      </c>
      <c r="G503" t="s">
        <v>18</v>
      </c>
      <c r="H503">
        <v>1</v>
      </c>
      <c r="I503" t="s">
        <v>19</v>
      </c>
      <c r="J503">
        <v>841</v>
      </c>
      <c r="K503" t="s">
        <v>289</v>
      </c>
      <c r="L503" s="13">
        <v>45412</v>
      </c>
      <c r="M503" t="s">
        <v>3813</v>
      </c>
      <c r="N503" t="s">
        <v>3433</v>
      </c>
      <c r="O503">
        <v>1056.43</v>
      </c>
      <c r="P503" t="s">
        <v>292</v>
      </c>
    </row>
    <row r="504" spans="1:16" ht="15" customHeight="1" x14ac:dyDescent="0.4">
      <c r="A504" t="s">
        <v>15</v>
      </c>
      <c r="B504" t="s">
        <v>16</v>
      </c>
      <c r="C504" s="13">
        <v>45292</v>
      </c>
      <c r="D504" s="13">
        <v>45657</v>
      </c>
      <c r="E504" t="s">
        <v>17</v>
      </c>
      <c r="F504">
        <v>0</v>
      </c>
      <c r="G504" t="s">
        <v>18</v>
      </c>
      <c r="H504">
        <v>1</v>
      </c>
      <c r="I504" t="s">
        <v>19</v>
      </c>
      <c r="J504">
        <v>841</v>
      </c>
      <c r="K504" t="s">
        <v>289</v>
      </c>
      <c r="L504" s="13">
        <v>45423</v>
      </c>
      <c r="M504" t="s">
        <v>3814</v>
      </c>
      <c r="N504" t="s">
        <v>3434</v>
      </c>
      <c r="O504">
        <v>1056.43</v>
      </c>
      <c r="P504" t="s">
        <v>292</v>
      </c>
    </row>
    <row r="505" spans="1:16" ht="15" customHeight="1" x14ac:dyDescent="0.4">
      <c r="A505" t="s">
        <v>15</v>
      </c>
      <c r="B505" t="s">
        <v>16</v>
      </c>
      <c r="C505" s="13">
        <v>45292</v>
      </c>
      <c r="D505" s="13">
        <v>45657</v>
      </c>
      <c r="E505" t="s">
        <v>17</v>
      </c>
      <c r="F505">
        <v>0</v>
      </c>
      <c r="G505" t="s">
        <v>18</v>
      </c>
      <c r="H505">
        <v>1</v>
      </c>
      <c r="I505" t="s">
        <v>19</v>
      </c>
      <c r="J505">
        <v>841</v>
      </c>
      <c r="K505" t="s">
        <v>289</v>
      </c>
      <c r="L505" s="13">
        <v>45454</v>
      </c>
      <c r="M505" t="s">
        <v>3815</v>
      </c>
      <c r="N505" t="s">
        <v>3435</v>
      </c>
      <c r="O505">
        <v>1056.43</v>
      </c>
      <c r="P505" t="s">
        <v>292</v>
      </c>
    </row>
    <row r="506" spans="1:16" ht="15" customHeight="1" x14ac:dyDescent="0.4">
      <c r="A506" t="s">
        <v>15</v>
      </c>
      <c r="B506" t="s">
        <v>16</v>
      </c>
      <c r="C506" s="13">
        <v>45292</v>
      </c>
      <c r="D506" s="13">
        <v>45657</v>
      </c>
      <c r="E506" t="s">
        <v>17</v>
      </c>
      <c r="F506">
        <v>0</v>
      </c>
      <c r="G506" t="s">
        <v>18</v>
      </c>
      <c r="H506">
        <v>1</v>
      </c>
      <c r="I506" t="s">
        <v>19</v>
      </c>
      <c r="J506">
        <v>841</v>
      </c>
      <c r="K506" t="s">
        <v>289</v>
      </c>
      <c r="L506" s="13">
        <v>45504</v>
      </c>
      <c r="M506" t="s">
        <v>3816</v>
      </c>
      <c r="N506" t="s">
        <v>3817</v>
      </c>
      <c r="O506">
        <v>1056.43</v>
      </c>
      <c r="P506" t="s">
        <v>292</v>
      </c>
    </row>
    <row r="507" spans="1:16" ht="15" customHeight="1" x14ac:dyDescent="0.4">
      <c r="A507" t="s">
        <v>15</v>
      </c>
      <c r="B507" t="s">
        <v>16</v>
      </c>
      <c r="C507" s="13">
        <v>45292</v>
      </c>
      <c r="D507" s="13">
        <v>45657</v>
      </c>
      <c r="E507" t="s">
        <v>17</v>
      </c>
      <c r="F507">
        <v>0</v>
      </c>
      <c r="G507" t="s">
        <v>18</v>
      </c>
      <c r="H507">
        <v>1</v>
      </c>
      <c r="I507" t="s">
        <v>19</v>
      </c>
      <c r="J507">
        <v>841</v>
      </c>
      <c r="K507" t="s">
        <v>289</v>
      </c>
      <c r="L507" s="13">
        <v>45535</v>
      </c>
      <c r="M507" t="s">
        <v>3818</v>
      </c>
      <c r="N507" t="s">
        <v>3819</v>
      </c>
      <c r="O507">
        <v>1056.43</v>
      </c>
      <c r="P507" t="s">
        <v>292</v>
      </c>
    </row>
    <row r="508" spans="1:16" ht="15" customHeight="1" x14ac:dyDescent="0.4">
      <c r="A508" t="s">
        <v>15</v>
      </c>
      <c r="B508" t="s">
        <v>16</v>
      </c>
      <c r="C508" s="13">
        <v>45292</v>
      </c>
      <c r="D508" s="13">
        <v>45657</v>
      </c>
      <c r="E508" t="s">
        <v>17</v>
      </c>
      <c r="F508">
        <v>0</v>
      </c>
      <c r="G508" t="s">
        <v>18</v>
      </c>
      <c r="H508">
        <v>1</v>
      </c>
      <c r="I508" t="s">
        <v>19</v>
      </c>
      <c r="J508">
        <v>841</v>
      </c>
      <c r="K508" t="s">
        <v>289</v>
      </c>
      <c r="L508" s="13">
        <v>45565</v>
      </c>
      <c r="M508" t="s">
        <v>3820</v>
      </c>
      <c r="N508" t="s">
        <v>3821</v>
      </c>
      <c r="O508">
        <v>1056.43</v>
      </c>
      <c r="P508" t="s">
        <v>292</v>
      </c>
    </row>
    <row r="509" spans="1:16" ht="15" customHeight="1" x14ac:dyDescent="0.4">
      <c r="A509" t="s">
        <v>15</v>
      </c>
      <c r="B509" t="s">
        <v>16</v>
      </c>
      <c r="C509" s="13">
        <v>45292</v>
      </c>
      <c r="D509" s="13">
        <v>45657</v>
      </c>
      <c r="E509" t="s">
        <v>17</v>
      </c>
      <c r="F509">
        <v>0</v>
      </c>
      <c r="G509" t="s">
        <v>18</v>
      </c>
      <c r="H509">
        <v>1</v>
      </c>
      <c r="I509" t="s">
        <v>19</v>
      </c>
      <c r="J509">
        <v>841</v>
      </c>
      <c r="K509" t="s">
        <v>289</v>
      </c>
      <c r="L509" s="13">
        <v>45596</v>
      </c>
      <c r="M509" t="s">
        <v>3822</v>
      </c>
      <c r="N509" t="s">
        <v>3823</v>
      </c>
      <c r="O509">
        <v>1056.43</v>
      </c>
      <c r="P509" t="s">
        <v>292</v>
      </c>
    </row>
    <row r="510" spans="1:16" ht="15" customHeight="1" x14ac:dyDescent="0.4">
      <c r="A510" t="s">
        <v>15</v>
      </c>
      <c r="B510" t="s">
        <v>16</v>
      </c>
      <c r="C510" s="13">
        <v>45292</v>
      </c>
      <c r="D510" s="13">
        <v>45657</v>
      </c>
      <c r="E510" t="s">
        <v>17</v>
      </c>
      <c r="F510">
        <v>0</v>
      </c>
      <c r="G510" t="s">
        <v>18</v>
      </c>
      <c r="H510">
        <v>1</v>
      </c>
      <c r="I510" t="s">
        <v>19</v>
      </c>
      <c r="J510">
        <v>841</v>
      </c>
      <c r="K510" t="s">
        <v>289</v>
      </c>
      <c r="L510" s="13">
        <v>45618</v>
      </c>
      <c r="M510" t="s">
        <v>3824</v>
      </c>
      <c r="N510" t="s">
        <v>3825</v>
      </c>
      <c r="O510">
        <v>1056.43</v>
      </c>
      <c r="P510" t="s">
        <v>292</v>
      </c>
    </row>
    <row r="511" spans="1:16" ht="15" customHeight="1" x14ac:dyDescent="0.4">
      <c r="A511" t="s">
        <v>15</v>
      </c>
      <c r="B511" t="s">
        <v>16</v>
      </c>
      <c r="C511" s="13">
        <v>45292</v>
      </c>
      <c r="D511" s="13">
        <v>45657</v>
      </c>
      <c r="E511" t="s">
        <v>17</v>
      </c>
      <c r="F511">
        <v>0</v>
      </c>
      <c r="G511" t="s">
        <v>18</v>
      </c>
      <c r="H511">
        <v>1</v>
      </c>
      <c r="I511" t="s">
        <v>19</v>
      </c>
      <c r="J511">
        <v>841</v>
      </c>
      <c r="K511" t="s">
        <v>289</v>
      </c>
      <c r="L511" s="13">
        <v>45637</v>
      </c>
      <c r="M511" t="s">
        <v>3826</v>
      </c>
      <c r="N511" t="s">
        <v>3827</v>
      </c>
      <c r="O511">
        <v>1056.43</v>
      </c>
      <c r="P511" t="s">
        <v>292</v>
      </c>
    </row>
    <row r="512" spans="1:16" ht="15" customHeight="1" x14ac:dyDescent="0.4">
      <c r="A512" t="s">
        <v>15</v>
      </c>
      <c r="B512" t="s">
        <v>16</v>
      </c>
      <c r="C512" s="13">
        <v>45292</v>
      </c>
      <c r="D512" s="13">
        <v>45657</v>
      </c>
      <c r="E512" t="s">
        <v>17</v>
      </c>
      <c r="F512">
        <v>0</v>
      </c>
      <c r="G512" t="s">
        <v>18</v>
      </c>
      <c r="H512">
        <v>1</v>
      </c>
      <c r="I512" t="s">
        <v>19</v>
      </c>
      <c r="J512">
        <v>845</v>
      </c>
      <c r="K512" t="s">
        <v>315</v>
      </c>
      <c r="L512" s="13">
        <v>45455</v>
      </c>
      <c r="M512" t="s">
        <v>3436</v>
      </c>
      <c r="N512" t="s">
        <v>3437</v>
      </c>
      <c r="O512">
        <v>1020</v>
      </c>
      <c r="P512" t="s">
        <v>292</v>
      </c>
    </row>
    <row r="513" spans="1:16" ht="15" customHeight="1" x14ac:dyDescent="0.4">
      <c r="A513" t="s">
        <v>15</v>
      </c>
      <c r="B513" t="s">
        <v>16</v>
      </c>
      <c r="C513" s="13">
        <v>45292</v>
      </c>
      <c r="D513" s="13">
        <v>45657</v>
      </c>
      <c r="E513" t="s">
        <v>17</v>
      </c>
      <c r="F513">
        <v>0</v>
      </c>
      <c r="G513" t="s">
        <v>18</v>
      </c>
      <c r="H513">
        <v>1</v>
      </c>
      <c r="I513" t="s">
        <v>19</v>
      </c>
      <c r="J513">
        <v>881</v>
      </c>
      <c r="K513" t="s">
        <v>327</v>
      </c>
      <c r="L513" s="13">
        <v>45657</v>
      </c>
      <c r="M513" t="s">
        <v>328</v>
      </c>
      <c r="N513" t="s">
        <v>329</v>
      </c>
      <c r="O513">
        <v>32.89</v>
      </c>
      <c r="P513" t="s">
        <v>46</v>
      </c>
    </row>
    <row r="514" spans="1:16" ht="15" customHeight="1" x14ac:dyDescent="0.4">
      <c r="A514" t="s">
        <v>15</v>
      </c>
      <c r="B514" t="s">
        <v>16</v>
      </c>
      <c r="C514" s="13">
        <v>45292</v>
      </c>
      <c r="D514" s="13">
        <v>45657</v>
      </c>
      <c r="E514" t="s">
        <v>17</v>
      </c>
      <c r="F514">
        <v>0</v>
      </c>
      <c r="G514" t="s">
        <v>18</v>
      </c>
      <c r="H514">
        <v>1</v>
      </c>
      <c r="I514" t="s">
        <v>19</v>
      </c>
      <c r="J514">
        <v>883</v>
      </c>
      <c r="K514" t="s">
        <v>330</v>
      </c>
      <c r="L514" s="13">
        <v>45342</v>
      </c>
      <c r="M514" t="s">
        <v>3438</v>
      </c>
      <c r="N514" t="s">
        <v>3439</v>
      </c>
      <c r="O514">
        <v>143.41999999999999</v>
      </c>
      <c r="P514" t="s">
        <v>333</v>
      </c>
    </row>
    <row r="515" spans="1:16" ht="15" customHeight="1" x14ac:dyDescent="0.4">
      <c r="A515" t="s">
        <v>15</v>
      </c>
      <c r="B515" t="s">
        <v>16</v>
      </c>
      <c r="C515" s="13">
        <v>45292</v>
      </c>
      <c r="D515" s="13">
        <v>45657</v>
      </c>
      <c r="E515" t="s">
        <v>17</v>
      </c>
      <c r="F515">
        <v>0</v>
      </c>
      <c r="G515" t="s">
        <v>18</v>
      </c>
      <c r="H515">
        <v>1</v>
      </c>
      <c r="I515" t="s">
        <v>19</v>
      </c>
      <c r="J515">
        <v>909</v>
      </c>
      <c r="K515" t="s">
        <v>334</v>
      </c>
      <c r="L515" s="13">
        <v>45657</v>
      </c>
      <c r="M515" t="s">
        <v>3828</v>
      </c>
      <c r="N515" t="s">
        <v>46</v>
      </c>
      <c r="O515">
        <v>-52116.31</v>
      </c>
      <c r="P515" t="s">
        <v>46</v>
      </c>
    </row>
    <row r="516" spans="1:16" ht="15" customHeight="1" x14ac:dyDescent="0.4">
      <c r="A516" t="s">
        <v>15</v>
      </c>
      <c r="B516" t="s">
        <v>16</v>
      </c>
      <c r="C516" s="13">
        <v>45292</v>
      </c>
      <c r="D516" s="13">
        <v>45657</v>
      </c>
      <c r="E516" t="s">
        <v>17</v>
      </c>
      <c r="F516">
        <v>0</v>
      </c>
      <c r="G516" t="s">
        <v>18</v>
      </c>
      <c r="H516">
        <v>1</v>
      </c>
      <c r="I516" t="s">
        <v>19</v>
      </c>
      <c r="J516">
        <v>952</v>
      </c>
      <c r="K516" t="s">
        <v>336</v>
      </c>
      <c r="L516" s="13">
        <v>45294</v>
      </c>
      <c r="M516" t="s">
        <v>3829</v>
      </c>
      <c r="N516" t="s">
        <v>3440</v>
      </c>
      <c r="O516">
        <v>-1678.15</v>
      </c>
      <c r="P516" t="s">
        <v>46</v>
      </c>
    </row>
    <row r="517" spans="1:16" ht="15" customHeight="1" x14ac:dyDescent="0.4">
      <c r="A517" t="s">
        <v>15</v>
      </c>
      <c r="B517" t="s">
        <v>16</v>
      </c>
      <c r="C517" s="13">
        <v>45292</v>
      </c>
      <c r="D517" s="13">
        <v>45657</v>
      </c>
      <c r="E517" t="s">
        <v>17</v>
      </c>
      <c r="F517">
        <v>0</v>
      </c>
      <c r="G517" t="s">
        <v>18</v>
      </c>
      <c r="H517">
        <v>1</v>
      </c>
      <c r="I517" t="s">
        <v>19</v>
      </c>
      <c r="J517">
        <v>952</v>
      </c>
      <c r="K517" t="s">
        <v>336</v>
      </c>
      <c r="L517" s="13">
        <v>45541</v>
      </c>
      <c r="M517" t="s">
        <v>3829</v>
      </c>
      <c r="N517" t="s">
        <v>3830</v>
      </c>
      <c r="O517">
        <v>-559.38</v>
      </c>
      <c r="P517" t="s">
        <v>46</v>
      </c>
    </row>
    <row r="518" spans="1:16" ht="15" customHeight="1" x14ac:dyDescent="0.4">
      <c r="A518" t="s">
        <v>15</v>
      </c>
      <c r="B518" t="s">
        <v>16</v>
      </c>
      <c r="C518" s="13">
        <v>45292</v>
      </c>
      <c r="D518" s="13">
        <v>45657</v>
      </c>
      <c r="E518" t="s">
        <v>17</v>
      </c>
      <c r="F518">
        <v>0</v>
      </c>
      <c r="G518" t="s">
        <v>18</v>
      </c>
      <c r="H518">
        <v>1</v>
      </c>
      <c r="I518" t="s">
        <v>19</v>
      </c>
      <c r="J518">
        <v>988</v>
      </c>
      <c r="K518" t="s">
        <v>339</v>
      </c>
      <c r="L518" s="13">
        <v>45292</v>
      </c>
      <c r="M518" t="s">
        <v>3831</v>
      </c>
      <c r="N518" t="s">
        <v>341</v>
      </c>
      <c r="O518">
        <v>0.94</v>
      </c>
      <c r="P518" t="s">
        <v>46</v>
      </c>
    </row>
    <row r="519" spans="1:16" ht="15" customHeight="1" x14ac:dyDescent="0.4">
      <c r="A519" t="s">
        <v>15</v>
      </c>
      <c r="B519" t="s">
        <v>16</v>
      </c>
      <c r="C519" s="13">
        <v>45292</v>
      </c>
      <c r="D519" s="13">
        <v>45657</v>
      </c>
      <c r="E519" t="s">
        <v>17</v>
      </c>
      <c r="F519">
        <v>0</v>
      </c>
      <c r="G519" t="s">
        <v>18</v>
      </c>
      <c r="H519">
        <v>1</v>
      </c>
      <c r="I519" t="s">
        <v>19</v>
      </c>
      <c r="J519">
        <v>988</v>
      </c>
      <c r="K519" t="s">
        <v>339</v>
      </c>
      <c r="L519" s="13">
        <v>45657</v>
      </c>
      <c r="M519" t="s">
        <v>4200</v>
      </c>
      <c r="N519" t="s">
        <v>341</v>
      </c>
      <c r="O519">
        <v>-0.21</v>
      </c>
      <c r="P519" t="s">
        <v>46</v>
      </c>
    </row>
    <row r="520" spans="1:16" ht="15" customHeight="1" x14ac:dyDescent="0.4">
      <c r="A520" t="s">
        <v>15</v>
      </c>
      <c r="B520" t="s">
        <v>16</v>
      </c>
      <c r="C520" s="13">
        <v>45292</v>
      </c>
      <c r="D520" s="13">
        <v>45657</v>
      </c>
      <c r="E520" t="s">
        <v>17</v>
      </c>
      <c r="F520">
        <v>0</v>
      </c>
      <c r="G520" t="s">
        <v>342</v>
      </c>
      <c r="H520">
        <v>2</v>
      </c>
      <c r="I520" t="s">
        <v>343</v>
      </c>
      <c r="J520">
        <v>205</v>
      </c>
      <c r="K520" t="s">
        <v>344</v>
      </c>
      <c r="L520" s="13">
        <v>45464</v>
      </c>
      <c r="M520" t="s">
        <v>3832</v>
      </c>
      <c r="N520" t="s">
        <v>3330</v>
      </c>
      <c r="O520">
        <v>1122</v>
      </c>
      <c r="P520" t="s">
        <v>347</v>
      </c>
    </row>
    <row r="521" spans="1:16" ht="15" customHeight="1" x14ac:dyDescent="0.4">
      <c r="A521" t="s">
        <v>15</v>
      </c>
      <c r="B521" t="s">
        <v>16</v>
      </c>
      <c r="C521" s="13">
        <v>45292</v>
      </c>
      <c r="D521" s="13">
        <v>45657</v>
      </c>
      <c r="E521" t="s">
        <v>17</v>
      </c>
      <c r="F521">
        <v>0</v>
      </c>
      <c r="G521" t="s">
        <v>342</v>
      </c>
      <c r="H521">
        <v>2</v>
      </c>
      <c r="I521" t="s">
        <v>343</v>
      </c>
      <c r="J521">
        <v>242</v>
      </c>
      <c r="K521" t="s">
        <v>348</v>
      </c>
      <c r="L521" s="13">
        <v>45657</v>
      </c>
      <c r="M521" t="s">
        <v>3833</v>
      </c>
      <c r="N521" t="s">
        <v>45</v>
      </c>
      <c r="O521">
        <v>501.98</v>
      </c>
      <c r="P521" t="s">
        <v>46</v>
      </c>
    </row>
    <row r="522" spans="1:16" ht="15" customHeight="1" x14ac:dyDescent="0.4">
      <c r="A522" t="s">
        <v>15</v>
      </c>
      <c r="B522" t="s">
        <v>16</v>
      </c>
      <c r="C522" s="13">
        <v>45292</v>
      </c>
      <c r="D522" s="13">
        <v>45657</v>
      </c>
      <c r="E522" t="s">
        <v>17</v>
      </c>
      <c r="F522">
        <v>0</v>
      </c>
      <c r="G522" t="s">
        <v>342</v>
      </c>
      <c r="H522">
        <v>2</v>
      </c>
      <c r="I522" t="s">
        <v>343</v>
      </c>
      <c r="J522">
        <v>269</v>
      </c>
      <c r="K522" t="s">
        <v>3656</v>
      </c>
      <c r="L522" s="13">
        <v>45314</v>
      </c>
      <c r="M522" t="s">
        <v>76</v>
      </c>
      <c r="N522" t="s">
        <v>2925</v>
      </c>
      <c r="O522">
        <v>36.07</v>
      </c>
      <c r="P522" t="s">
        <v>52</v>
      </c>
    </row>
    <row r="523" spans="1:16" ht="15" customHeight="1" x14ac:dyDescent="0.4">
      <c r="A523" t="s">
        <v>15</v>
      </c>
      <c r="B523" t="s">
        <v>16</v>
      </c>
      <c r="C523" s="13">
        <v>45292</v>
      </c>
      <c r="D523" s="13">
        <v>45657</v>
      </c>
      <c r="E523" t="s">
        <v>17</v>
      </c>
      <c r="F523">
        <v>0</v>
      </c>
      <c r="G523" t="s">
        <v>342</v>
      </c>
      <c r="H523">
        <v>2</v>
      </c>
      <c r="I523" t="s">
        <v>343</v>
      </c>
      <c r="J523">
        <v>269</v>
      </c>
      <c r="K523" t="s">
        <v>3656</v>
      </c>
      <c r="L523" s="13">
        <v>45350</v>
      </c>
      <c r="M523" t="s">
        <v>76</v>
      </c>
      <c r="N523" t="s">
        <v>3441</v>
      </c>
      <c r="O523">
        <v>32.340000000000003</v>
      </c>
      <c r="P523" t="s">
        <v>52</v>
      </c>
    </row>
    <row r="524" spans="1:16" ht="15" customHeight="1" x14ac:dyDescent="0.4">
      <c r="A524" t="s">
        <v>15</v>
      </c>
      <c r="B524" t="s">
        <v>16</v>
      </c>
      <c r="C524" s="13">
        <v>45292</v>
      </c>
      <c r="D524" s="13">
        <v>45657</v>
      </c>
      <c r="E524" t="s">
        <v>17</v>
      </c>
      <c r="F524">
        <v>0</v>
      </c>
      <c r="G524" t="s">
        <v>342</v>
      </c>
      <c r="H524">
        <v>2</v>
      </c>
      <c r="I524" t="s">
        <v>343</v>
      </c>
      <c r="J524">
        <v>269</v>
      </c>
      <c r="K524" t="s">
        <v>3656</v>
      </c>
      <c r="L524" s="13">
        <v>45392</v>
      </c>
      <c r="M524" t="s">
        <v>76</v>
      </c>
      <c r="N524" t="s">
        <v>3442</v>
      </c>
      <c r="O524">
        <v>31.85</v>
      </c>
      <c r="P524" t="s">
        <v>52</v>
      </c>
    </row>
    <row r="525" spans="1:16" ht="15" customHeight="1" x14ac:dyDescent="0.4">
      <c r="A525" t="s">
        <v>15</v>
      </c>
      <c r="B525" t="s">
        <v>16</v>
      </c>
      <c r="C525" s="13">
        <v>45292</v>
      </c>
      <c r="D525" s="13">
        <v>45657</v>
      </c>
      <c r="E525" t="s">
        <v>17</v>
      </c>
      <c r="F525">
        <v>0</v>
      </c>
      <c r="G525" t="s">
        <v>342</v>
      </c>
      <c r="H525">
        <v>2</v>
      </c>
      <c r="I525" t="s">
        <v>343</v>
      </c>
      <c r="J525">
        <v>269</v>
      </c>
      <c r="K525" t="s">
        <v>3656</v>
      </c>
      <c r="L525" s="13">
        <v>45404</v>
      </c>
      <c r="M525" t="s">
        <v>76</v>
      </c>
      <c r="N525" t="s">
        <v>3443</v>
      </c>
      <c r="O525">
        <v>24.65</v>
      </c>
      <c r="P525" t="s">
        <v>52</v>
      </c>
    </row>
    <row r="526" spans="1:16" ht="15" customHeight="1" x14ac:dyDescent="0.4">
      <c r="A526" t="s">
        <v>15</v>
      </c>
      <c r="B526" t="s">
        <v>16</v>
      </c>
      <c r="C526" s="13">
        <v>45292</v>
      </c>
      <c r="D526" s="13">
        <v>45657</v>
      </c>
      <c r="E526" t="s">
        <v>17</v>
      </c>
      <c r="F526">
        <v>0</v>
      </c>
      <c r="G526" t="s">
        <v>342</v>
      </c>
      <c r="H526">
        <v>2</v>
      </c>
      <c r="I526" t="s">
        <v>343</v>
      </c>
      <c r="J526">
        <v>269</v>
      </c>
      <c r="K526" t="s">
        <v>3656</v>
      </c>
      <c r="L526" s="13">
        <v>45457</v>
      </c>
      <c r="M526" t="s">
        <v>76</v>
      </c>
      <c r="N526" t="s">
        <v>3444</v>
      </c>
      <c r="O526">
        <v>23.57</v>
      </c>
      <c r="P526" t="s">
        <v>52</v>
      </c>
    </row>
    <row r="527" spans="1:16" ht="15" customHeight="1" x14ac:dyDescent="0.4">
      <c r="A527" t="s">
        <v>15</v>
      </c>
      <c r="B527" t="s">
        <v>16</v>
      </c>
      <c r="C527" s="13">
        <v>45292</v>
      </c>
      <c r="D527" s="13">
        <v>45657</v>
      </c>
      <c r="E527" t="s">
        <v>17</v>
      </c>
      <c r="F527">
        <v>0</v>
      </c>
      <c r="G527" t="s">
        <v>342</v>
      </c>
      <c r="H527">
        <v>2</v>
      </c>
      <c r="I527" t="s">
        <v>343</v>
      </c>
      <c r="J527">
        <v>269</v>
      </c>
      <c r="K527" t="s">
        <v>3656</v>
      </c>
      <c r="L527" s="13">
        <v>45475</v>
      </c>
      <c r="M527" t="s">
        <v>76</v>
      </c>
      <c r="N527" t="s">
        <v>3445</v>
      </c>
      <c r="O527">
        <v>26.24</v>
      </c>
      <c r="P527" t="s">
        <v>52</v>
      </c>
    </row>
    <row r="528" spans="1:16" ht="15" customHeight="1" x14ac:dyDescent="0.4">
      <c r="A528" t="s">
        <v>15</v>
      </c>
      <c r="B528" t="s">
        <v>16</v>
      </c>
      <c r="C528" s="13">
        <v>45292</v>
      </c>
      <c r="D528" s="13">
        <v>45657</v>
      </c>
      <c r="E528" t="s">
        <v>17</v>
      </c>
      <c r="F528">
        <v>0</v>
      </c>
      <c r="G528" t="s">
        <v>342</v>
      </c>
      <c r="H528">
        <v>2</v>
      </c>
      <c r="I528" t="s">
        <v>343</v>
      </c>
      <c r="J528">
        <v>269</v>
      </c>
      <c r="K528" t="s">
        <v>3656</v>
      </c>
      <c r="L528" s="13">
        <v>45495</v>
      </c>
      <c r="M528" t="s">
        <v>76</v>
      </c>
      <c r="N528" t="s">
        <v>3834</v>
      </c>
      <c r="O528">
        <v>20.93</v>
      </c>
      <c r="P528" t="s">
        <v>52</v>
      </c>
    </row>
    <row r="529" spans="1:16" ht="15" customHeight="1" x14ac:dyDescent="0.4">
      <c r="A529" t="s">
        <v>15</v>
      </c>
      <c r="B529" t="s">
        <v>16</v>
      </c>
      <c r="C529" s="13">
        <v>45292</v>
      </c>
      <c r="D529" s="13">
        <v>45657</v>
      </c>
      <c r="E529" t="s">
        <v>17</v>
      </c>
      <c r="F529">
        <v>0</v>
      </c>
      <c r="G529" t="s">
        <v>342</v>
      </c>
      <c r="H529">
        <v>2</v>
      </c>
      <c r="I529" t="s">
        <v>343</v>
      </c>
      <c r="J529">
        <v>269</v>
      </c>
      <c r="K529" t="s">
        <v>3656</v>
      </c>
      <c r="L529" s="13">
        <v>45530</v>
      </c>
      <c r="M529" t="s">
        <v>76</v>
      </c>
      <c r="N529" t="s">
        <v>3835</v>
      </c>
      <c r="O529">
        <v>30.99</v>
      </c>
      <c r="P529" t="s">
        <v>52</v>
      </c>
    </row>
    <row r="530" spans="1:16" ht="15" customHeight="1" x14ac:dyDescent="0.4">
      <c r="A530" t="s">
        <v>15</v>
      </c>
      <c r="B530" t="s">
        <v>16</v>
      </c>
      <c r="C530" s="13">
        <v>45292</v>
      </c>
      <c r="D530" s="13">
        <v>45657</v>
      </c>
      <c r="E530" t="s">
        <v>17</v>
      </c>
      <c r="F530">
        <v>0</v>
      </c>
      <c r="G530" t="s">
        <v>342</v>
      </c>
      <c r="H530">
        <v>2</v>
      </c>
      <c r="I530" t="s">
        <v>343</v>
      </c>
      <c r="J530">
        <v>269</v>
      </c>
      <c r="K530" t="s">
        <v>3656</v>
      </c>
      <c r="L530" s="13">
        <v>45587</v>
      </c>
      <c r="M530" t="s">
        <v>76</v>
      </c>
      <c r="N530" t="s">
        <v>3836</v>
      </c>
      <c r="O530">
        <v>21.85</v>
      </c>
      <c r="P530" t="s">
        <v>52</v>
      </c>
    </row>
    <row r="531" spans="1:16" ht="15" customHeight="1" x14ac:dyDescent="0.4">
      <c r="A531" t="s">
        <v>15</v>
      </c>
      <c r="B531" t="s">
        <v>16</v>
      </c>
      <c r="C531" s="13">
        <v>45292</v>
      </c>
      <c r="D531" s="13">
        <v>45657</v>
      </c>
      <c r="E531" t="s">
        <v>17</v>
      </c>
      <c r="F531">
        <v>0</v>
      </c>
      <c r="G531" t="s">
        <v>342</v>
      </c>
      <c r="H531">
        <v>2</v>
      </c>
      <c r="I531" t="s">
        <v>343</v>
      </c>
      <c r="J531">
        <v>269</v>
      </c>
      <c r="K531" t="s">
        <v>3656</v>
      </c>
      <c r="L531" s="13">
        <v>45610</v>
      </c>
      <c r="M531" t="s">
        <v>76</v>
      </c>
      <c r="N531" t="s">
        <v>3837</v>
      </c>
      <c r="O531">
        <v>27.29</v>
      </c>
      <c r="P531" t="s">
        <v>52</v>
      </c>
    </row>
    <row r="532" spans="1:16" ht="15" customHeight="1" x14ac:dyDescent="0.4">
      <c r="A532" t="s">
        <v>15</v>
      </c>
      <c r="B532" t="s">
        <v>16</v>
      </c>
      <c r="C532" s="13">
        <v>45292</v>
      </c>
      <c r="D532" s="13">
        <v>45657</v>
      </c>
      <c r="E532" t="s">
        <v>17</v>
      </c>
      <c r="F532">
        <v>0</v>
      </c>
      <c r="G532" t="s">
        <v>342</v>
      </c>
      <c r="H532">
        <v>2</v>
      </c>
      <c r="I532" t="s">
        <v>343</v>
      </c>
      <c r="J532">
        <v>269</v>
      </c>
      <c r="K532" t="s">
        <v>3656</v>
      </c>
      <c r="L532" s="13">
        <v>45618</v>
      </c>
      <c r="M532" t="s">
        <v>76</v>
      </c>
      <c r="N532" t="s">
        <v>3838</v>
      </c>
      <c r="O532">
        <v>23.35</v>
      </c>
      <c r="P532" t="s">
        <v>52</v>
      </c>
    </row>
    <row r="533" spans="1:16" ht="15" customHeight="1" x14ac:dyDescent="0.4">
      <c r="A533" t="s">
        <v>15</v>
      </c>
      <c r="B533" t="s">
        <v>16</v>
      </c>
      <c r="C533" s="13">
        <v>45292</v>
      </c>
      <c r="D533" s="13">
        <v>45657</v>
      </c>
      <c r="E533" t="s">
        <v>17</v>
      </c>
      <c r="F533">
        <v>0</v>
      </c>
      <c r="G533" t="s">
        <v>342</v>
      </c>
      <c r="H533">
        <v>2</v>
      </c>
      <c r="I533" t="s">
        <v>343</v>
      </c>
      <c r="J533">
        <v>269</v>
      </c>
      <c r="K533" t="s">
        <v>3656</v>
      </c>
      <c r="L533" s="13">
        <v>45648</v>
      </c>
      <c r="M533" t="s">
        <v>76</v>
      </c>
      <c r="N533" t="s">
        <v>3839</v>
      </c>
      <c r="O533">
        <v>26.84</v>
      </c>
      <c r="P533" t="s">
        <v>52</v>
      </c>
    </row>
    <row r="534" spans="1:16" ht="15" customHeight="1" x14ac:dyDescent="0.4">
      <c r="A534" t="s">
        <v>15</v>
      </c>
      <c r="B534" t="s">
        <v>16</v>
      </c>
      <c r="C534" s="13">
        <v>45292</v>
      </c>
      <c r="D534" s="13">
        <v>45657</v>
      </c>
      <c r="E534" t="s">
        <v>17</v>
      </c>
      <c r="F534">
        <v>0</v>
      </c>
      <c r="G534" t="s">
        <v>342</v>
      </c>
      <c r="H534">
        <v>2</v>
      </c>
      <c r="I534" t="s">
        <v>343</v>
      </c>
      <c r="J534">
        <v>702</v>
      </c>
      <c r="K534" t="s">
        <v>275</v>
      </c>
      <c r="L534" s="13">
        <v>45657</v>
      </c>
      <c r="M534" t="s">
        <v>3801</v>
      </c>
      <c r="N534" t="s">
        <v>46</v>
      </c>
      <c r="O534">
        <v>139.88</v>
      </c>
      <c r="P534" t="s">
        <v>46</v>
      </c>
    </row>
    <row r="535" spans="1:16" ht="15" customHeight="1" x14ac:dyDescent="0.4">
      <c r="A535" t="s">
        <v>15</v>
      </c>
      <c r="B535" t="s">
        <v>16</v>
      </c>
      <c r="C535" s="13">
        <v>45292</v>
      </c>
      <c r="D535" s="13">
        <v>45657</v>
      </c>
      <c r="E535" t="s">
        <v>17</v>
      </c>
      <c r="F535">
        <v>0</v>
      </c>
      <c r="G535" t="s">
        <v>342</v>
      </c>
      <c r="H535">
        <v>2</v>
      </c>
      <c r="I535" t="s">
        <v>343</v>
      </c>
      <c r="J535">
        <v>706</v>
      </c>
      <c r="K535" t="s">
        <v>365</v>
      </c>
      <c r="L535" s="13">
        <v>45393</v>
      </c>
      <c r="M535" t="s">
        <v>3840</v>
      </c>
      <c r="N535" t="s">
        <v>3841</v>
      </c>
      <c r="O535">
        <v>59.98</v>
      </c>
      <c r="P535" t="s">
        <v>368</v>
      </c>
    </row>
    <row r="536" spans="1:16" ht="15" customHeight="1" x14ac:dyDescent="0.4">
      <c r="A536" t="s">
        <v>15</v>
      </c>
      <c r="B536" t="s">
        <v>16</v>
      </c>
      <c r="C536" s="13">
        <v>45292</v>
      </c>
      <c r="D536" s="13">
        <v>45657</v>
      </c>
      <c r="E536" t="s">
        <v>17</v>
      </c>
      <c r="F536">
        <v>0</v>
      </c>
      <c r="G536" t="s">
        <v>342</v>
      </c>
      <c r="H536">
        <v>2</v>
      </c>
      <c r="I536" t="s">
        <v>343</v>
      </c>
      <c r="J536">
        <v>791</v>
      </c>
      <c r="K536" t="s">
        <v>369</v>
      </c>
      <c r="L536" s="13">
        <v>45657</v>
      </c>
      <c r="M536" t="s">
        <v>370</v>
      </c>
      <c r="N536" t="s">
        <v>288</v>
      </c>
      <c r="O536">
        <v>524.91999999999996</v>
      </c>
      <c r="P536" t="s">
        <v>46</v>
      </c>
    </row>
    <row r="537" spans="1:16" ht="15" customHeight="1" x14ac:dyDescent="0.4">
      <c r="A537" t="s">
        <v>15</v>
      </c>
      <c r="B537" t="s">
        <v>16</v>
      </c>
      <c r="C537" s="13">
        <v>45292</v>
      </c>
      <c r="D537" s="13">
        <v>45657</v>
      </c>
      <c r="E537" t="s">
        <v>17</v>
      </c>
      <c r="F537">
        <v>0</v>
      </c>
      <c r="G537" t="s">
        <v>342</v>
      </c>
      <c r="H537">
        <v>2</v>
      </c>
      <c r="I537" t="s">
        <v>343</v>
      </c>
      <c r="J537">
        <v>883</v>
      </c>
      <c r="K537" t="s">
        <v>371</v>
      </c>
      <c r="L537" s="13">
        <v>45534</v>
      </c>
      <c r="M537" t="s">
        <v>3842</v>
      </c>
      <c r="N537" t="s">
        <v>3843</v>
      </c>
      <c r="O537">
        <v>176.28</v>
      </c>
      <c r="P537" t="s">
        <v>374</v>
      </c>
    </row>
    <row r="538" spans="1:16" ht="15" customHeight="1" x14ac:dyDescent="0.4">
      <c r="A538" t="s">
        <v>15</v>
      </c>
      <c r="B538" t="s">
        <v>16</v>
      </c>
      <c r="C538" s="13">
        <v>45292</v>
      </c>
      <c r="D538" s="13">
        <v>45657</v>
      </c>
      <c r="E538" t="s">
        <v>17</v>
      </c>
      <c r="F538">
        <v>0</v>
      </c>
      <c r="G538" t="s">
        <v>342</v>
      </c>
      <c r="H538">
        <v>2</v>
      </c>
      <c r="I538" t="s">
        <v>343</v>
      </c>
      <c r="J538">
        <v>883</v>
      </c>
      <c r="K538" t="s">
        <v>371</v>
      </c>
      <c r="L538" s="13">
        <v>45657</v>
      </c>
      <c r="M538" t="s">
        <v>375</v>
      </c>
      <c r="N538" t="s">
        <v>376</v>
      </c>
      <c r="O538">
        <v>-58.75</v>
      </c>
      <c r="P538" t="s">
        <v>46</v>
      </c>
    </row>
    <row r="539" spans="1:16" ht="15" customHeight="1" x14ac:dyDescent="0.4">
      <c r="A539" t="s">
        <v>15</v>
      </c>
      <c r="B539" t="s">
        <v>16</v>
      </c>
      <c r="C539" s="13">
        <v>45292</v>
      </c>
      <c r="D539" s="13">
        <v>45657</v>
      </c>
      <c r="E539" t="s">
        <v>17</v>
      </c>
      <c r="F539">
        <v>0</v>
      </c>
      <c r="G539" t="s">
        <v>342</v>
      </c>
      <c r="H539">
        <v>2</v>
      </c>
      <c r="I539" t="s">
        <v>343</v>
      </c>
      <c r="J539">
        <v>891</v>
      </c>
      <c r="K539" t="s">
        <v>377</v>
      </c>
      <c r="L539" s="13">
        <v>45657</v>
      </c>
      <c r="M539" t="s">
        <v>3844</v>
      </c>
      <c r="N539" t="s">
        <v>46</v>
      </c>
      <c r="O539">
        <v>18005.330000000002</v>
      </c>
      <c r="P539" t="s">
        <v>46</v>
      </c>
    </row>
    <row r="540" spans="1:16" ht="15" customHeight="1" x14ac:dyDescent="0.4">
      <c r="A540" t="s">
        <v>15</v>
      </c>
      <c r="B540" t="s">
        <v>16</v>
      </c>
      <c r="C540" s="13">
        <v>45292</v>
      </c>
      <c r="D540" s="13">
        <v>45657</v>
      </c>
      <c r="E540" t="s">
        <v>30</v>
      </c>
      <c r="F540">
        <v>0</v>
      </c>
      <c r="G540" t="s">
        <v>379</v>
      </c>
      <c r="H540">
        <v>3</v>
      </c>
      <c r="I540" t="s">
        <v>380</v>
      </c>
      <c r="J540">
        <v>231</v>
      </c>
      <c r="K540" t="s">
        <v>381</v>
      </c>
      <c r="L540" s="13">
        <v>45315</v>
      </c>
      <c r="M540" t="s">
        <v>3446</v>
      </c>
      <c r="N540" t="s">
        <v>3447</v>
      </c>
      <c r="O540">
        <v>294.16000000000003</v>
      </c>
      <c r="P540" t="s">
        <v>384</v>
      </c>
    </row>
    <row r="541" spans="1:16" ht="15" customHeight="1" x14ac:dyDescent="0.4">
      <c r="A541" t="s">
        <v>15</v>
      </c>
      <c r="B541" t="s">
        <v>16</v>
      </c>
      <c r="C541" s="13">
        <v>45292</v>
      </c>
      <c r="D541" s="13">
        <v>45657</v>
      </c>
      <c r="E541" t="s">
        <v>17</v>
      </c>
      <c r="F541">
        <v>0</v>
      </c>
      <c r="G541" t="s">
        <v>379</v>
      </c>
      <c r="H541">
        <v>3</v>
      </c>
      <c r="I541" t="s">
        <v>380</v>
      </c>
      <c r="J541">
        <v>241</v>
      </c>
      <c r="K541" t="s">
        <v>385</v>
      </c>
      <c r="L541" s="13">
        <v>45583</v>
      </c>
      <c r="M541" t="s">
        <v>3845</v>
      </c>
      <c r="N541" t="s">
        <v>3846</v>
      </c>
      <c r="O541">
        <v>150</v>
      </c>
      <c r="P541" t="s">
        <v>388</v>
      </c>
    </row>
    <row r="542" spans="1:16" ht="15" customHeight="1" x14ac:dyDescent="0.4">
      <c r="A542" t="s">
        <v>15</v>
      </c>
      <c r="B542" t="s">
        <v>16</v>
      </c>
      <c r="C542" s="13">
        <v>45292</v>
      </c>
      <c r="D542" s="13">
        <v>45657</v>
      </c>
      <c r="E542" t="s">
        <v>17</v>
      </c>
      <c r="F542">
        <v>0</v>
      </c>
      <c r="G542" t="s">
        <v>379</v>
      </c>
      <c r="H542">
        <v>3</v>
      </c>
      <c r="I542" t="s">
        <v>380</v>
      </c>
      <c r="J542">
        <v>352</v>
      </c>
      <c r="K542" t="s">
        <v>389</v>
      </c>
      <c r="L542" s="13">
        <v>45364</v>
      </c>
      <c r="M542" t="s">
        <v>3448</v>
      </c>
      <c r="N542" t="s">
        <v>3449</v>
      </c>
      <c r="O542">
        <v>13.64</v>
      </c>
      <c r="P542" t="s">
        <v>392</v>
      </c>
    </row>
    <row r="543" spans="1:16" ht="15" customHeight="1" x14ac:dyDescent="0.4">
      <c r="A543" t="s">
        <v>15</v>
      </c>
      <c r="B543" t="s">
        <v>16</v>
      </c>
      <c r="C543" s="13">
        <v>45292</v>
      </c>
      <c r="D543" s="13">
        <v>45657</v>
      </c>
      <c r="E543" t="s">
        <v>17</v>
      </c>
      <c r="F543">
        <v>0</v>
      </c>
      <c r="G543" t="s">
        <v>379</v>
      </c>
      <c r="H543">
        <v>3</v>
      </c>
      <c r="I543" t="s">
        <v>380</v>
      </c>
      <c r="J543">
        <v>352</v>
      </c>
      <c r="K543" t="s">
        <v>389</v>
      </c>
      <c r="L543" s="13">
        <v>45440</v>
      </c>
      <c r="M543" t="s">
        <v>3450</v>
      </c>
      <c r="N543" t="s">
        <v>3451</v>
      </c>
      <c r="O543">
        <v>4.2699999999999996</v>
      </c>
      <c r="P543" t="s">
        <v>392</v>
      </c>
    </row>
    <row r="544" spans="1:16" ht="15" customHeight="1" x14ac:dyDescent="0.4">
      <c r="A544" t="s">
        <v>15</v>
      </c>
      <c r="B544" t="s">
        <v>16</v>
      </c>
      <c r="C544" s="13">
        <v>45292</v>
      </c>
      <c r="D544" s="13">
        <v>45657</v>
      </c>
      <c r="E544" t="s">
        <v>17</v>
      </c>
      <c r="F544">
        <v>0</v>
      </c>
      <c r="G544" t="s">
        <v>379</v>
      </c>
      <c r="H544">
        <v>3</v>
      </c>
      <c r="I544" t="s">
        <v>380</v>
      </c>
      <c r="J544">
        <v>352</v>
      </c>
      <c r="K544" t="s">
        <v>389</v>
      </c>
      <c r="L544" s="13">
        <v>45477</v>
      </c>
      <c r="M544" t="s">
        <v>3847</v>
      </c>
      <c r="N544" t="s">
        <v>3848</v>
      </c>
      <c r="O544">
        <v>21.18</v>
      </c>
      <c r="P544" t="s">
        <v>3130</v>
      </c>
    </row>
    <row r="545" spans="1:16" ht="15" customHeight="1" x14ac:dyDescent="0.4">
      <c r="A545" t="s">
        <v>15</v>
      </c>
      <c r="B545" t="s">
        <v>16</v>
      </c>
      <c r="C545" s="13">
        <v>45292</v>
      </c>
      <c r="D545" s="13">
        <v>45657</v>
      </c>
      <c r="E545" t="s">
        <v>17</v>
      </c>
      <c r="F545">
        <v>0</v>
      </c>
      <c r="G545" t="s">
        <v>379</v>
      </c>
      <c r="H545">
        <v>3</v>
      </c>
      <c r="I545" t="s">
        <v>380</v>
      </c>
      <c r="J545">
        <v>352</v>
      </c>
      <c r="K545" t="s">
        <v>389</v>
      </c>
      <c r="L545" s="13">
        <v>45485</v>
      </c>
      <c r="M545" t="s">
        <v>3452</v>
      </c>
      <c r="N545" t="s">
        <v>3453</v>
      </c>
      <c r="O545">
        <v>44.64</v>
      </c>
      <c r="P545" t="s">
        <v>392</v>
      </c>
    </row>
    <row r="546" spans="1:16" ht="15" customHeight="1" x14ac:dyDescent="0.4">
      <c r="A546" t="s">
        <v>15</v>
      </c>
      <c r="B546" t="s">
        <v>16</v>
      </c>
      <c r="C546" s="13">
        <v>45292</v>
      </c>
      <c r="D546" s="13">
        <v>45657</v>
      </c>
      <c r="E546" t="s">
        <v>17</v>
      </c>
      <c r="F546">
        <v>0</v>
      </c>
      <c r="G546" t="s">
        <v>379</v>
      </c>
      <c r="H546">
        <v>3</v>
      </c>
      <c r="I546" t="s">
        <v>380</v>
      </c>
      <c r="J546">
        <v>352</v>
      </c>
      <c r="K546" t="s">
        <v>389</v>
      </c>
      <c r="L546" s="13">
        <v>45558</v>
      </c>
      <c r="M546" t="s">
        <v>3452</v>
      </c>
      <c r="N546" t="s">
        <v>3849</v>
      </c>
      <c r="O546">
        <v>43.92</v>
      </c>
      <c r="P546" t="s">
        <v>392</v>
      </c>
    </row>
    <row r="547" spans="1:16" ht="15" customHeight="1" x14ac:dyDescent="0.4">
      <c r="A547" t="s">
        <v>15</v>
      </c>
      <c r="B547" t="s">
        <v>16</v>
      </c>
      <c r="C547" s="13">
        <v>45292</v>
      </c>
      <c r="D547" s="13">
        <v>45657</v>
      </c>
      <c r="E547" t="s">
        <v>17</v>
      </c>
      <c r="F547">
        <v>0</v>
      </c>
      <c r="G547" t="s">
        <v>379</v>
      </c>
      <c r="H547">
        <v>3</v>
      </c>
      <c r="I547" t="s">
        <v>380</v>
      </c>
      <c r="J547">
        <v>352</v>
      </c>
      <c r="K547" t="s">
        <v>389</v>
      </c>
      <c r="L547" s="13">
        <v>45576</v>
      </c>
      <c r="M547" t="s">
        <v>3850</v>
      </c>
      <c r="N547" t="s">
        <v>3851</v>
      </c>
      <c r="O547">
        <v>13.65</v>
      </c>
      <c r="P547" t="s">
        <v>407</v>
      </c>
    </row>
    <row r="548" spans="1:16" ht="15" customHeight="1" x14ac:dyDescent="0.4">
      <c r="A548" t="s">
        <v>15</v>
      </c>
      <c r="B548" t="s">
        <v>16</v>
      </c>
      <c r="C548" s="13">
        <v>45292</v>
      </c>
      <c r="D548" s="13">
        <v>45657</v>
      </c>
      <c r="E548" t="s">
        <v>17</v>
      </c>
      <c r="F548">
        <v>0</v>
      </c>
      <c r="G548" t="s">
        <v>379</v>
      </c>
      <c r="H548">
        <v>3</v>
      </c>
      <c r="I548" t="s">
        <v>380</v>
      </c>
      <c r="J548">
        <v>352</v>
      </c>
      <c r="K548" t="s">
        <v>389</v>
      </c>
      <c r="L548" s="13">
        <v>45609</v>
      </c>
      <c r="M548" t="s">
        <v>3852</v>
      </c>
      <c r="N548" t="s">
        <v>3853</v>
      </c>
      <c r="O548">
        <v>236.86</v>
      </c>
      <c r="P548" t="s">
        <v>392</v>
      </c>
    </row>
    <row r="549" spans="1:16" ht="15" customHeight="1" x14ac:dyDescent="0.4">
      <c r="A549" t="s">
        <v>15</v>
      </c>
      <c r="B549" t="s">
        <v>16</v>
      </c>
      <c r="C549" s="13">
        <v>45292</v>
      </c>
      <c r="D549" s="13">
        <v>45657</v>
      </c>
      <c r="E549" t="s">
        <v>17</v>
      </c>
      <c r="F549">
        <v>0</v>
      </c>
      <c r="G549" t="s">
        <v>379</v>
      </c>
      <c r="H549">
        <v>3</v>
      </c>
      <c r="I549" t="s">
        <v>380</v>
      </c>
      <c r="J549">
        <v>352</v>
      </c>
      <c r="K549" t="s">
        <v>389</v>
      </c>
      <c r="L549" s="13">
        <v>45653</v>
      </c>
      <c r="M549" t="s">
        <v>3452</v>
      </c>
      <c r="N549" t="s">
        <v>3854</v>
      </c>
      <c r="O549">
        <v>57.6</v>
      </c>
      <c r="P549" t="s">
        <v>392</v>
      </c>
    </row>
    <row r="550" spans="1:16" ht="15" customHeight="1" x14ac:dyDescent="0.4">
      <c r="A550" t="s">
        <v>15</v>
      </c>
      <c r="B550" t="s">
        <v>16</v>
      </c>
      <c r="C550" s="13">
        <v>45292</v>
      </c>
      <c r="D550" s="13">
        <v>45657</v>
      </c>
      <c r="E550" t="s">
        <v>17</v>
      </c>
      <c r="F550">
        <v>0</v>
      </c>
      <c r="G550" t="s">
        <v>379</v>
      </c>
      <c r="H550">
        <v>3</v>
      </c>
      <c r="I550" t="s">
        <v>380</v>
      </c>
      <c r="J550">
        <v>352</v>
      </c>
      <c r="K550" t="s">
        <v>389</v>
      </c>
      <c r="L550" s="13">
        <v>45657</v>
      </c>
      <c r="M550" t="s">
        <v>3855</v>
      </c>
      <c r="N550" t="s">
        <v>3856</v>
      </c>
      <c r="O550">
        <v>0.76</v>
      </c>
      <c r="P550" t="s">
        <v>407</v>
      </c>
    </row>
    <row r="551" spans="1:16" ht="15" customHeight="1" x14ac:dyDescent="0.4">
      <c r="A551" t="s">
        <v>15</v>
      </c>
      <c r="B551" t="s">
        <v>16</v>
      </c>
      <c r="C551" s="13">
        <v>45292</v>
      </c>
      <c r="D551" s="13">
        <v>45657</v>
      </c>
      <c r="E551" t="s">
        <v>30</v>
      </c>
      <c r="F551">
        <v>0</v>
      </c>
      <c r="G551" t="s">
        <v>420</v>
      </c>
      <c r="H551">
        <v>4</v>
      </c>
      <c r="I551" t="s">
        <v>421</v>
      </c>
      <c r="J551">
        <v>116</v>
      </c>
      <c r="K551" t="s">
        <v>469</v>
      </c>
      <c r="L551" s="13">
        <v>45631</v>
      </c>
      <c r="M551" t="s">
        <v>3857</v>
      </c>
      <c r="N551" t="s">
        <v>3858</v>
      </c>
      <c r="O551">
        <v>413.16</v>
      </c>
      <c r="P551" t="s">
        <v>965</v>
      </c>
    </row>
    <row r="552" spans="1:16" ht="15" customHeight="1" x14ac:dyDescent="0.4">
      <c r="A552" t="s">
        <v>15</v>
      </c>
      <c r="B552" t="s">
        <v>16</v>
      </c>
      <c r="C552" s="13">
        <v>45292</v>
      </c>
      <c r="D552" s="13">
        <v>45657</v>
      </c>
      <c r="E552" t="s">
        <v>17</v>
      </c>
      <c r="F552">
        <v>0</v>
      </c>
      <c r="G552" t="s">
        <v>420</v>
      </c>
      <c r="H552">
        <v>4</v>
      </c>
      <c r="I552" t="s">
        <v>421</v>
      </c>
      <c r="J552">
        <v>269</v>
      </c>
      <c r="K552" t="s">
        <v>431</v>
      </c>
      <c r="L552" s="13">
        <v>45657</v>
      </c>
      <c r="M552" t="s">
        <v>432</v>
      </c>
      <c r="N552" t="s">
        <v>46</v>
      </c>
      <c r="O552">
        <v>1786.43</v>
      </c>
      <c r="P552" t="s">
        <v>46</v>
      </c>
    </row>
    <row r="553" spans="1:16" ht="15" customHeight="1" x14ac:dyDescent="0.4">
      <c r="A553" t="s">
        <v>15</v>
      </c>
      <c r="B553" t="s">
        <v>16</v>
      </c>
      <c r="C553" s="13">
        <v>45292</v>
      </c>
      <c r="D553" s="13">
        <v>45657</v>
      </c>
      <c r="E553" t="s">
        <v>17</v>
      </c>
      <c r="F553">
        <v>0</v>
      </c>
      <c r="G553" t="s">
        <v>420</v>
      </c>
      <c r="H553">
        <v>4</v>
      </c>
      <c r="I553" t="s">
        <v>421</v>
      </c>
      <c r="J553">
        <v>281</v>
      </c>
      <c r="K553" t="s">
        <v>433</v>
      </c>
      <c r="L553" s="13">
        <v>45657</v>
      </c>
      <c r="M553" t="s">
        <v>3715</v>
      </c>
      <c r="N553" t="s">
        <v>46</v>
      </c>
      <c r="O553">
        <v>-47.31</v>
      </c>
      <c r="P553" t="s">
        <v>46</v>
      </c>
    </row>
    <row r="554" spans="1:16" ht="15" customHeight="1" x14ac:dyDescent="0.4">
      <c r="A554" t="s">
        <v>15</v>
      </c>
      <c r="B554" t="s">
        <v>16</v>
      </c>
      <c r="C554" s="13">
        <v>45292</v>
      </c>
      <c r="D554" s="13">
        <v>45657</v>
      </c>
      <c r="E554" t="s">
        <v>17</v>
      </c>
      <c r="F554">
        <v>0</v>
      </c>
      <c r="G554" t="s">
        <v>420</v>
      </c>
      <c r="H554">
        <v>4</v>
      </c>
      <c r="I554" t="s">
        <v>421</v>
      </c>
      <c r="J554">
        <v>401</v>
      </c>
      <c r="K554" t="s">
        <v>435</v>
      </c>
      <c r="L554" s="13">
        <v>45322</v>
      </c>
      <c r="M554" t="s">
        <v>3454</v>
      </c>
      <c r="N554" t="s">
        <v>3455</v>
      </c>
      <c r="O554">
        <v>1043</v>
      </c>
      <c r="P554" t="s">
        <v>437</v>
      </c>
    </row>
    <row r="555" spans="1:16" ht="15" customHeight="1" x14ac:dyDescent="0.4">
      <c r="A555" t="s">
        <v>15</v>
      </c>
      <c r="B555" t="s">
        <v>16</v>
      </c>
      <c r="C555" s="13">
        <v>45292</v>
      </c>
      <c r="D555" s="13">
        <v>45657</v>
      </c>
      <c r="E555" t="s">
        <v>17</v>
      </c>
      <c r="F555">
        <v>0</v>
      </c>
      <c r="G555" t="s">
        <v>420</v>
      </c>
      <c r="H555">
        <v>4</v>
      </c>
      <c r="I555" t="s">
        <v>421</v>
      </c>
      <c r="J555">
        <v>401</v>
      </c>
      <c r="K555" t="s">
        <v>435</v>
      </c>
      <c r="L555" s="13">
        <v>45351</v>
      </c>
      <c r="M555" t="s">
        <v>3456</v>
      </c>
      <c r="N555" t="s">
        <v>3457</v>
      </c>
      <c r="O555">
        <v>1043</v>
      </c>
      <c r="P555" t="s">
        <v>437</v>
      </c>
    </row>
    <row r="556" spans="1:16" ht="15" customHeight="1" x14ac:dyDescent="0.4">
      <c r="A556" t="s">
        <v>15</v>
      </c>
      <c r="B556" t="s">
        <v>16</v>
      </c>
      <c r="C556" s="13">
        <v>45292</v>
      </c>
      <c r="D556" s="13">
        <v>45657</v>
      </c>
      <c r="E556" t="s">
        <v>17</v>
      </c>
      <c r="F556">
        <v>0</v>
      </c>
      <c r="G556" t="s">
        <v>420</v>
      </c>
      <c r="H556">
        <v>4</v>
      </c>
      <c r="I556" t="s">
        <v>421</v>
      </c>
      <c r="J556">
        <v>401</v>
      </c>
      <c r="K556" t="s">
        <v>435</v>
      </c>
      <c r="L556" s="13">
        <v>45382</v>
      </c>
      <c r="M556" t="s">
        <v>3458</v>
      </c>
      <c r="N556" t="s">
        <v>3459</v>
      </c>
      <c r="O556">
        <v>1043</v>
      </c>
      <c r="P556" t="s">
        <v>437</v>
      </c>
    </row>
    <row r="557" spans="1:16" ht="15" customHeight="1" x14ac:dyDescent="0.4">
      <c r="A557" t="s">
        <v>15</v>
      </c>
      <c r="B557" t="s">
        <v>16</v>
      </c>
      <c r="C557" s="13">
        <v>45292</v>
      </c>
      <c r="D557" s="13">
        <v>45657</v>
      </c>
      <c r="E557" t="s">
        <v>17</v>
      </c>
      <c r="F557">
        <v>0</v>
      </c>
      <c r="G557" t="s">
        <v>420</v>
      </c>
      <c r="H557">
        <v>4</v>
      </c>
      <c r="I557" t="s">
        <v>421</v>
      </c>
      <c r="J557">
        <v>401</v>
      </c>
      <c r="K557" t="s">
        <v>435</v>
      </c>
      <c r="L557" s="13">
        <v>45412</v>
      </c>
      <c r="M557" t="s">
        <v>3460</v>
      </c>
      <c r="N557" t="s">
        <v>3461</v>
      </c>
      <c r="O557">
        <v>1043</v>
      </c>
      <c r="P557" t="s">
        <v>437</v>
      </c>
    </row>
    <row r="558" spans="1:16" ht="15" customHeight="1" x14ac:dyDescent="0.4">
      <c r="A558" t="s">
        <v>15</v>
      </c>
      <c r="B558" t="s">
        <v>16</v>
      </c>
      <c r="C558" s="13">
        <v>45292</v>
      </c>
      <c r="D558" s="13">
        <v>45657</v>
      </c>
      <c r="E558" t="s">
        <v>17</v>
      </c>
      <c r="F558">
        <v>0</v>
      </c>
      <c r="G558" t="s">
        <v>420</v>
      </c>
      <c r="H558">
        <v>4</v>
      </c>
      <c r="I558" t="s">
        <v>421</v>
      </c>
      <c r="J558">
        <v>401</v>
      </c>
      <c r="K558" t="s">
        <v>435</v>
      </c>
      <c r="L558" s="13">
        <v>45443</v>
      </c>
      <c r="M558" t="s">
        <v>3462</v>
      </c>
      <c r="N558" t="s">
        <v>3463</v>
      </c>
      <c r="O558">
        <v>1043</v>
      </c>
      <c r="P558" t="s">
        <v>437</v>
      </c>
    </row>
    <row r="559" spans="1:16" ht="15" customHeight="1" x14ac:dyDescent="0.4">
      <c r="A559" t="s">
        <v>15</v>
      </c>
      <c r="B559" t="s">
        <v>16</v>
      </c>
      <c r="C559" s="13">
        <v>45292</v>
      </c>
      <c r="D559" s="13">
        <v>45657</v>
      </c>
      <c r="E559" t="s">
        <v>17</v>
      </c>
      <c r="F559">
        <v>0</v>
      </c>
      <c r="G559" t="s">
        <v>420</v>
      </c>
      <c r="H559">
        <v>4</v>
      </c>
      <c r="I559" t="s">
        <v>421</v>
      </c>
      <c r="J559">
        <v>401</v>
      </c>
      <c r="K559" t="s">
        <v>435</v>
      </c>
      <c r="L559" s="13">
        <v>45473</v>
      </c>
      <c r="M559" t="s">
        <v>3464</v>
      </c>
      <c r="N559" t="s">
        <v>3465</v>
      </c>
      <c r="O559">
        <v>1043</v>
      </c>
      <c r="P559" t="s">
        <v>437</v>
      </c>
    </row>
    <row r="560" spans="1:16" ht="15" customHeight="1" x14ac:dyDescent="0.4">
      <c r="A560" t="s">
        <v>15</v>
      </c>
      <c r="B560" t="s">
        <v>16</v>
      </c>
      <c r="C560" s="13">
        <v>45292</v>
      </c>
      <c r="D560" s="13">
        <v>45657</v>
      </c>
      <c r="E560" t="s">
        <v>17</v>
      </c>
      <c r="F560">
        <v>0</v>
      </c>
      <c r="G560" t="s">
        <v>420</v>
      </c>
      <c r="H560">
        <v>4</v>
      </c>
      <c r="I560" t="s">
        <v>421</v>
      </c>
      <c r="J560">
        <v>401</v>
      </c>
      <c r="K560" t="s">
        <v>435</v>
      </c>
      <c r="L560" s="13">
        <v>45504</v>
      </c>
      <c r="M560" t="s">
        <v>3859</v>
      </c>
      <c r="N560" t="s">
        <v>3860</v>
      </c>
      <c r="O560">
        <v>1043</v>
      </c>
      <c r="P560" t="s">
        <v>437</v>
      </c>
    </row>
    <row r="561" spans="1:16" ht="15" customHeight="1" x14ac:dyDescent="0.4">
      <c r="A561" t="s">
        <v>15</v>
      </c>
      <c r="B561" t="s">
        <v>16</v>
      </c>
      <c r="C561" s="13">
        <v>45292</v>
      </c>
      <c r="D561" s="13">
        <v>45657</v>
      </c>
      <c r="E561" t="s">
        <v>17</v>
      </c>
      <c r="F561">
        <v>0</v>
      </c>
      <c r="G561" t="s">
        <v>420</v>
      </c>
      <c r="H561">
        <v>4</v>
      </c>
      <c r="I561" t="s">
        <v>421</v>
      </c>
      <c r="J561">
        <v>401</v>
      </c>
      <c r="K561" t="s">
        <v>435</v>
      </c>
      <c r="L561" s="13">
        <v>45535</v>
      </c>
      <c r="M561" t="s">
        <v>3155</v>
      </c>
      <c r="N561" t="s">
        <v>3861</v>
      </c>
      <c r="O561">
        <v>1043</v>
      </c>
      <c r="P561" t="s">
        <v>437</v>
      </c>
    </row>
    <row r="562" spans="1:16" ht="15" customHeight="1" x14ac:dyDescent="0.4">
      <c r="A562" t="s">
        <v>15</v>
      </c>
      <c r="B562" t="s">
        <v>16</v>
      </c>
      <c r="C562" s="13">
        <v>45292</v>
      </c>
      <c r="D562" s="13">
        <v>45657</v>
      </c>
      <c r="E562" t="s">
        <v>17</v>
      </c>
      <c r="F562">
        <v>0</v>
      </c>
      <c r="G562" t="s">
        <v>420</v>
      </c>
      <c r="H562">
        <v>4</v>
      </c>
      <c r="I562" t="s">
        <v>421</v>
      </c>
      <c r="J562">
        <v>401</v>
      </c>
      <c r="K562" t="s">
        <v>435</v>
      </c>
      <c r="L562" s="13">
        <v>45565</v>
      </c>
      <c r="M562" t="s">
        <v>3157</v>
      </c>
      <c r="N562" t="s">
        <v>3862</v>
      </c>
      <c r="O562">
        <v>1043</v>
      </c>
      <c r="P562" t="s">
        <v>437</v>
      </c>
    </row>
    <row r="563" spans="1:16" ht="15" customHeight="1" x14ac:dyDescent="0.4">
      <c r="A563" t="s">
        <v>15</v>
      </c>
      <c r="B563" t="s">
        <v>16</v>
      </c>
      <c r="C563" s="13">
        <v>45292</v>
      </c>
      <c r="D563" s="13">
        <v>45657</v>
      </c>
      <c r="E563" t="s">
        <v>17</v>
      </c>
      <c r="F563">
        <v>0</v>
      </c>
      <c r="G563" t="s">
        <v>420</v>
      </c>
      <c r="H563">
        <v>4</v>
      </c>
      <c r="I563" t="s">
        <v>421</v>
      </c>
      <c r="J563">
        <v>401</v>
      </c>
      <c r="K563" t="s">
        <v>435</v>
      </c>
      <c r="L563" s="13">
        <v>45596</v>
      </c>
      <c r="M563" t="s">
        <v>3159</v>
      </c>
      <c r="N563" t="s">
        <v>3863</v>
      </c>
      <c r="O563">
        <v>1043</v>
      </c>
      <c r="P563" t="s">
        <v>437</v>
      </c>
    </row>
    <row r="564" spans="1:16" ht="15" customHeight="1" x14ac:dyDescent="0.4">
      <c r="A564" t="s">
        <v>15</v>
      </c>
      <c r="B564" t="s">
        <v>16</v>
      </c>
      <c r="C564" s="13">
        <v>45292</v>
      </c>
      <c r="D564" s="13">
        <v>45657</v>
      </c>
      <c r="E564" t="s">
        <v>17</v>
      </c>
      <c r="F564">
        <v>0</v>
      </c>
      <c r="G564" t="s">
        <v>420</v>
      </c>
      <c r="H564">
        <v>4</v>
      </c>
      <c r="I564" t="s">
        <v>421</v>
      </c>
      <c r="J564">
        <v>401</v>
      </c>
      <c r="K564" t="s">
        <v>435</v>
      </c>
      <c r="L564" s="13">
        <v>45626</v>
      </c>
      <c r="M564" t="s">
        <v>3161</v>
      </c>
      <c r="N564" t="s">
        <v>3864</v>
      </c>
      <c r="O564">
        <v>1043</v>
      </c>
      <c r="P564" t="s">
        <v>437</v>
      </c>
    </row>
    <row r="565" spans="1:16" ht="15" customHeight="1" x14ac:dyDescent="0.4">
      <c r="A565" t="s">
        <v>15</v>
      </c>
      <c r="B565" t="s">
        <v>16</v>
      </c>
      <c r="C565" s="13">
        <v>45292</v>
      </c>
      <c r="D565" s="13">
        <v>45657</v>
      </c>
      <c r="E565" t="s">
        <v>17</v>
      </c>
      <c r="F565">
        <v>0</v>
      </c>
      <c r="G565" t="s">
        <v>420</v>
      </c>
      <c r="H565">
        <v>4</v>
      </c>
      <c r="I565" t="s">
        <v>421</v>
      </c>
      <c r="J565">
        <v>401</v>
      </c>
      <c r="K565" t="s">
        <v>435</v>
      </c>
      <c r="L565" s="13">
        <v>45657</v>
      </c>
      <c r="M565" t="s">
        <v>3163</v>
      </c>
      <c r="N565" t="s">
        <v>3865</v>
      </c>
      <c r="O565">
        <v>1043</v>
      </c>
      <c r="P565" t="s">
        <v>437</v>
      </c>
    </row>
    <row r="566" spans="1:16" ht="15" customHeight="1" x14ac:dyDescent="0.4">
      <c r="A566" t="s">
        <v>15</v>
      </c>
      <c r="B566" t="s">
        <v>16</v>
      </c>
      <c r="C566" s="13">
        <v>45292</v>
      </c>
      <c r="D566" s="13">
        <v>45657</v>
      </c>
      <c r="E566" t="s">
        <v>17</v>
      </c>
      <c r="F566">
        <v>0</v>
      </c>
      <c r="G566" t="s">
        <v>420</v>
      </c>
      <c r="H566">
        <v>4</v>
      </c>
      <c r="I566" t="s">
        <v>421</v>
      </c>
      <c r="J566">
        <v>481</v>
      </c>
      <c r="K566" t="s">
        <v>443</v>
      </c>
      <c r="L566" s="13">
        <v>45516</v>
      </c>
      <c r="M566" t="s">
        <v>3866</v>
      </c>
      <c r="N566" t="s">
        <v>3867</v>
      </c>
      <c r="O566">
        <v>1907</v>
      </c>
      <c r="P566" t="s">
        <v>446</v>
      </c>
    </row>
    <row r="567" spans="1:16" ht="15" customHeight="1" x14ac:dyDescent="0.4">
      <c r="A567" t="s">
        <v>15</v>
      </c>
      <c r="B567" t="s">
        <v>16</v>
      </c>
      <c r="C567" s="13">
        <v>45292</v>
      </c>
      <c r="D567" s="13">
        <v>45657</v>
      </c>
      <c r="E567" t="s">
        <v>17</v>
      </c>
      <c r="F567">
        <v>0</v>
      </c>
      <c r="G567" t="s">
        <v>420</v>
      </c>
      <c r="H567">
        <v>4</v>
      </c>
      <c r="I567" t="s">
        <v>421</v>
      </c>
      <c r="J567">
        <v>702</v>
      </c>
      <c r="K567" t="s">
        <v>275</v>
      </c>
      <c r="L567" s="13">
        <v>45657</v>
      </c>
      <c r="M567" t="s">
        <v>3801</v>
      </c>
      <c r="N567" t="s">
        <v>46</v>
      </c>
      <c r="O567">
        <v>23.31</v>
      </c>
      <c r="P567" t="s">
        <v>46</v>
      </c>
    </row>
    <row r="568" spans="1:16" ht="15" customHeight="1" x14ac:dyDescent="0.4">
      <c r="A568" t="s">
        <v>15</v>
      </c>
      <c r="B568" t="s">
        <v>16</v>
      </c>
      <c r="C568" s="13">
        <v>45292</v>
      </c>
      <c r="D568" s="13">
        <v>45657</v>
      </c>
      <c r="E568" t="s">
        <v>17</v>
      </c>
      <c r="F568">
        <v>0</v>
      </c>
      <c r="G568" t="s">
        <v>420</v>
      </c>
      <c r="H568">
        <v>4</v>
      </c>
      <c r="I568" t="s">
        <v>421</v>
      </c>
      <c r="J568">
        <v>857</v>
      </c>
      <c r="K568" t="s">
        <v>451</v>
      </c>
      <c r="L568" s="13">
        <v>45380</v>
      </c>
      <c r="M568" t="s">
        <v>3868</v>
      </c>
      <c r="N568" t="s">
        <v>3467</v>
      </c>
      <c r="O568">
        <v>-1.2</v>
      </c>
      <c r="P568" t="s">
        <v>430</v>
      </c>
    </row>
    <row r="569" spans="1:16" ht="15" customHeight="1" x14ac:dyDescent="0.4">
      <c r="A569" t="s">
        <v>15</v>
      </c>
      <c r="B569" t="s">
        <v>16</v>
      </c>
      <c r="C569" s="13">
        <v>45292</v>
      </c>
      <c r="D569" s="13">
        <v>45657</v>
      </c>
      <c r="E569" t="s">
        <v>17</v>
      </c>
      <c r="F569">
        <v>0</v>
      </c>
      <c r="G569" t="s">
        <v>420</v>
      </c>
      <c r="H569">
        <v>4</v>
      </c>
      <c r="I569" t="s">
        <v>421</v>
      </c>
      <c r="J569">
        <v>857</v>
      </c>
      <c r="K569" t="s">
        <v>451</v>
      </c>
      <c r="L569" s="13">
        <v>45400</v>
      </c>
      <c r="M569" t="s">
        <v>452</v>
      </c>
      <c r="N569" t="s">
        <v>3466</v>
      </c>
      <c r="O569">
        <v>409.2</v>
      </c>
      <c r="P569" t="s">
        <v>430</v>
      </c>
    </row>
    <row r="570" spans="1:16" ht="15" customHeight="1" x14ac:dyDescent="0.4">
      <c r="A570" t="s">
        <v>15</v>
      </c>
      <c r="B570" t="s">
        <v>16</v>
      </c>
      <c r="C570" s="13">
        <v>45292</v>
      </c>
      <c r="D570" s="13">
        <v>45657</v>
      </c>
      <c r="E570" t="s">
        <v>17</v>
      </c>
      <c r="F570">
        <v>0</v>
      </c>
      <c r="G570" t="s">
        <v>420</v>
      </c>
      <c r="H570">
        <v>4</v>
      </c>
      <c r="I570" t="s">
        <v>421</v>
      </c>
      <c r="J570">
        <v>857</v>
      </c>
      <c r="K570" t="s">
        <v>451</v>
      </c>
      <c r="L570" s="13">
        <v>45468</v>
      </c>
      <c r="M570" t="s">
        <v>452</v>
      </c>
      <c r="N570" t="s">
        <v>3467</v>
      </c>
      <c r="O570">
        <v>408</v>
      </c>
      <c r="P570" t="s">
        <v>430</v>
      </c>
    </row>
    <row r="571" spans="1:16" ht="15" customHeight="1" x14ac:dyDescent="0.4">
      <c r="A571" t="s">
        <v>15</v>
      </c>
      <c r="B571" t="s">
        <v>16</v>
      </c>
      <c r="C571" s="13">
        <v>45292</v>
      </c>
      <c r="D571" s="13">
        <v>45657</v>
      </c>
      <c r="E571" t="s">
        <v>17</v>
      </c>
      <c r="F571">
        <v>0</v>
      </c>
      <c r="G571" t="s">
        <v>420</v>
      </c>
      <c r="H571">
        <v>4</v>
      </c>
      <c r="I571" t="s">
        <v>421</v>
      </c>
      <c r="J571">
        <v>857</v>
      </c>
      <c r="K571" t="s">
        <v>451</v>
      </c>
      <c r="L571" s="13">
        <v>45504</v>
      </c>
      <c r="M571" t="s">
        <v>452</v>
      </c>
      <c r="N571" t="s">
        <v>3869</v>
      </c>
      <c r="O571">
        <v>534.29999999999995</v>
      </c>
      <c r="P571" t="s">
        <v>430</v>
      </c>
    </row>
    <row r="572" spans="1:16" ht="15" customHeight="1" x14ac:dyDescent="0.4">
      <c r="A572" t="s">
        <v>15</v>
      </c>
      <c r="B572" t="s">
        <v>16</v>
      </c>
      <c r="C572" s="13">
        <v>45292</v>
      </c>
      <c r="D572" s="13">
        <v>45657</v>
      </c>
      <c r="E572" t="s">
        <v>17</v>
      </c>
      <c r="F572">
        <v>0</v>
      </c>
      <c r="G572" t="s">
        <v>420</v>
      </c>
      <c r="H572">
        <v>4</v>
      </c>
      <c r="I572" t="s">
        <v>421</v>
      </c>
      <c r="J572">
        <v>857</v>
      </c>
      <c r="K572" t="s">
        <v>451</v>
      </c>
      <c r="L572" s="13">
        <v>45504</v>
      </c>
      <c r="M572" t="s">
        <v>3870</v>
      </c>
      <c r="N572" t="s">
        <v>3871</v>
      </c>
      <c r="O572">
        <v>126.3</v>
      </c>
      <c r="P572" t="s">
        <v>430</v>
      </c>
    </row>
    <row r="573" spans="1:16" ht="15" customHeight="1" x14ac:dyDescent="0.4">
      <c r="A573" t="s">
        <v>15</v>
      </c>
      <c r="B573" t="s">
        <v>16</v>
      </c>
      <c r="C573" s="13">
        <v>45292</v>
      </c>
      <c r="D573" s="13">
        <v>45657</v>
      </c>
      <c r="E573" t="s">
        <v>17</v>
      </c>
      <c r="F573">
        <v>0</v>
      </c>
      <c r="G573" t="s">
        <v>420</v>
      </c>
      <c r="H573">
        <v>4</v>
      </c>
      <c r="I573" t="s">
        <v>421</v>
      </c>
      <c r="J573">
        <v>857</v>
      </c>
      <c r="K573" t="s">
        <v>451</v>
      </c>
      <c r="L573" s="13">
        <v>45566</v>
      </c>
      <c r="M573" t="s">
        <v>452</v>
      </c>
      <c r="N573" t="s">
        <v>3869</v>
      </c>
      <c r="O573">
        <v>126.3</v>
      </c>
      <c r="P573" t="s">
        <v>430</v>
      </c>
    </row>
    <row r="574" spans="1:16" ht="15" customHeight="1" x14ac:dyDescent="0.4">
      <c r="A574" t="s">
        <v>15</v>
      </c>
      <c r="B574" t="s">
        <v>16</v>
      </c>
      <c r="C574" s="13">
        <v>45292</v>
      </c>
      <c r="D574" s="13">
        <v>45657</v>
      </c>
      <c r="E574" t="s">
        <v>17</v>
      </c>
      <c r="F574">
        <v>0</v>
      </c>
      <c r="G574" t="s">
        <v>420</v>
      </c>
      <c r="H574">
        <v>4</v>
      </c>
      <c r="I574" t="s">
        <v>421</v>
      </c>
      <c r="J574">
        <v>857</v>
      </c>
      <c r="K574" t="s">
        <v>451</v>
      </c>
      <c r="L574" s="13">
        <v>45615</v>
      </c>
      <c r="M574" t="s">
        <v>452</v>
      </c>
      <c r="N574" t="s">
        <v>3872</v>
      </c>
      <c r="O574">
        <v>271.64999999999998</v>
      </c>
      <c r="P574" t="s">
        <v>430</v>
      </c>
    </row>
    <row r="575" spans="1:16" ht="15" customHeight="1" x14ac:dyDescent="0.4">
      <c r="A575" t="s">
        <v>15</v>
      </c>
      <c r="B575" t="s">
        <v>16</v>
      </c>
      <c r="C575" s="13">
        <v>45292</v>
      </c>
      <c r="D575" s="13">
        <v>45657</v>
      </c>
      <c r="E575" t="s">
        <v>17</v>
      </c>
      <c r="F575">
        <v>0</v>
      </c>
      <c r="G575" t="s">
        <v>420</v>
      </c>
      <c r="H575">
        <v>4</v>
      </c>
      <c r="I575" t="s">
        <v>421</v>
      </c>
      <c r="J575">
        <v>858</v>
      </c>
      <c r="K575" t="s">
        <v>458</v>
      </c>
      <c r="L575" s="13">
        <v>45492</v>
      </c>
      <c r="M575" t="s">
        <v>3873</v>
      </c>
      <c r="N575" t="s">
        <v>3874</v>
      </c>
      <c r="O575">
        <v>334.18</v>
      </c>
      <c r="P575" t="s">
        <v>942</v>
      </c>
    </row>
    <row r="576" spans="1:16" ht="15" customHeight="1" x14ac:dyDescent="0.4">
      <c r="A576" t="s">
        <v>15</v>
      </c>
      <c r="B576" t="s">
        <v>16</v>
      </c>
      <c r="C576" s="13">
        <v>45292</v>
      </c>
      <c r="D576" s="13">
        <v>45657</v>
      </c>
      <c r="E576" t="s">
        <v>17</v>
      </c>
      <c r="F576">
        <v>0</v>
      </c>
      <c r="G576" t="s">
        <v>420</v>
      </c>
      <c r="H576">
        <v>4</v>
      </c>
      <c r="I576" t="s">
        <v>421</v>
      </c>
      <c r="J576">
        <v>858</v>
      </c>
      <c r="K576" t="s">
        <v>458</v>
      </c>
      <c r="L576" s="13">
        <v>45517</v>
      </c>
      <c r="M576" t="s">
        <v>3873</v>
      </c>
      <c r="N576" t="s">
        <v>3875</v>
      </c>
      <c r="O576">
        <v>334.18</v>
      </c>
      <c r="P576" t="s">
        <v>942</v>
      </c>
    </row>
    <row r="577" spans="1:16" ht="15" customHeight="1" x14ac:dyDescent="0.4">
      <c r="A577" t="s">
        <v>15</v>
      </c>
      <c r="B577" t="s">
        <v>16</v>
      </c>
      <c r="C577" s="13">
        <v>45292</v>
      </c>
      <c r="D577" s="13">
        <v>45657</v>
      </c>
      <c r="E577" t="s">
        <v>17</v>
      </c>
      <c r="F577">
        <v>0</v>
      </c>
      <c r="G577" t="s">
        <v>420</v>
      </c>
      <c r="H577">
        <v>4</v>
      </c>
      <c r="I577" t="s">
        <v>421</v>
      </c>
      <c r="J577">
        <v>892</v>
      </c>
      <c r="K577" t="s">
        <v>462</v>
      </c>
      <c r="L577" s="13">
        <v>45657</v>
      </c>
      <c r="M577" t="s">
        <v>463</v>
      </c>
      <c r="N577" t="s">
        <v>46</v>
      </c>
      <c r="O577">
        <v>-7602.97</v>
      </c>
      <c r="P577" t="s">
        <v>46</v>
      </c>
    </row>
    <row r="578" spans="1:16" ht="15" customHeight="1" x14ac:dyDescent="0.4">
      <c r="A578" t="s">
        <v>15</v>
      </c>
      <c r="B578" t="s">
        <v>16</v>
      </c>
      <c r="C578" s="13">
        <v>45292</v>
      </c>
      <c r="D578" s="13">
        <v>45657</v>
      </c>
      <c r="E578" t="s">
        <v>17</v>
      </c>
      <c r="F578">
        <v>0</v>
      </c>
      <c r="G578" t="s">
        <v>420</v>
      </c>
      <c r="H578">
        <v>4</v>
      </c>
      <c r="I578" t="s">
        <v>421</v>
      </c>
      <c r="J578">
        <v>909</v>
      </c>
      <c r="K578" t="s">
        <v>464</v>
      </c>
      <c r="L578" s="13">
        <v>45657</v>
      </c>
      <c r="M578" t="s">
        <v>3828</v>
      </c>
      <c r="N578" t="s">
        <v>46</v>
      </c>
      <c r="O578">
        <v>52116.31</v>
      </c>
      <c r="P578" t="s">
        <v>46</v>
      </c>
    </row>
    <row r="579" spans="1:16" ht="15" customHeight="1" x14ac:dyDescent="0.4">
      <c r="A579" t="s">
        <v>15</v>
      </c>
      <c r="B579" t="s">
        <v>16</v>
      </c>
      <c r="C579" s="13">
        <v>45292</v>
      </c>
      <c r="D579" s="13">
        <v>45657</v>
      </c>
      <c r="E579" t="s">
        <v>17</v>
      </c>
      <c r="F579">
        <v>0</v>
      </c>
      <c r="G579" t="s">
        <v>420</v>
      </c>
      <c r="H579">
        <v>4</v>
      </c>
      <c r="I579" t="s">
        <v>421</v>
      </c>
      <c r="J579">
        <v>935</v>
      </c>
      <c r="K579" t="s">
        <v>465</v>
      </c>
      <c r="L579" s="13">
        <v>45657</v>
      </c>
      <c r="M579" t="s">
        <v>3876</v>
      </c>
      <c r="N579" t="s">
        <v>46</v>
      </c>
      <c r="O579">
        <v>-1356.09</v>
      </c>
      <c r="P579" t="s">
        <v>46</v>
      </c>
    </row>
    <row r="580" spans="1:16" ht="15" customHeight="1" x14ac:dyDescent="0.4">
      <c r="A580" t="s">
        <v>15</v>
      </c>
      <c r="B580" t="s">
        <v>16</v>
      </c>
      <c r="C580" s="13">
        <v>45292</v>
      </c>
      <c r="D580" s="13">
        <v>45657</v>
      </c>
      <c r="E580" t="s">
        <v>30</v>
      </c>
      <c r="F580">
        <v>0</v>
      </c>
      <c r="G580" t="s">
        <v>467</v>
      </c>
      <c r="H580">
        <v>17</v>
      </c>
      <c r="I580" t="s">
        <v>468</v>
      </c>
      <c r="J580">
        <v>233</v>
      </c>
      <c r="K580" t="s">
        <v>473</v>
      </c>
      <c r="L580" s="13">
        <v>45485</v>
      </c>
      <c r="M580" t="s">
        <v>3877</v>
      </c>
      <c r="N580" t="s">
        <v>3878</v>
      </c>
      <c r="O580">
        <v>27.5</v>
      </c>
      <c r="P580" t="s">
        <v>1319</v>
      </c>
    </row>
    <row r="581" spans="1:16" ht="15" customHeight="1" x14ac:dyDescent="0.4">
      <c r="A581" t="s">
        <v>15</v>
      </c>
      <c r="B581" t="s">
        <v>16</v>
      </c>
      <c r="C581" s="13">
        <v>45292</v>
      </c>
      <c r="D581" s="13">
        <v>45657</v>
      </c>
      <c r="E581" t="s">
        <v>17</v>
      </c>
      <c r="F581">
        <v>0</v>
      </c>
      <c r="G581" t="s">
        <v>467</v>
      </c>
      <c r="H581">
        <v>17</v>
      </c>
      <c r="I581" t="s">
        <v>468</v>
      </c>
      <c r="J581">
        <v>401</v>
      </c>
      <c r="K581" t="s">
        <v>476</v>
      </c>
      <c r="L581" s="13">
        <v>45657</v>
      </c>
      <c r="M581" t="s">
        <v>477</v>
      </c>
      <c r="N581" t="s">
        <v>46</v>
      </c>
      <c r="O581">
        <v>7602.97</v>
      </c>
      <c r="P581" t="s">
        <v>46</v>
      </c>
    </row>
    <row r="582" spans="1:16" ht="15" customHeight="1" x14ac:dyDescent="0.4">
      <c r="A582" t="s">
        <v>15</v>
      </c>
      <c r="B582" t="s">
        <v>16</v>
      </c>
      <c r="C582" s="13">
        <v>45292</v>
      </c>
      <c r="D582" s="13">
        <v>45657</v>
      </c>
      <c r="E582" t="s">
        <v>17</v>
      </c>
      <c r="F582">
        <v>0</v>
      </c>
      <c r="G582" t="s">
        <v>478</v>
      </c>
      <c r="H582">
        <v>55</v>
      </c>
      <c r="I582" t="s">
        <v>479</v>
      </c>
      <c r="J582">
        <v>282</v>
      </c>
      <c r="K582" t="s">
        <v>480</v>
      </c>
      <c r="L582" s="13">
        <v>45657</v>
      </c>
      <c r="M582" t="s">
        <v>3879</v>
      </c>
      <c r="N582" t="s">
        <v>86</v>
      </c>
      <c r="O582">
        <v>9570.25</v>
      </c>
      <c r="P582" t="s">
        <v>46</v>
      </c>
    </row>
    <row r="583" spans="1:16" ht="15" customHeight="1" x14ac:dyDescent="0.4">
      <c r="A583" t="s">
        <v>15</v>
      </c>
      <c r="B583" t="s">
        <v>16</v>
      </c>
      <c r="C583" s="13">
        <v>45292</v>
      </c>
      <c r="D583" s="13">
        <v>45657</v>
      </c>
      <c r="E583" t="s">
        <v>17</v>
      </c>
      <c r="F583">
        <v>0</v>
      </c>
      <c r="G583" t="s">
        <v>482</v>
      </c>
      <c r="H583">
        <v>60</v>
      </c>
      <c r="I583" t="s">
        <v>483</v>
      </c>
      <c r="J583">
        <v>881</v>
      </c>
      <c r="K583" t="s">
        <v>327</v>
      </c>
      <c r="L583" s="13">
        <v>45530</v>
      </c>
      <c r="M583" t="s">
        <v>3880</v>
      </c>
      <c r="N583" t="s">
        <v>3881</v>
      </c>
      <c r="O583">
        <v>1414.27</v>
      </c>
      <c r="P583" t="s">
        <v>374</v>
      </c>
    </row>
    <row r="584" spans="1:16" ht="15" customHeight="1" x14ac:dyDescent="0.4">
      <c r="A584" t="s">
        <v>15</v>
      </c>
      <c r="B584" t="s">
        <v>16</v>
      </c>
      <c r="C584" s="13">
        <v>45292</v>
      </c>
      <c r="D584" s="13">
        <v>45657</v>
      </c>
      <c r="E584" t="s">
        <v>17</v>
      </c>
      <c r="F584">
        <v>0</v>
      </c>
      <c r="G584" t="s">
        <v>482</v>
      </c>
      <c r="H584">
        <v>60</v>
      </c>
      <c r="I584" t="s">
        <v>483</v>
      </c>
      <c r="J584">
        <v>881</v>
      </c>
      <c r="K584" t="s">
        <v>327</v>
      </c>
      <c r="L584" s="13">
        <v>45657</v>
      </c>
      <c r="M584" t="s">
        <v>486</v>
      </c>
      <c r="N584" t="s">
        <v>329</v>
      </c>
      <c r="O584">
        <v>-32.89</v>
      </c>
      <c r="P584" t="s">
        <v>46</v>
      </c>
    </row>
    <row r="585" spans="1:16" ht="15" customHeight="1" x14ac:dyDescent="0.4">
      <c r="A585" t="s">
        <v>15</v>
      </c>
      <c r="B585" t="s">
        <v>16</v>
      </c>
      <c r="C585" s="13">
        <v>45292</v>
      </c>
      <c r="D585" s="13">
        <v>45657</v>
      </c>
      <c r="E585" t="s">
        <v>30</v>
      </c>
      <c r="F585">
        <v>1</v>
      </c>
      <c r="G585" t="s">
        <v>18</v>
      </c>
      <c r="H585">
        <v>1</v>
      </c>
      <c r="I585" t="s">
        <v>19</v>
      </c>
      <c r="J585">
        <v>106</v>
      </c>
      <c r="K585" t="s">
        <v>422</v>
      </c>
      <c r="L585" s="13">
        <v>45292</v>
      </c>
      <c r="M585" t="s">
        <v>3181</v>
      </c>
      <c r="N585" t="s">
        <v>3182</v>
      </c>
      <c r="O585">
        <v>756</v>
      </c>
      <c r="P585" t="s">
        <v>3183</v>
      </c>
    </row>
    <row r="586" spans="1:16" ht="15" customHeight="1" x14ac:dyDescent="0.4">
      <c r="A586" t="s">
        <v>15</v>
      </c>
      <c r="B586" t="s">
        <v>16</v>
      </c>
      <c r="C586" s="13">
        <v>45292</v>
      </c>
      <c r="D586" s="13">
        <v>45657</v>
      </c>
      <c r="E586" t="s">
        <v>17</v>
      </c>
      <c r="F586">
        <v>1</v>
      </c>
      <c r="G586" t="s">
        <v>18</v>
      </c>
      <c r="H586">
        <v>1</v>
      </c>
      <c r="I586" t="s">
        <v>19</v>
      </c>
      <c r="J586">
        <v>115</v>
      </c>
      <c r="K586" t="s">
        <v>1416</v>
      </c>
      <c r="L586" s="13">
        <v>45552</v>
      </c>
      <c r="M586" t="s">
        <v>3882</v>
      </c>
      <c r="N586" t="s">
        <v>3883</v>
      </c>
      <c r="O586">
        <v>323.73</v>
      </c>
      <c r="P586" t="s">
        <v>965</v>
      </c>
    </row>
    <row r="587" spans="1:16" ht="15" customHeight="1" x14ac:dyDescent="0.4">
      <c r="A587" t="s">
        <v>15</v>
      </c>
      <c r="B587" t="s">
        <v>16</v>
      </c>
      <c r="C587" s="13">
        <v>45292</v>
      </c>
      <c r="D587" s="13">
        <v>45657</v>
      </c>
      <c r="E587" t="s">
        <v>17</v>
      </c>
      <c r="F587">
        <v>1</v>
      </c>
      <c r="G587" t="s">
        <v>18</v>
      </c>
      <c r="H587">
        <v>1</v>
      </c>
      <c r="I587" t="s">
        <v>19</v>
      </c>
      <c r="J587">
        <v>242</v>
      </c>
      <c r="K587" t="s">
        <v>487</v>
      </c>
      <c r="L587" s="13">
        <v>45657</v>
      </c>
      <c r="M587" t="s">
        <v>3833</v>
      </c>
      <c r="N587" t="s">
        <v>45</v>
      </c>
      <c r="O587">
        <v>376.49</v>
      </c>
      <c r="P587" t="s">
        <v>46</v>
      </c>
    </row>
    <row r="588" spans="1:16" ht="15" customHeight="1" x14ac:dyDescent="0.4">
      <c r="A588" t="s">
        <v>15</v>
      </c>
      <c r="B588" t="s">
        <v>16</v>
      </c>
      <c r="C588" s="13">
        <v>45292</v>
      </c>
      <c r="D588" s="13">
        <v>45657</v>
      </c>
      <c r="E588" t="s">
        <v>17</v>
      </c>
      <c r="F588">
        <v>1</v>
      </c>
      <c r="G588" t="s">
        <v>18</v>
      </c>
      <c r="H588">
        <v>1</v>
      </c>
      <c r="I588" t="s">
        <v>19</v>
      </c>
      <c r="J588">
        <v>269</v>
      </c>
      <c r="K588" t="s">
        <v>3671</v>
      </c>
      <c r="L588" s="13">
        <v>45315</v>
      </c>
      <c r="M588" t="s">
        <v>76</v>
      </c>
      <c r="N588" t="s">
        <v>2924</v>
      </c>
      <c r="O588">
        <v>3.3</v>
      </c>
      <c r="P588" t="s">
        <v>52</v>
      </c>
    </row>
    <row r="589" spans="1:16" ht="15" customHeight="1" x14ac:dyDescent="0.4">
      <c r="A589" t="s">
        <v>15</v>
      </c>
      <c r="B589" t="s">
        <v>16</v>
      </c>
      <c r="C589" s="13">
        <v>45292</v>
      </c>
      <c r="D589" s="13">
        <v>45657</v>
      </c>
      <c r="E589" t="s">
        <v>17</v>
      </c>
      <c r="F589">
        <v>1</v>
      </c>
      <c r="G589" t="s">
        <v>18</v>
      </c>
      <c r="H589">
        <v>1</v>
      </c>
      <c r="I589" t="s">
        <v>19</v>
      </c>
      <c r="J589">
        <v>269</v>
      </c>
      <c r="K589" t="s">
        <v>3671</v>
      </c>
      <c r="L589" s="13">
        <v>45343</v>
      </c>
      <c r="M589" t="s">
        <v>76</v>
      </c>
      <c r="N589" t="s">
        <v>3334</v>
      </c>
      <c r="O589">
        <v>2.65</v>
      </c>
      <c r="P589" t="s">
        <v>52</v>
      </c>
    </row>
    <row r="590" spans="1:16" ht="15" customHeight="1" x14ac:dyDescent="0.4">
      <c r="A590" t="s">
        <v>15</v>
      </c>
      <c r="B590" t="s">
        <v>16</v>
      </c>
      <c r="C590" s="13">
        <v>45292</v>
      </c>
      <c r="D590" s="13">
        <v>45657</v>
      </c>
      <c r="E590" t="s">
        <v>17</v>
      </c>
      <c r="F590">
        <v>1</v>
      </c>
      <c r="G590" t="s">
        <v>18</v>
      </c>
      <c r="H590">
        <v>1</v>
      </c>
      <c r="I590" t="s">
        <v>19</v>
      </c>
      <c r="J590">
        <v>269</v>
      </c>
      <c r="K590" t="s">
        <v>3671</v>
      </c>
      <c r="L590" s="13">
        <v>45373</v>
      </c>
      <c r="M590" t="s">
        <v>76</v>
      </c>
      <c r="N590" t="s">
        <v>3335</v>
      </c>
      <c r="O590">
        <v>3.19</v>
      </c>
      <c r="P590" t="s">
        <v>52</v>
      </c>
    </row>
    <row r="591" spans="1:16" ht="15" customHeight="1" x14ac:dyDescent="0.4">
      <c r="A591" t="s">
        <v>15</v>
      </c>
      <c r="B591" t="s">
        <v>16</v>
      </c>
      <c r="C591" s="13">
        <v>45292</v>
      </c>
      <c r="D591" s="13">
        <v>45657</v>
      </c>
      <c r="E591" t="s">
        <v>17</v>
      </c>
      <c r="F591">
        <v>1</v>
      </c>
      <c r="G591" t="s">
        <v>18</v>
      </c>
      <c r="H591">
        <v>1</v>
      </c>
      <c r="I591" t="s">
        <v>19</v>
      </c>
      <c r="J591">
        <v>269</v>
      </c>
      <c r="K591" t="s">
        <v>3671</v>
      </c>
      <c r="L591" s="13">
        <v>45404</v>
      </c>
      <c r="M591" t="s">
        <v>76</v>
      </c>
      <c r="N591" t="s">
        <v>3336</v>
      </c>
      <c r="O591">
        <v>10.8</v>
      </c>
      <c r="P591" t="s">
        <v>52</v>
      </c>
    </row>
    <row r="592" spans="1:16" ht="15" customHeight="1" x14ac:dyDescent="0.4">
      <c r="A592" t="s">
        <v>15</v>
      </c>
      <c r="B592" t="s">
        <v>16</v>
      </c>
      <c r="C592" s="13">
        <v>45292</v>
      </c>
      <c r="D592" s="13">
        <v>45657</v>
      </c>
      <c r="E592" t="s">
        <v>17</v>
      </c>
      <c r="F592">
        <v>1</v>
      </c>
      <c r="G592" t="s">
        <v>18</v>
      </c>
      <c r="H592">
        <v>1</v>
      </c>
      <c r="I592" t="s">
        <v>19</v>
      </c>
      <c r="J592">
        <v>269</v>
      </c>
      <c r="K592" t="s">
        <v>3671</v>
      </c>
      <c r="L592" s="13">
        <v>45432</v>
      </c>
      <c r="M592" t="s">
        <v>76</v>
      </c>
      <c r="N592" t="s">
        <v>3337</v>
      </c>
      <c r="O592">
        <v>10.07</v>
      </c>
      <c r="P592" t="s">
        <v>52</v>
      </c>
    </row>
    <row r="593" spans="1:16" ht="15" customHeight="1" x14ac:dyDescent="0.4">
      <c r="A593" t="s">
        <v>15</v>
      </c>
      <c r="B593" t="s">
        <v>16</v>
      </c>
      <c r="C593" s="13">
        <v>45292</v>
      </c>
      <c r="D593" s="13">
        <v>45657</v>
      </c>
      <c r="E593" t="s">
        <v>17</v>
      </c>
      <c r="F593">
        <v>1</v>
      </c>
      <c r="G593" t="s">
        <v>18</v>
      </c>
      <c r="H593">
        <v>1</v>
      </c>
      <c r="I593" t="s">
        <v>19</v>
      </c>
      <c r="J593">
        <v>269</v>
      </c>
      <c r="K593" t="s">
        <v>3671</v>
      </c>
      <c r="L593" s="13">
        <v>45478</v>
      </c>
      <c r="M593" t="s">
        <v>76</v>
      </c>
      <c r="N593" t="s">
        <v>3338</v>
      </c>
      <c r="O593">
        <v>12.19</v>
      </c>
      <c r="P593" t="s">
        <v>52</v>
      </c>
    </row>
    <row r="594" spans="1:16" ht="15" customHeight="1" x14ac:dyDescent="0.4">
      <c r="A594" t="s">
        <v>15</v>
      </c>
      <c r="B594" t="s">
        <v>16</v>
      </c>
      <c r="C594" s="13">
        <v>45292</v>
      </c>
      <c r="D594" s="13">
        <v>45657</v>
      </c>
      <c r="E594" t="s">
        <v>17</v>
      </c>
      <c r="F594">
        <v>1</v>
      </c>
      <c r="G594" t="s">
        <v>18</v>
      </c>
      <c r="H594">
        <v>1</v>
      </c>
      <c r="I594" t="s">
        <v>19</v>
      </c>
      <c r="J594">
        <v>269</v>
      </c>
      <c r="K594" t="s">
        <v>3671</v>
      </c>
      <c r="L594" s="13">
        <v>45493</v>
      </c>
      <c r="M594" t="s">
        <v>76</v>
      </c>
      <c r="N594" t="s">
        <v>3706</v>
      </c>
      <c r="O594">
        <v>12.62</v>
      </c>
      <c r="P594" t="s">
        <v>52</v>
      </c>
    </row>
    <row r="595" spans="1:16" ht="15" customHeight="1" x14ac:dyDescent="0.4">
      <c r="A595" t="s">
        <v>15</v>
      </c>
      <c r="B595" t="s">
        <v>16</v>
      </c>
      <c r="C595" s="13">
        <v>45292</v>
      </c>
      <c r="D595" s="13">
        <v>45657</v>
      </c>
      <c r="E595" t="s">
        <v>17</v>
      </c>
      <c r="F595">
        <v>1</v>
      </c>
      <c r="G595" t="s">
        <v>18</v>
      </c>
      <c r="H595">
        <v>1</v>
      </c>
      <c r="I595" t="s">
        <v>19</v>
      </c>
      <c r="J595">
        <v>269</v>
      </c>
      <c r="K595" t="s">
        <v>3671</v>
      </c>
      <c r="L595" s="13">
        <v>45532</v>
      </c>
      <c r="M595" t="s">
        <v>76</v>
      </c>
      <c r="N595" t="s">
        <v>3707</v>
      </c>
      <c r="O595">
        <v>19.579999999999998</v>
      </c>
      <c r="P595" t="s">
        <v>52</v>
      </c>
    </row>
    <row r="596" spans="1:16" ht="15" customHeight="1" x14ac:dyDescent="0.4">
      <c r="A596" t="s">
        <v>15</v>
      </c>
      <c r="B596" t="s">
        <v>16</v>
      </c>
      <c r="C596" s="13">
        <v>45292</v>
      </c>
      <c r="D596" s="13">
        <v>45657</v>
      </c>
      <c r="E596" t="s">
        <v>17</v>
      </c>
      <c r="F596">
        <v>1</v>
      </c>
      <c r="G596" t="s">
        <v>18</v>
      </c>
      <c r="H596">
        <v>1</v>
      </c>
      <c r="I596" t="s">
        <v>19</v>
      </c>
      <c r="J596">
        <v>269</v>
      </c>
      <c r="K596" t="s">
        <v>3671</v>
      </c>
      <c r="L596" s="13">
        <v>45555</v>
      </c>
      <c r="M596" t="s">
        <v>76</v>
      </c>
      <c r="N596" t="s">
        <v>3708</v>
      </c>
      <c r="O596">
        <v>17.98</v>
      </c>
      <c r="P596" t="s">
        <v>52</v>
      </c>
    </row>
    <row r="597" spans="1:16" ht="15" customHeight="1" x14ac:dyDescent="0.4">
      <c r="A597" t="s">
        <v>15</v>
      </c>
      <c r="B597" t="s">
        <v>16</v>
      </c>
      <c r="C597" s="13">
        <v>45292</v>
      </c>
      <c r="D597" s="13">
        <v>45657</v>
      </c>
      <c r="E597" t="s">
        <v>17</v>
      </c>
      <c r="F597">
        <v>1</v>
      </c>
      <c r="G597" t="s">
        <v>18</v>
      </c>
      <c r="H597">
        <v>1</v>
      </c>
      <c r="I597" t="s">
        <v>19</v>
      </c>
      <c r="J597">
        <v>269</v>
      </c>
      <c r="K597" t="s">
        <v>3671</v>
      </c>
      <c r="L597" s="13">
        <v>45585</v>
      </c>
      <c r="M597" t="s">
        <v>76</v>
      </c>
      <c r="N597" t="s">
        <v>3709</v>
      </c>
      <c r="O597">
        <v>13.27</v>
      </c>
      <c r="P597" t="s">
        <v>52</v>
      </c>
    </row>
    <row r="598" spans="1:16" ht="15" customHeight="1" x14ac:dyDescent="0.4">
      <c r="A598" t="s">
        <v>15</v>
      </c>
      <c r="B598" t="s">
        <v>16</v>
      </c>
      <c r="C598" s="13">
        <v>45292</v>
      </c>
      <c r="D598" s="13">
        <v>45657</v>
      </c>
      <c r="E598" t="s">
        <v>17</v>
      </c>
      <c r="F598">
        <v>1</v>
      </c>
      <c r="G598" t="s">
        <v>18</v>
      </c>
      <c r="H598">
        <v>1</v>
      </c>
      <c r="I598" t="s">
        <v>19</v>
      </c>
      <c r="J598">
        <v>269</v>
      </c>
      <c r="K598" t="s">
        <v>3671</v>
      </c>
      <c r="L598" s="13">
        <v>45618</v>
      </c>
      <c r="M598" t="s">
        <v>76</v>
      </c>
      <c r="N598" t="s">
        <v>3710</v>
      </c>
      <c r="O598">
        <v>10.220000000000001</v>
      </c>
      <c r="P598" t="s">
        <v>52</v>
      </c>
    </row>
    <row r="599" spans="1:16" ht="15" customHeight="1" x14ac:dyDescent="0.4">
      <c r="A599" t="s">
        <v>15</v>
      </c>
      <c r="B599" t="s">
        <v>16</v>
      </c>
      <c r="C599" s="13">
        <v>45292</v>
      </c>
      <c r="D599" s="13">
        <v>45657</v>
      </c>
      <c r="E599" t="s">
        <v>17</v>
      </c>
      <c r="F599">
        <v>1</v>
      </c>
      <c r="G599" t="s">
        <v>18</v>
      </c>
      <c r="H599">
        <v>1</v>
      </c>
      <c r="I599" t="s">
        <v>19</v>
      </c>
      <c r="J599">
        <v>269</v>
      </c>
      <c r="K599" t="s">
        <v>3671</v>
      </c>
      <c r="L599" s="13">
        <v>45647</v>
      </c>
      <c r="M599" t="s">
        <v>76</v>
      </c>
      <c r="N599" t="s">
        <v>3711</v>
      </c>
      <c r="O599">
        <v>3.23</v>
      </c>
      <c r="P599" t="s">
        <v>52</v>
      </c>
    </row>
    <row r="600" spans="1:16" ht="15" customHeight="1" x14ac:dyDescent="0.4">
      <c r="A600" t="s">
        <v>15</v>
      </c>
      <c r="B600" t="s">
        <v>16</v>
      </c>
      <c r="C600" s="13">
        <v>45292</v>
      </c>
      <c r="D600" s="13">
        <v>45657</v>
      </c>
      <c r="E600" t="s">
        <v>17</v>
      </c>
      <c r="F600">
        <v>1</v>
      </c>
      <c r="G600" t="s">
        <v>18</v>
      </c>
      <c r="H600">
        <v>1</v>
      </c>
      <c r="I600" t="s">
        <v>19</v>
      </c>
      <c r="J600">
        <v>401</v>
      </c>
      <c r="K600" t="s">
        <v>476</v>
      </c>
      <c r="L600" s="13">
        <v>45657</v>
      </c>
      <c r="M600" t="s">
        <v>489</v>
      </c>
      <c r="N600" t="s">
        <v>46</v>
      </c>
      <c r="O600">
        <v>1356.09</v>
      </c>
      <c r="P600" t="s">
        <v>46</v>
      </c>
    </row>
    <row r="601" spans="1:16" ht="15" customHeight="1" x14ac:dyDescent="0.4">
      <c r="A601" t="s">
        <v>15</v>
      </c>
      <c r="B601" t="s">
        <v>16</v>
      </c>
      <c r="C601" s="13">
        <v>45292</v>
      </c>
      <c r="D601" s="13">
        <v>45657</v>
      </c>
      <c r="E601" t="s">
        <v>17</v>
      </c>
      <c r="F601">
        <v>1</v>
      </c>
      <c r="G601" t="s">
        <v>18</v>
      </c>
      <c r="H601">
        <v>1</v>
      </c>
      <c r="I601" t="s">
        <v>19</v>
      </c>
      <c r="J601">
        <v>702</v>
      </c>
      <c r="K601" t="s">
        <v>275</v>
      </c>
      <c r="L601" s="13">
        <v>45657</v>
      </c>
      <c r="M601" t="s">
        <v>3801</v>
      </c>
      <c r="N601" t="s">
        <v>46</v>
      </c>
      <c r="O601">
        <v>23.31</v>
      </c>
      <c r="P601" t="s">
        <v>46</v>
      </c>
    </row>
    <row r="602" spans="1:16" ht="15" customHeight="1" x14ac:dyDescent="0.4">
      <c r="A602" t="s">
        <v>15</v>
      </c>
      <c r="B602" t="s">
        <v>16</v>
      </c>
      <c r="C602" s="13">
        <v>45292</v>
      </c>
      <c r="D602" s="13">
        <v>45657</v>
      </c>
      <c r="E602" t="s">
        <v>17</v>
      </c>
      <c r="F602">
        <v>1</v>
      </c>
      <c r="G602" t="s">
        <v>18</v>
      </c>
      <c r="H602">
        <v>1</v>
      </c>
      <c r="I602" t="s">
        <v>19</v>
      </c>
      <c r="J602">
        <v>891</v>
      </c>
      <c r="K602" t="s">
        <v>377</v>
      </c>
      <c r="L602" s="13">
        <v>45657</v>
      </c>
      <c r="M602" t="s">
        <v>3844</v>
      </c>
      <c r="N602" t="s">
        <v>46</v>
      </c>
      <c r="O602">
        <v>11139.76</v>
      </c>
      <c r="P602" t="s">
        <v>46</v>
      </c>
    </row>
    <row r="603" spans="1:16" ht="15" customHeight="1" x14ac:dyDescent="0.4">
      <c r="A603" t="s">
        <v>15</v>
      </c>
      <c r="B603" t="s">
        <v>16</v>
      </c>
      <c r="C603" s="13">
        <v>45292</v>
      </c>
      <c r="D603" s="13">
        <v>45657</v>
      </c>
      <c r="E603" t="s">
        <v>30</v>
      </c>
      <c r="F603">
        <v>3</v>
      </c>
      <c r="G603" t="s">
        <v>18</v>
      </c>
      <c r="H603">
        <v>1</v>
      </c>
      <c r="I603" t="s">
        <v>19</v>
      </c>
      <c r="J603">
        <v>116</v>
      </c>
      <c r="K603" t="s">
        <v>469</v>
      </c>
      <c r="L603" s="13">
        <v>45355</v>
      </c>
      <c r="M603" t="s">
        <v>3468</v>
      </c>
      <c r="N603" t="s">
        <v>3469</v>
      </c>
      <c r="O603">
        <v>122.54</v>
      </c>
      <c r="P603" t="s">
        <v>965</v>
      </c>
    </row>
    <row r="604" spans="1:16" ht="15" customHeight="1" x14ac:dyDescent="0.4">
      <c r="A604" t="s">
        <v>15</v>
      </c>
      <c r="B604" t="s">
        <v>16</v>
      </c>
      <c r="C604" s="13">
        <v>45292</v>
      </c>
      <c r="D604" s="13">
        <v>45657</v>
      </c>
      <c r="E604" t="s">
        <v>30</v>
      </c>
      <c r="F604">
        <v>3</v>
      </c>
      <c r="G604" t="s">
        <v>18</v>
      </c>
      <c r="H604">
        <v>1</v>
      </c>
      <c r="I604" t="s">
        <v>19</v>
      </c>
      <c r="J604">
        <v>116</v>
      </c>
      <c r="K604" t="s">
        <v>469</v>
      </c>
      <c r="L604" s="13">
        <v>45393</v>
      </c>
      <c r="M604" t="s">
        <v>3470</v>
      </c>
      <c r="N604" t="s">
        <v>3471</v>
      </c>
      <c r="O604">
        <v>204.27</v>
      </c>
      <c r="P604" t="s">
        <v>965</v>
      </c>
    </row>
    <row r="605" spans="1:16" ht="15" customHeight="1" x14ac:dyDescent="0.4">
      <c r="A605" t="s">
        <v>15</v>
      </c>
      <c r="B605" t="s">
        <v>16</v>
      </c>
      <c r="C605" s="13">
        <v>45292</v>
      </c>
      <c r="D605" s="13">
        <v>45657</v>
      </c>
      <c r="E605" t="s">
        <v>17</v>
      </c>
      <c r="F605">
        <v>3</v>
      </c>
      <c r="G605" t="s">
        <v>18</v>
      </c>
      <c r="H605">
        <v>1</v>
      </c>
      <c r="I605" t="s">
        <v>19</v>
      </c>
      <c r="J605">
        <v>195</v>
      </c>
      <c r="K605" t="s">
        <v>2398</v>
      </c>
      <c r="L605" s="13">
        <v>45488</v>
      </c>
      <c r="M605" t="s">
        <v>3884</v>
      </c>
      <c r="N605" t="s">
        <v>3885</v>
      </c>
      <c r="O605">
        <v>676.16</v>
      </c>
      <c r="P605" t="s">
        <v>3886</v>
      </c>
    </row>
    <row r="606" spans="1:16" ht="15" customHeight="1" x14ac:dyDescent="0.4">
      <c r="A606" t="s">
        <v>15</v>
      </c>
      <c r="B606" t="s">
        <v>16</v>
      </c>
      <c r="C606" s="13">
        <v>45292</v>
      </c>
      <c r="D606" s="13">
        <v>45657</v>
      </c>
      <c r="E606" t="s">
        <v>17</v>
      </c>
      <c r="F606">
        <v>3</v>
      </c>
      <c r="G606" t="s">
        <v>18</v>
      </c>
      <c r="H606">
        <v>1</v>
      </c>
      <c r="I606" t="s">
        <v>19</v>
      </c>
      <c r="J606">
        <v>205</v>
      </c>
      <c r="K606" t="s">
        <v>344</v>
      </c>
      <c r="L606" s="13">
        <v>45560</v>
      </c>
      <c r="M606" t="s">
        <v>3887</v>
      </c>
      <c r="N606" t="s">
        <v>3888</v>
      </c>
      <c r="O606">
        <v>319</v>
      </c>
      <c r="P606" t="s">
        <v>347</v>
      </c>
    </row>
    <row r="607" spans="1:16" ht="15" customHeight="1" x14ac:dyDescent="0.4">
      <c r="A607" t="s">
        <v>15</v>
      </c>
      <c r="B607" t="s">
        <v>16</v>
      </c>
      <c r="C607" s="13">
        <v>45292</v>
      </c>
      <c r="D607" s="13">
        <v>45657</v>
      </c>
      <c r="E607" t="s">
        <v>17</v>
      </c>
      <c r="F607">
        <v>3</v>
      </c>
      <c r="G607" t="s">
        <v>18</v>
      </c>
      <c r="H607">
        <v>1</v>
      </c>
      <c r="I607" t="s">
        <v>19</v>
      </c>
      <c r="J607">
        <v>205</v>
      </c>
      <c r="K607" t="s">
        <v>344</v>
      </c>
      <c r="L607" s="13">
        <v>45603</v>
      </c>
      <c r="M607" t="s">
        <v>3889</v>
      </c>
      <c r="N607" t="s">
        <v>3890</v>
      </c>
      <c r="O607">
        <v>748</v>
      </c>
      <c r="P607" t="s">
        <v>347</v>
      </c>
    </row>
    <row r="608" spans="1:16" ht="15" customHeight="1" x14ac:dyDescent="0.4">
      <c r="A608" t="s">
        <v>15</v>
      </c>
      <c r="B608" t="s">
        <v>16</v>
      </c>
      <c r="C608" s="13">
        <v>45292</v>
      </c>
      <c r="D608" s="13">
        <v>45657</v>
      </c>
      <c r="E608" t="s">
        <v>30</v>
      </c>
      <c r="F608">
        <v>3</v>
      </c>
      <c r="G608" t="s">
        <v>18</v>
      </c>
      <c r="H608">
        <v>1</v>
      </c>
      <c r="I608" t="s">
        <v>19</v>
      </c>
      <c r="J608">
        <v>236</v>
      </c>
      <c r="K608" t="s">
        <v>950</v>
      </c>
      <c r="L608" s="13">
        <v>45636</v>
      </c>
      <c r="M608" t="s">
        <v>3891</v>
      </c>
      <c r="N608" t="s">
        <v>3892</v>
      </c>
      <c r="O608">
        <v>4059</v>
      </c>
      <c r="P608" t="s">
        <v>3893</v>
      </c>
    </row>
    <row r="609" spans="1:16" ht="15" customHeight="1" x14ac:dyDescent="0.4">
      <c r="A609" t="s">
        <v>15</v>
      </c>
      <c r="B609" t="s">
        <v>16</v>
      </c>
      <c r="C609" s="13">
        <v>45292</v>
      </c>
      <c r="D609" s="13">
        <v>45657</v>
      </c>
      <c r="E609" t="s">
        <v>17</v>
      </c>
      <c r="F609">
        <v>3</v>
      </c>
      <c r="G609" t="s">
        <v>18</v>
      </c>
      <c r="H609">
        <v>1</v>
      </c>
      <c r="I609" t="s">
        <v>19</v>
      </c>
      <c r="J609">
        <v>242</v>
      </c>
      <c r="K609" t="s">
        <v>348</v>
      </c>
      <c r="L609" s="13">
        <v>45657</v>
      </c>
      <c r="M609" t="s">
        <v>3833</v>
      </c>
      <c r="N609" t="s">
        <v>45</v>
      </c>
      <c r="O609">
        <v>125.5</v>
      </c>
      <c r="P609" t="s">
        <v>46</v>
      </c>
    </row>
    <row r="610" spans="1:16" ht="15" customHeight="1" x14ac:dyDescent="0.4">
      <c r="A610" t="s">
        <v>15</v>
      </c>
      <c r="B610" t="s">
        <v>16</v>
      </c>
      <c r="C610" s="13">
        <v>45292</v>
      </c>
      <c r="D610" s="13">
        <v>45657</v>
      </c>
      <c r="E610" t="s">
        <v>17</v>
      </c>
      <c r="F610">
        <v>3</v>
      </c>
      <c r="G610" t="s">
        <v>18</v>
      </c>
      <c r="H610">
        <v>1</v>
      </c>
      <c r="I610" t="s">
        <v>19</v>
      </c>
      <c r="J610">
        <v>269</v>
      </c>
      <c r="K610" t="s">
        <v>3674</v>
      </c>
      <c r="L610" s="13">
        <v>45315</v>
      </c>
      <c r="M610" t="s">
        <v>76</v>
      </c>
      <c r="N610" t="s">
        <v>2924</v>
      </c>
      <c r="O610">
        <v>3.23</v>
      </c>
      <c r="P610" t="s">
        <v>52</v>
      </c>
    </row>
    <row r="611" spans="1:16" ht="15" customHeight="1" x14ac:dyDescent="0.4">
      <c r="A611" t="s">
        <v>15</v>
      </c>
      <c r="B611" t="s">
        <v>16</v>
      </c>
      <c r="C611" s="13">
        <v>45292</v>
      </c>
      <c r="D611" s="13">
        <v>45657</v>
      </c>
      <c r="E611" t="s">
        <v>17</v>
      </c>
      <c r="F611">
        <v>3</v>
      </c>
      <c r="G611" t="s">
        <v>18</v>
      </c>
      <c r="H611">
        <v>1</v>
      </c>
      <c r="I611" t="s">
        <v>19</v>
      </c>
      <c r="J611">
        <v>269</v>
      </c>
      <c r="K611" t="s">
        <v>3674</v>
      </c>
      <c r="L611" s="13">
        <v>45343</v>
      </c>
      <c r="M611" t="s">
        <v>76</v>
      </c>
      <c r="N611" t="s">
        <v>3334</v>
      </c>
      <c r="O611">
        <v>2.6</v>
      </c>
      <c r="P611" t="s">
        <v>52</v>
      </c>
    </row>
    <row r="612" spans="1:16" ht="15" customHeight="1" x14ac:dyDescent="0.4">
      <c r="A612" t="s">
        <v>15</v>
      </c>
      <c r="B612" t="s">
        <v>16</v>
      </c>
      <c r="C612" s="13">
        <v>45292</v>
      </c>
      <c r="D612" s="13">
        <v>45657</v>
      </c>
      <c r="E612" t="s">
        <v>17</v>
      </c>
      <c r="F612">
        <v>3</v>
      </c>
      <c r="G612" t="s">
        <v>18</v>
      </c>
      <c r="H612">
        <v>1</v>
      </c>
      <c r="I612" t="s">
        <v>19</v>
      </c>
      <c r="J612">
        <v>269</v>
      </c>
      <c r="K612" t="s">
        <v>3674</v>
      </c>
      <c r="L612" s="13">
        <v>45373</v>
      </c>
      <c r="M612" t="s">
        <v>76</v>
      </c>
      <c r="N612" t="s">
        <v>3335</v>
      </c>
      <c r="O612">
        <v>3.12</v>
      </c>
      <c r="P612" t="s">
        <v>52</v>
      </c>
    </row>
    <row r="613" spans="1:16" ht="15" customHeight="1" x14ac:dyDescent="0.4">
      <c r="A613" t="s">
        <v>15</v>
      </c>
      <c r="B613" t="s">
        <v>16</v>
      </c>
      <c r="C613" s="13">
        <v>45292</v>
      </c>
      <c r="D613" s="13">
        <v>45657</v>
      </c>
      <c r="E613" t="s">
        <v>17</v>
      </c>
      <c r="F613">
        <v>3</v>
      </c>
      <c r="G613" t="s">
        <v>18</v>
      </c>
      <c r="H613">
        <v>1</v>
      </c>
      <c r="I613" t="s">
        <v>19</v>
      </c>
      <c r="J613">
        <v>269</v>
      </c>
      <c r="K613" t="s">
        <v>3674</v>
      </c>
      <c r="L613" s="13">
        <v>45404</v>
      </c>
      <c r="M613" t="s">
        <v>76</v>
      </c>
      <c r="N613" t="s">
        <v>3336</v>
      </c>
      <c r="O613">
        <v>10.59</v>
      </c>
      <c r="P613" t="s">
        <v>52</v>
      </c>
    </row>
    <row r="614" spans="1:16" ht="15" customHeight="1" x14ac:dyDescent="0.4">
      <c r="A614" t="s">
        <v>15</v>
      </c>
      <c r="B614" t="s">
        <v>16</v>
      </c>
      <c r="C614" s="13">
        <v>45292</v>
      </c>
      <c r="D614" s="13">
        <v>45657</v>
      </c>
      <c r="E614" t="s">
        <v>17</v>
      </c>
      <c r="F614">
        <v>3</v>
      </c>
      <c r="G614" t="s">
        <v>18</v>
      </c>
      <c r="H614">
        <v>1</v>
      </c>
      <c r="I614" t="s">
        <v>19</v>
      </c>
      <c r="J614">
        <v>269</v>
      </c>
      <c r="K614" t="s">
        <v>3674</v>
      </c>
      <c r="L614" s="13">
        <v>45432</v>
      </c>
      <c r="M614" t="s">
        <v>76</v>
      </c>
      <c r="N614" t="s">
        <v>3337</v>
      </c>
      <c r="O614">
        <v>9.86</v>
      </c>
      <c r="P614" t="s">
        <v>52</v>
      </c>
    </row>
    <row r="615" spans="1:16" ht="15" customHeight="1" x14ac:dyDescent="0.4">
      <c r="A615" t="s">
        <v>15</v>
      </c>
      <c r="B615" t="s">
        <v>16</v>
      </c>
      <c r="C615" s="13">
        <v>45292</v>
      </c>
      <c r="D615" s="13">
        <v>45657</v>
      </c>
      <c r="E615" t="s">
        <v>17</v>
      </c>
      <c r="F615">
        <v>3</v>
      </c>
      <c r="G615" t="s">
        <v>18</v>
      </c>
      <c r="H615">
        <v>1</v>
      </c>
      <c r="I615" t="s">
        <v>19</v>
      </c>
      <c r="J615">
        <v>269</v>
      </c>
      <c r="K615" t="s">
        <v>3674</v>
      </c>
      <c r="L615" s="13">
        <v>45478</v>
      </c>
      <c r="M615" t="s">
        <v>76</v>
      </c>
      <c r="N615" t="s">
        <v>3338</v>
      </c>
      <c r="O615">
        <v>11.94</v>
      </c>
      <c r="P615" t="s">
        <v>52</v>
      </c>
    </row>
    <row r="616" spans="1:16" ht="15" customHeight="1" x14ac:dyDescent="0.4">
      <c r="A616" t="s">
        <v>15</v>
      </c>
      <c r="B616" t="s">
        <v>16</v>
      </c>
      <c r="C616" s="13">
        <v>45292</v>
      </c>
      <c r="D616" s="13">
        <v>45657</v>
      </c>
      <c r="E616" t="s">
        <v>17</v>
      </c>
      <c r="F616">
        <v>3</v>
      </c>
      <c r="G616" t="s">
        <v>18</v>
      </c>
      <c r="H616">
        <v>1</v>
      </c>
      <c r="I616" t="s">
        <v>19</v>
      </c>
      <c r="J616">
        <v>269</v>
      </c>
      <c r="K616" t="s">
        <v>3674</v>
      </c>
      <c r="L616" s="13">
        <v>45493</v>
      </c>
      <c r="M616" t="s">
        <v>76</v>
      </c>
      <c r="N616" t="s">
        <v>3706</v>
      </c>
      <c r="O616">
        <v>12.36</v>
      </c>
      <c r="P616" t="s">
        <v>52</v>
      </c>
    </row>
    <row r="617" spans="1:16" ht="15" customHeight="1" x14ac:dyDescent="0.4">
      <c r="A617" t="s">
        <v>15</v>
      </c>
      <c r="B617" t="s">
        <v>16</v>
      </c>
      <c r="C617" s="13">
        <v>45292</v>
      </c>
      <c r="D617" s="13">
        <v>45657</v>
      </c>
      <c r="E617" t="s">
        <v>17</v>
      </c>
      <c r="F617">
        <v>3</v>
      </c>
      <c r="G617" t="s">
        <v>18</v>
      </c>
      <c r="H617">
        <v>1</v>
      </c>
      <c r="I617" t="s">
        <v>19</v>
      </c>
      <c r="J617">
        <v>269</v>
      </c>
      <c r="K617" t="s">
        <v>3674</v>
      </c>
      <c r="L617" s="13">
        <v>45532</v>
      </c>
      <c r="M617" t="s">
        <v>76</v>
      </c>
      <c r="N617" t="s">
        <v>3707</v>
      </c>
      <c r="O617">
        <v>19.190000000000001</v>
      </c>
      <c r="P617" t="s">
        <v>52</v>
      </c>
    </row>
    <row r="618" spans="1:16" ht="15" customHeight="1" x14ac:dyDescent="0.4">
      <c r="A618" t="s">
        <v>15</v>
      </c>
      <c r="B618" t="s">
        <v>16</v>
      </c>
      <c r="C618" s="13">
        <v>45292</v>
      </c>
      <c r="D618" s="13">
        <v>45657</v>
      </c>
      <c r="E618" t="s">
        <v>17</v>
      </c>
      <c r="F618">
        <v>3</v>
      </c>
      <c r="G618" t="s">
        <v>18</v>
      </c>
      <c r="H618">
        <v>1</v>
      </c>
      <c r="I618" t="s">
        <v>19</v>
      </c>
      <c r="J618">
        <v>269</v>
      </c>
      <c r="K618" t="s">
        <v>3674</v>
      </c>
      <c r="L618" s="13">
        <v>45555</v>
      </c>
      <c r="M618" t="s">
        <v>76</v>
      </c>
      <c r="N618" t="s">
        <v>3708</v>
      </c>
      <c r="O618">
        <v>17.62</v>
      </c>
      <c r="P618" t="s">
        <v>52</v>
      </c>
    </row>
    <row r="619" spans="1:16" ht="15" customHeight="1" x14ac:dyDescent="0.4">
      <c r="A619" t="s">
        <v>15</v>
      </c>
      <c r="B619" t="s">
        <v>16</v>
      </c>
      <c r="C619" s="13">
        <v>45292</v>
      </c>
      <c r="D619" s="13">
        <v>45657</v>
      </c>
      <c r="E619" t="s">
        <v>17</v>
      </c>
      <c r="F619">
        <v>3</v>
      </c>
      <c r="G619" t="s">
        <v>18</v>
      </c>
      <c r="H619">
        <v>1</v>
      </c>
      <c r="I619" t="s">
        <v>19</v>
      </c>
      <c r="J619">
        <v>269</v>
      </c>
      <c r="K619" t="s">
        <v>3674</v>
      </c>
      <c r="L619" s="13">
        <v>45585</v>
      </c>
      <c r="M619" t="s">
        <v>76</v>
      </c>
      <c r="N619" t="s">
        <v>3709</v>
      </c>
      <c r="O619">
        <v>13.01</v>
      </c>
      <c r="P619" t="s">
        <v>52</v>
      </c>
    </row>
    <row r="620" spans="1:16" ht="15" customHeight="1" x14ac:dyDescent="0.4">
      <c r="A620" t="s">
        <v>15</v>
      </c>
      <c r="B620" t="s">
        <v>16</v>
      </c>
      <c r="C620" s="13">
        <v>45292</v>
      </c>
      <c r="D620" s="13">
        <v>45657</v>
      </c>
      <c r="E620" t="s">
        <v>17</v>
      </c>
      <c r="F620">
        <v>3</v>
      </c>
      <c r="G620" t="s">
        <v>18</v>
      </c>
      <c r="H620">
        <v>1</v>
      </c>
      <c r="I620" t="s">
        <v>19</v>
      </c>
      <c r="J620">
        <v>269</v>
      </c>
      <c r="K620" t="s">
        <v>3674</v>
      </c>
      <c r="L620" s="13">
        <v>45618</v>
      </c>
      <c r="M620" t="s">
        <v>76</v>
      </c>
      <c r="N620" t="s">
        <v>3710</v>
      </c>
      <c r="O620">
        <v>10.02</v>
      </c>
      <c r="P620" t="s">
        <v>52</v>
      </c>
    </row>
    <row r="621" spans="1:16" ht="15" customHeight="1" x14ac:dyDescent="0.4">
      <c r="A621" t="s">
        <v>15</v>
      </c>
      <c r="B621" t="s">
        <v>16</v>
      </c>
      <c r="C621" s="13">
        <v>45292</v>
      </c>
      <c r="D621" s="13">
        <v>45657</v>
      </c>
      <c r="E621" t="s">
        <v>17</v>
      </c>
      <c r="F621">
        <v>3</v>
      </c>
      <c r="G621" t="s">
        <v>18</v>
      </c>
      <c r="H621">
        <v>1</v>
      </c>
      <c r="I621" t="s">
        <v>19</v>
      </c>
      <c r="J621">
        <v>269</v>
      </c>
      <c r="K621" t="s">
        <v>3674</v>
      </c>
      <c r="L621" s="13">
        <v>45647</v>
      </c>
      <c r="M621" t="s">
        <v>76</v>
      </c>
      <c r="N621" t="s">
        <v>3711</v>
      </c>
      <c r="O621">
        <v>3.16</v>
      </c>
      <c r="P621" t="s">
        <v>52</v>
      </c>
    </row>
    <row r="622" spans="1:16" ht="15" customHeight="1" x14ac:dyDescent="0.4">
      <c r="A622" t="s">
        <v>15</v>
      </c>
      <c r="B622" t="s">
        <v>16</v>
      </c>
      <c r="C622" s="13">
        <v>45292</v>
      </c>
      <c r="D622" s="13">
        <v>45657</v>
      </c>
      <c r="E622" t="s">
        <v>17</v>
      </c>
      <c r="F622">
        <v>3</v>
      </c>
      <c r="G622" t="s">
        <v>18</v>
      </c>
      <c r="H622">
        <v>1</v>
      </c>
      <c r="I622" t="s">
        <v>19</v>
      </c>
      <c r="J622">
        <v>441</v>
      </c>
      <c r="K622" t="s">
        <v>268</v>
      </c>
      <c r="L622" s="13">
        <v>45435</v>
      </c>
      <c r="M622" t="s">
        <v>3472</v>
      </c>
      <c r="N622" t="s">
        <v>3473</v>
      </c>
      <c r="O622">
        <v>50.23</v>
      </c>
      <c r="P622" t="s">
        <v>494</v>
      </c>
    </row>
    <row r="623" spans="1:16" ht="15" customHeight="1" x14ac:dyDescent="0.4">
      <c r="A623" t="s">
        <v>15</v>
      </c>
      <c r="B623" t="s">
        <v>16</v>
      </c>
      <c r="C623" s="13">
        <v>45292</v>
      </c>
      <c r="D623" s="13">
        <v>45657</v>
      </c>
      <c r="E623" t="s">
        <v>17</v>
      </c>
      <c r="F623">
        <v>3</v>
      </c>
      <c r="G623" t="s">
        <v>18</v>
      </c>
      <c r="H623">
        <v>1</v>
      </c>
      <c r="I623" t="s">
        <v>19</v>
      </c>
      <c r="J623">
        <v>702</v>
      </c>
      <c r="K623" t="s">
        <v>275</v>
      </c>
      <c r="L623" s="13">
        <v>45657</v>
      </c>
      <c r="M623" t="s">
        <v>3801</v>
      </c>
      <c r="N623" t="s">
        <v>46</v>
      </c>
      <c r="O623">
        <v>69.930000000000007</v>
      </c>
      <c r="P623" t="s">
        <v>46</v>
      </c>
    </row>
    <row r="624" spans="1:16" ht="15" customHeight="1" x14ac:dyDescent="0.4">
      <c r="A624" t="s">
        <v>15</v>
      </c>
      <c r="B624" t="s">
        <v>16</v>
      </c>
      <c r="C624" s="13">
        <v>45292</v>
      </c>
      <c r="D624" s="13">
        <v>45657</v>
      </c>
      <c r="E624" t="s">
        <v>17</v>
      </c>
      <c r="F624">
        <v>3</v>
      </c>
      <c r="G624" t="s">
        <v>18</v>
      </c>
      <c r="H624">
        <v>1</v>
      </c>
      <c r="I624" t="s">
        <v>19</v>
      </c>
      <c r="J624">
        <v>883</v>
      </c>
      <c r="K624" t="s">
        <v>371</v>
      </c>
      <c r="L624" s="13">
        <v>45657</v>
      </c>
      <c r="M624" t="s">
        <v>3894</v>
      </c>
      <c r="N624" t="s">
        <v>376</v>
      </c>
      <c r="O624">
        <v>58.75</v>
      </c>
      <c r="P624" t="s">
        <v>46</v>
      </c>
    </row>
    <row r="625" spans="1:16" ht="15" customHeight="1" x14ac:dyDescent="0.4">
      <c r="A625" t="s">
        <v>15</v>
      </c>
      <c r="B625" t="s">
        <v>16</v>
      </c>
      <c r="C625" s="13">
        <v>45292</v>
      </c>
      <c r="D625" s="13">
        <v>45657</v>
      </c>
      <c r="E625" t="s">
        <v>17</v>
      </c>
      <c r="F625">
        <v>3</v>
      </c>
      <c r="G625" t="s">
        <v>18</v>
      </c>
      <c r="H625">
        <v>1</v>
      </c>
      <c r="I625" t="s">
        <v>19</v>
      </c>
      <c r="J625">
        <v>891</v>
      </c>
      <c r="K625" t="s">
        <v>377</v>
      </c>
      <c r="L625" s="13">
        <v>45657</v>
      </c>
      <c r="M625" t="s">
        <v>3844</v>
      </c>
      <c r="N625" t="s">
        <v>46</v>
      </c>
      <c r="O625">
        <v>9288.3799999999992</v>
      </c>
      <c r="P625" t="s">
        <v>46</v>
      </c>
    </row>
    <row r="626" spans="1:16" ht="15" customHeight="1" x14ac:dyDescent="0.4">
      <c r="A626" t="s">
        <v>15</v>
      </c>
      <c r="B626" t="s">
        <v>16</v>
      </c>
      <c r="C626" s="13">
        <v>45292</v>
      </c>
      <c r="D626" s="13">
        <v>45657</v>
      </c>
      <c r="E626" t="s">
        <v>17</v>
      </c>
      <c r="F626">
        <v>5</v>
      </c>
      <c r="G626" t="s">
        <v>501</v>
      </c>
      <c r="H626">
        <v>40</v>
      </c>
      <c r="I626" t="s">
        <v>501</v>
      </c>
      <c r="J626">
        <v>264</v>
      </c>
      <c r="K626" t="s">
        <v>502</v>
      </c>
      <c r="L626" s="13">
        <v>45315</v>
      </c>
      <c r="M626" t="s">
        <v>76</v>
      </c>
      <c r="N626" t="s">
        <v>2924</v>
      </c>
      <c r="O626">
        <v>3.37</v>
      </c>
      <c r="P626" t="s">
        <v>52</v>
      </c>
    </row>
    <row r="627" spans="1:16" ht="15" customHeight="1" x14ac:dyDescent="0.4">
      <c r="A627" t="s">
        <v>15</v>
      </c>
      <c r="B627" t="s">
        <v>16</v>
      </c>
      <c r="C627" s="13">
        <v>45292</v>
      </c>
      <c r="D627" s="13">
        <v>45657</v>
      </c>
      <c r="E627" t="s">
        <v>17</v>
      </c>
      <c r="F627">
        <v>5</v>
      </c>
      <c r="G627" t="s">
        <v>501</v>
      </c>
      <c r="H627">
        <v>40</v>
      </c>
      <c r="I627" t="s">
        <v>501</v>
      </c>
      <c r="J627">
        <v>264</v>
      </c>
      <c r="K627" t="s">
        <v>502</v>
      </c>
      <c r="L627" s="13">
        <v>45343</v>
      </c>
      <c r="M627" t="s">
        <v>76</v>
      </c>
      <c r="N627" t="s">
        <v>3334</v>
      </c>
      <c r="O627">
        <v>2.7</v>
      </c>
      <c r="P627" t="s">
        <v>52</v>
      </c>
    </row>
    <row r="628" spans="1:16" ht="15" customHeight="1" x14ac:dyDescent="0.4">
      <c r="A628" t="s">
        <v>15</v>
      </c>
      <c r="B628" t="s">
        <v>16</v>
      </c>
      <c r="C628" s="13">
        <v>45292</v>
      </c>
      <c r="D628" s="13">
        <v>45657</v>
      </c>
      <c r="E628" t="s">
        <v>17</v>
      </c>
      <c r="F628">
        <v>5</v>
      </c>
      <c r="G628" t="s">
        <v>501</v>
      </c>
      <c r="H628">
        <v>40</v>
      </c>
      <c r="I628" t="s">
        <v>501</v>
      </c>
      <c r="J628">
        <v>264</v>
      </c>
      <c r="K628" t="s">
        <v>502</v>
      </c>
      <c r="L628" s="13">
        <v>45373</v>
      </c>
      <c r="M628" t="s">
        <v>76</v>
      </c>
      <c r="N628" t="s">
        <v>3335</v>
      </c>
      <c r="O628">
        <v>3.25</v>
      </c>
      <c r="P628" t="s">
        <v>52</v>
      </c>
    </row>
    <row r="629" spans="1:16" ht="15" customHeight="1" x14ac:dyDescent="0.4">
      <c r="A629" t="s">
        <v>15</v>
      </c>
      <c r="B629" t="s">
        <v>16</v>
      </c>
      <c r="C629" s="13">
        <v>45292</v>
      </c>
      <c r="D629" s="13">
        <v>45657</v>
      </c>
      <c r="E629" t="s">
        <v>17</v>
      </c>
      <c r="F629">
        <v>5</v>
      </c>
      <c r="G629" t="s">
        <v>501</v>
      </c>
      <c r="H629">
        <v>40</v>
      </c>
      <c r="I629" t="s">
        <v>501</v>
      </c>
      <c r="J629">
        <v>264</v>
      </c>
      <c r="K629" t="s">
        <v>502</v>
      </c>
      <c r="L629" s="13">
        <v>45404</v>
      </c>
      <c r="M629" t="s">
        <v>76</v>
      </c>
      <c r="N629" t="s">
        <v>3336</v>
      </c>
      <c r="O629">
        <v>11.02</v>
      </c>
      <c r="P629" t="s">
        <v>52</v>
      </c>
    </row>
    <row r="630" spans="1:16" ht="15" customHeight="1" x14ac:dyDescent="0.4">
      <c r="A630" t="s">
        <v>15</v>
      </c>
      <c r="B630" t="s">
        <v>16</v>
      </c>
      <c r="C630" s="13">
        <v>45292</v>
      </c>
      <c r="D630" s="13">
        <v>45657</v>
      </c>
      <c r="E630" t="s">
        <v>17</v>
      </c>
      <c r="F630">
        <v>5</v>
      </c>
      <c r="G630" t="s">
        <v>501</v>
      </c>
      <c r="H630">
        <v>40</v>
      </c>
      <c r="I630" t="s">
        <v>501</v>
      </c>
      <c r="J630">
        <v>264</v>
      </c>
      <c r="K630" t="s">
        <v>502</v>
      </c>
      <c r="L630" s="13">
        <v>45432</v>
      </c>
      <c r="M630" t="s">
        <v>76</v>
      </c>
      <c r="N630" t="s">
        <v>3337</v>
      </c>
      <c r="O630">
        <v>10.27</v>
      </c>
      <c r="P630" t="s">
        <v>52</v>
      </c>
    </row>
    <row r="631" spans="1:16" ht="15" customHeight="1" x14ac:dyDescent="0.4">
      <c r="A631" t="s">
        <v>15</v>
      </c>
      <c r="B631" t="s">
        <v>16</v>
      </c>
      <c r="C631" s="13">
        <v>45292</v>
      </c>
      <c r="D631" s="13">
        <v>45657</v>
      </c>
      <c r="E631" t="s">
        <v>17</v>
      </c>
      <c r="F631">
        <v>5</v>
      </c>
      <c r="G631" t="s">
        <v>501</v>
      </c>
      <c r="H631">
        <v>40</v>
      </c>
      <c r="I631" t="s">
        <v>501</v>
      </c>
      <c r="J631">
        <v>264</v>
      </c>
      <c r="K631" t="s">
        <v>502</v>
      </c>
      <c r="L631" s="13">
        <v>45478</v>
      </c>
      <c r="M631" t="s">
        <v>76</v>
      </c>
      <c r="N631" t="s">
        <v>3338</v>
      </c>
      <c r="O631">
        <v>12.43</v>
      </c>
      <c r="P631" t="s">
        <v>52</v>
      </c>
    </row>
    <row r="632" spans="1:16" ht="15" customHeight="1" x14ac:dyDescent="0.4">
      <c r="A632" t="s">
        <v>15</v>
      </c>
      <c r="B632" t="s">
        <v>16</v>
      </c>
      <c r="C632" s="13">
        <v>45292</v>
      </c>
      <c r="D632" s="13">
        <v>45657</v>
      </c>
      <c r="E632" t="s">
        <v>17</v>
      </c>
      <c r="F632">
        <v>5</v>
      </c>
      <c r="G632" t="s">
        <v>501</v>
      </c>
      <c r="H632">
        <v>40</v>
      </c>
      <c r="I632" t="s">
        <v>501</v>
      </c>
      <c r="J632">
        <v>264</v>
      </c>
      <c r="K632" t="s">
        <v>502</v>
      </c>
      <c r="L632" s="13">
        <v>45493</v>
      </c>
      <c r="M632" t="s">
        <v>76</v>
      </c>
      <c r="N632" t="s">
        <v>3706</v>
      </c>
      <c r="O632">
        <v>12.87</v>
      </c>
      <c r="P632" t="s">
        <v>52</v>
      </c>
    </row>
    <row r="633" spans="1:16" ht="15" customHeight="1" x14ac:dyDescent="0.4">
      <c r="A633" t="s">
        <v>15</v>
      </c>
      <c r="B633" t="s">
        <v>16</v>
      </c>
      <c r="C633" s="13">
        <v>45292</v>
      </c>
      <c r="D633" s="13">
        <v>45657</v>
      </c>
      <c r="E633" t="s">
        <v>17</v>
      </c>
      <c r="F633">
        <v>5</v>
      </c>
      <c r="G633" t="s">
        <v>501</v>
      </c>
      <c r="H633">
        <v>40</v>
      </c>
      <c r="I633" t="s">
        <v>501</v>
      </c>
      <c r="J633">
        <v>264</v>
      </c>
      <c r="K633" t="s">
        <v>502</v>
      </c>
      <c r="L633" s="13">
        <v>45532</v>
      </c>
      <c r="M633" t="s">
        <v>76</v>
      </c>
      <c r="N633" t="s">
        <v>3707</v>
      </c>
      <c r="O633">
        <v>19.97</v>
      </c>
      <c r="P633" t="s">
        <v>52</v>
      </c>
    </row>
    <row r="634" spans="1:16" ht="15" customHeight="1" x14ac:dyDescent="0.4">
      <c r="A634" t="s">
        <v>15</v>
      </c>
      <c r="B634" t="s">
        <v>16</v>
      </c>
      <c r="C634" s="13">
        <v>45292</v>
      </c>
      <c r="D634" s="13">
        <v>45657</v>
      </c>
      <c r="E634" t="s">
        <v>17</v>
      </c>
      <c r="F634">
        <v>5</v>
      </c>
      <c r="G634" t="s">
        <v>501</v>
      </c>
      <c r="H634">
        <v>40</v>
      </c>
      <c r="I634" t="s">
        <v>501</v>
      </c>
      <c r="J634">
        <v>264</v>
      </c>
      <c r="K634" t="s">
        <v>502</v>
      </c>
      <c r="L634" s="13">
        <v>45555</v>
      </c>
      <c r="M634" t="s">
        <v>76</v>
      </c>
      <c r="N634" t="s">
        <v>3708</v>
      </c>
      <c r="O634">
        <v>18.34</v>
      </c>
      <c r="P634" t="s">
        <v>52</v>
      </c>
    </row>
    <row r="635" spans="1:16" ht="15" customHeight="1" x14ac:dyDescent="0.4">
      <c r="A635" t="s">
        <v>15</v>
      </c>
      <c r="B635" t="s">
        <v>16</v>
      </c>
      <c r="C635" s="13">
        <v>45292</v>
      </c>
      <c r="D635" s="13">
        <v>45657</v>
      </c>
      <c r="E635" t="s">
        <v>17</v>
      </c>
      <c r="F635">
        <v>5</v>
      </c>
      <c r="G635" t="s">
        <v>501</v>
      </c>
      <c r="H635">
        <v>40</v>
      </c>
      <c r="I635" t="s">
        <v>501</v>
      </c>
      <c r="J635">
        <v>264</v>
      </c>
      <c r="K635" t="s">
        <v>502</v>
      </c>
      <c r="L635" s="13">
        <v>45585</v>
      </c>
      <c r="M635" t="s">
        <v>76</v>
      </c>
      <c r="N635" t="s">
        <v>3709</v>
      </c>
      <c r="O635">
        <v>13.54</v>
      </c>
      <c r="P635" t="s">
        <v>52</v>
      </c>
    </row>
    <row r="636" spans="1:16" ht="15" customHeight="1" x14ac:dyDescent="0.4">
      <c r="A636" t="s">
        <v>15</v>
      </c>
      <c r="B636" t="s">
        <v>16</v>
      </c>
      <c r="C636" s="13">
        <v>45292</v>
      </c>
      <c r="D636" s="13">
        <v>45657</v>
      </c>
      <c r="E636" t="s">
        <v>17</v>
      </c>
      <c r="F636">
        <v>5</v>
      </c>
      <c r="G636" t="s">
        <v>501</v>
      </c>
      <c r="H636">
        <v>40</v>
      </c>
      <c r="I636" t="s">
        <v>501</v>
      </c>
      <c r="J636">
        <v>264</v>
      </c>
      <c r="K636" t="s">
        <v>502</v>
      </c>
      <c r="L636" s="13">
        <v>45618</v>
      </c>
      <c r="M636" t="s">
        <v>76</v>
      </c>
      <c r="N636" t="s">
        <v>3710</v>
      </c>
      <c r="O636">
        <v>10.43</v>
      </c>
      <c r="P636" t="s">
        <v>52</v>
      </c>
    </row>
    <row r="637" spans="1:16" ht="15" customHeight="1" x14ac:dyDescent="0.4">
      <c r="A637" t="s">
        <v>15</v>
      </c>
      <c r="B637" t="s">
        <v>16</v>
      </c>
      <c r="C637" s="13">
        <v>45292</v>
      </c>
      <c r="D637" s="13">
        <v>45657</v>
      </c>
      <c r="E637" t="s">
        <v>17</v>
      </c>
      <c r="F637">
        <v>5</v>
      </c>
      <c r="G637" t="s">
        <v>501</v>
      </c>
      <c r="H637">
        <v>40</v>
      </c>
      <c r="I637" t="s">
        <v>501</v>
      </c>
      <c r="J637">
        <v>264</v>
      </c>
      <c r="K637" t="s">
        <v>502</v>
      </c>
      <c r="L637" s="13">
        <v>45647</v>
      </c>
      <c r="M637" t="s">
        <v>76</v>
      </c>
      <c r="N637" t="s">
        <v>3711</v>
      </c>
      <c r="O637">
        <v>3.29</v>
      </c>
      <c r="P637" t="s">
        <v>52</v>
      </c>
    </row>
    <row r="638" spans="1:16" ht="15" customHeight="1" x14ac:dyDescent="0.4">
      <c r="A638" t="s">
        <v>15</v>
      </c>
      <c r="B638" t="s">
        <v>16</v>
      </c>
      <c r="C638" s="13">
        <v>45292</v>
      </c>
      <c r="D638" s="13">
        <v>45657</v>
      </c>
      <c r="E638" t="s">
        <v>17</v>
      </c>
      <c r="F638">
        <v>5</v>
      </c>
      <c r="G638" t="s">
        <v>501</v>
      </c>
      <c r="H638">
        <v>40</v>
      </c>
      <c r="I638" t="s">
        <v>501</v>
      </c>
      <c r="J638">
        <v>741</v>
      </c>
      <c r="K638" t="s">
        <v>505</v>
      </c>
      <c r="L638" s="13">
        <v>45481</v>
      </c>
      <c r="M638" t="s">
        <v>3895</v>
      </c>
      <c r="N638" t="s">
        <v>3896</v>
      </c>
      <c r="O638">
        <v>-62.1</v>
      </c>
      <c r="P638" t="s">
        <v>508</v>
      </c>
    </row>
    <row r="639" spans="1:16" ht="15" customHeight="1" x14ac:dyDescent="0.4">
      <c r="A639" t="s">
        <v>15</v>
      </c>
      <c r="B639" t="s">
        <v>16</v>
      </c>
      <c r="C639" s="13">
        <v>45292</v>
      </c>
      <c r="D639" s="13">
        <v>45657</v>
      </c>
      <c r="E639" t="s">
        <v>17</v>
      </c>
      <c r="F639">
        <v>5</v>
      </c>
      <c r="G639" t="s">
        <v>501</v>
      </c>
      <c r="H639">
        <v>40</v>
      </c>
      <c r="I639" t="s">
        <v>501</v>
      </c>
      <c r="J639">
        <v>741</v>
      </c>
      <c r="K639" t="s">
        <v>505</v>
      </c>
      <c r="L639" s="13">
        <v>45526</v>
      </c>
      <c r="M639" t="s">
        <v>3895</v>
      </c>
      <c r="N639" t="s">
        <v>3897</v>
      </c>
      <c r="O639">
        <v>62.1</v>
      </c>
      <c r="P639" t="s">
        <v>508</v>
      </c>
    </row>
    <row r="640" spans="1:16" ht="15" customHeight="1" x14ac:dyDescent="0.4">
      <c r="A640" t="s">
        <v>15</v>
      </c>
      <c r="B640" t="s">
        <v>16</v>
      </c>
      <c r="C640" s="13">
        <v>45292</v>
      </c>
      <c r="D640" s="13">
        <v>45657</v>
      </c>
      <c r="E640" t="s">
        <v>17</v>
      </c>
      <c r="F640">
        <v>5</v>
      </c>
      <c r="G640" t="s">
        <v>501</v>
      </c>
      <c r="H640">
        <v>40</v>
      </c>
      <c r="I640" t="s">
        <v>501</v>
      </c>
      <c r="J640">
        <v>741</v>
      </c>
      <c r="K640" t="s">
        <v>505</v>
      </c>
      <c r="L640" s="13">
        <v>45526</v>
      </c>
      <c r="M640" t="s">
        <v>3898</v>
      </c>
      <c r="N640" t="s">
        <v>3899</v>
      </c>
      <c r="O640">
        <v>64.8</v>
      </c>
      <c r="P640" t="s">
        <v>508</v>
      </c>
    </row>
    <row r="641" spans="1:16" ht="15" customHeight="1" x14ac:dyDescent="0.4">
      <c r="A641" t="s">
        <v>15</v>
      </c>
      <c r="B641" t="s">
        <v>16</v>
      </c>
      <c r="C641" s="13">
        <v>45292</v>
      </c>
      <c r="D641" s="13">
        <v>45657</v>
      </c>
      <c r="E641" t="s">
        <v>17</v>
      </c>
      <c r="F641">
        <v>5</v>
      </c>
      <c r="G641" t="s">
        <v>501</v>
      </c>
      <c r="H641">
        <v>40</v>
      </c>
      <c r="I641" t="s">
        <v>501</v>
      </c>
      <c r="J641">
        <v>801</v>
      </c>
      <c r="K641" t="s">
        <v>511</v>
      </c>
      <c r="L641" s="13">
        <v>45314</v>
      </c>
      <c r="M641" t="s">
        <v>3474</v>
      </c>
      <c r="N641" t="s">
        <v>3475</v>
      </c>
      <c r="O641">
        <v>305.91000000000003</v>
      </c>
      <c r="P641" t="s">
        <v>2926</v>
      </c>
    </row>
    <row r="642" spans="1:16" ht="15" customHeight="1" x14ac:dyDescent="0.4">
      <c r="A642" t="s">
        <v>15</v>
      </c>
      <c r="B642" t="s">
        <v>16</v>
      </c>
      <c r="C642" s="13">
        <v>45292</v>
      </c>
      <c r="D642" s="13">
        <v>45657</v>
      </c>
      <c r="E642" t="s">
        <v>17</v>
      </c>
      <c r="F642">
        <v>5</v>
      </c>
      <c r="G642" t="s">
        <v>501</v>
      </c>
      <c r="H642">
        <v>40</v>
      </c>
      <c r="I642" t="s">
        <v>501</v>
      </c>
      <c r="J642">
        <v>801</v>
      </c>
      <c r="K642" t="s">
        <v>511</v>
      </c>
      <c r="L642" s="13">
        <v>45399</v>
      </c>
      <c r="M642" t="s">
        <v>3476</v>
      </c>
      <c r="N642" t="s">
        <v>3477</v>
      </c>
      <c r="O642">
        <v>305.91000000000003</v>
      </c>
      <c r="P642" t="s">
        <v>2926</v>
      </c>
    </row>
    <row r="643" spans="1:16" ht="15" customHeight="1" x14ac:dyDescent="0.4">
      <c r="A643" t="s">
        <v>15</v>
      </c>
      <c r="B643" t="s">
        <v>16</v>
      </c>
      <c r="C643" s="13">
        <v>45292</v>
      </c>
      <c r="D643" s="13">
        <v>45657</v>
      </c>
      <c r="E643" t="s">
        <v>17</v>
      </c>
      <c r="F643">
        <v>5</v>
      </c>
      <c r="G643" t="s">
        <v>501</v>
      </c>
      <c r="H643">
        <v>40</v>
      </c>
      <c r="I643" t="s">
        <v>501</v>
      </c>
      <c r="J643">
        <v>801</v>
      </c>
      <c r="K643" t="s">
        <v>511</v>
      </c>
      <c r="L643" s="13">
        <v>45526</v>
      </c>
      <c r="M643" t="s">
        <v>3900</v>
      </c>
      <c r="N643" t="s">
        <v>3901</v>
      </c>
      <c r="O643">
        <v>305.91000000000003</v>
      </c>
      <c r="P643" t="s">
        <v>2926</v>
      </c>
    </row>
    <row r="644" spans="1:16" ht="15" customHeight="1" x14ac:dyDescent="0.4">
      <c r="A644" t="s">
        <v>15</v>
      </c>
      <c r="B644" t="s">
        <v>16</v>
      </c>
      <c r="C644" s="13">
        <v>45292</v>
      </c>
      <c r="D644" s="13">
        <v>45657</v>
      </c>
      <c r="E644" t="s">
        <v>17</v>
      </c>
      <c r="F644">
        <v>5</v>
      </c>
      <c r="G644" t="s">
        <v>501</v>
      </c>
      <c r="H644">
        <v>40</v>
      </c>
      <c r="I644" t="s">
        <v>501</v>
      </c>
      <c r="J644">
        <v>801</v>
      </c>
      <c r="K644" t="s">
        <v>511</v>
      </c>
      <c r="L644" s="13">
        <v>45615</v>
      </c>
      <c r="M644" t="s">
        <v>3902</v>
      </c>
      <c r="N644" t="s">
        <v>3903</v>
      </c>
      <c r="O644">
        <v>305.91000000000003</v>
      </c>
      <c r="P644" t="s">
        <v>2926</v>
      </c>
    </row>
    <row r="645" spans="1:16" ht="15" customHeight="1" x14ac:dyDescent="0.4">
      <c r="A645" t="s">
        <v>15</v>
      </c>
      <c r="B645" t="s">
        <v>16</v>
      </c>
      <c r="C645" s="13">
        <v>45292</v>
      </c>
      <c r="D645" s="13">
        <v>45657</v>
      </c>
      <c r="E645" t="s">
        <v>17</v>
      </c>
      <c r="F645">
        <v>6</v>
      </c>
      <c r="G645" t="s">
        <v>525</v>
      </c>
      <c r="H645">
        <v>65</v>
      </c>
      <c r="I645" t="s">
        <v>526</v>
      </c>
      <c r="J645">
        <v>821</v>
      </c>
      <c r="K645" t="s">
        <v>527</v>
      </c>
      <c r="L645" s="13">
        <v>45352</v>
      </c>
      <c r="M645" t="s">
        <v>3904</v>
      </c>
      <c r="N645" t="s">
        <v>3478</v>
      </c>
      <c r="O645">
        <v>2770.88</v>
      </c>
      <c r="P645" t="s">
        <v>530</v>
      </c>
    </row>
    <row r="646" spans="1:16" ht="15" customHeight="1" x14ac:dyDescent="0.4">
      <c r="A646" t="s">
        <v>15</v>
      </c>
      <c r="B646" t="s">
        <v>16</v>
      </c>
      <c r="C646" s="13">
        <v>45292</v>
      </c>
      <c r="D646" s="13">
        <v>45657</v>
      </c>
      <c r="E646" t="s">
        <v>17</v>
      </c>
      <c r="F646">
        <v>6</v>
      </c>
      <c r="G646" t="s">
        <v>525</v>
      </c>
      <c r="H646">
        <v>65</v>
      </c>
      <c r="I646" t="s">
        <v>526</v>
      </c>
      <c r="J646">
        <v>821</v>
      </c>
      <c r="K646" t="s">
        <v>527</v>
      </c>
      <c r="L646" s="13">
        <v>45554</v>
      </c>
      <c r="M646" t="s">
        <v>3905</v>
      </c>
      <c r="N646" t="s">
        <v>3906</v>
      </c>
      <c r="O646">
        <v>2770.88</v>
      </c>
      <c r="P646" t="s">
        <v>530</v>
      </c>
    </row>
    <row r="647" spans="1:16" ht="15" customHeight="1" x14ac:dyDescent="0.4">
      <c r="A647" t="s">
        <v>15</v>
      </c>
      <c r="B647" t="s">
        <v>16</v>
      </c>
      <c r="C647" s="13">
        <v>45292</v>
      </c>
      <c r="D647" s="13">
        <v>45657</v>
      </c>
      <c r="E647" t="s">
        <v>17</v>
      </c>
      <c r="F647">
        <v>6</v>
      </c>
      <c r="G647" t="s">
        <v>525</v>
      </c>
      <c r="H647">
        <v>65</v>
      </c>
      <c r="I647" t="s">
        <v>526</v>
      </c>
      <c r="J647">
        <v>821</v>
      </c>
      <c r="K647" t="s">
        <v>527</v>
      </c>
      <c r="L647" s="13">
        <v>45657</v>
      </c>
      <c r="M647" t="s">
        <v>3907</v>
      </c>
      <c r="N647" t="s">
        <v>46</v>
      </c>
      <c r="O647">
        <v>-3694.52</v>
      </c>
      <c r="P647" t="s">
        <v>46</v>
      </c>
    </row>
    <row r="648" spans="1:16" ht="15" customHeight="1" x14ac:dyDescent="0.4">
      <c r="A648" t="s">
        <v>15</v>
      </c>
      <c r="B648" t="s">
        <v>16</v>
      </c>
      <c r="C648" s="13">
        <v>45292</v>
      </c>
      <c r="D648" s="13">
        <v>45657</v>
      </c>
      <c r="E648" t="s">
        <v>17</v>
      </c>
      <c r="F648">
        <v>6</v>
      </c>
      <c r="G648" t="s">
        <v>525</v>
      </c>
      <c r="H648">
        <v>65</v>
      </c>
      <c r="I648" t="s">
        <v>526</v>
      </c>
      <c r="J648">
        <v>825</v>
      </c>
      <c r="K648" t="s">
        <v>534</v>
      </c>
      <c r="L648" s="13">
        <v>45429</v>
      </c>
      <c r="M648" t="s">
        <v>3908</v>
      </c>
      <c r="N648" t="s">
        <v>3479</v>
      </c>
      <c r="O648">
        <v>71.5</v>
      </c>
      <c r="P648" t="s">
        <v>530</v>
      </c>
    </row>
    <row r="649" spans="1:16" ht="15" customHeight="1" x14ac:dyDescent="0.4">
      <c r="A649" t="s">
        <v>15</v>
      </c>
      <c r="B649" t="s">
        <v>16</v>
      </c>
      <c r="C649" s="13">
        <v>45292</v>
      </c>
      <c r="D649" s="13">
        <v>45657</v>
      </c>
      <c r="E649" t="s">
        <v>17</v>
      </c>
      <c r="F649">
        <v>6</v>
      </c>
      <c r="G649" t="s">
        <v>525</v>
      </c>
      <c r="H649">
        <v>65</v>
      </c>
      <c r="I649" t="s">
        <v>526</v>
      </c>
      <c r="J649">
        <v>825</v>
      </c>
      <c r="K649" t="s">
        <v>534</v>
      </c>
      <c r="L649" s="13">
        <v>45468</v>
      </c>
      <c r="M649" t="s">
        <v>3908</v>
      </c>
      <c r="N649" t="s">
        <v>3481</v>
      </c>
      <c r="O649">
        <v>214.5</v>
      </c>
      <c r="P649" t="s">
        <v>530</v>
      </c>
    </row>
    <row r="650" spans="1:16" ht="15" customHeight="1" x14ac:dyDescent="0.4">
      <c r="A650" t="s">
        <v>15</v>
      </c>
      <c r="B650" t="s">
        <v>16</v>
      </c>
      <c r="C650" s="13">
        <v>45292</v>
      </c>
      <c r="D650" s="13">
        <v>45657</v>
      </c>
      <c r="E650" t="s">
        <v>17</v>
      </c>
      <c r="F650">
        <v>6</v>
      </c>
      <c r="G650" t="s">
        <v>525</v>
      </c>
      <c r="H650">
        <v>65</v>
      </c>
      <c r="I650" t="s">
        <v>526</v>
      </c>
      <c r="J650">
        <v>825</v>
      </c>
      <c r="K650" t="s">
        <v>534</v>
      </c>
      <c r="L650" s="13">
        <v>45468</v>
      </c>
      <c r="M650" t="s">
        <v>3908</v>
      </c>
      <c r="N650" t="s">
        <v>3480</v>
      </c>
      <c r="O650">
        <v>202.4</v>
      </c>
      <c r="P650" t="s">
        <v>530</v>
      </c>
    </row>
    <row r="651" spans="1:16" ht="15" customHeight="1" x14ac:dyDescent="0.4">
      <c r="A651" t="s">
        <v>15</v>
      </c>
      <c r="B651" t="s">
        <v>16</v>
      </c>
      <c r="C651" s="13">
        <v>45292</v>
      </c>
      <c r="D651" s="13">
        <v>45657</v>
      </c>
      <c r="E651" t="s">
        <v>17</v>
      </c>
      <c r="F651">
        <v>6</v>
      </c>
      <c r="G651" t="s">
        <v>525</v>
      </c>
      <c r="H651">
        <v>65</v>
      </c>
      <c r="I651" t="s">
        <v>526</v>
      </c>
      <c r="J651">
        <v>825</v>
      </c>
      <c r="K651" t="s">
        <v>534</v>
      </c>
      <c r="L651" s="13">
        <v>45469</v>
      </c>
      <c r="M651" t="s">
        <v>3909</v>
      </c>
      <c r="N651" t="s">
        <v>3482</v>
      </c>
      <c r="O651">
        <v>118.8</v>
      </c>
      <c r="P651" t="s">
        <v>530</v>
      </c>
    </row>
    <row r="652" spans="1:16" ht="15" customHeight="1" x14ac:dyDescent="0.4">
      <c r="A652" t="s">
        <v>15</v>
      </c>
      <c r="B652" t="s">
        <v>16</v>
      </c>
      <c r="C652" s="13">
        <v>45292</v>
      </c>
      <c r="D652" s="13">
        <v>45657</v>
      </c>
      <c r="E652" t="s">
        <v>17</v>
      </c>
      <c r="F652">
        <v>6</v>
      </c>
      <c r="G652" t="s">
        <v>525</v>
      </c>
      <c r="H652">
        <v>65</v>
      </c>
      <c r="I652" t="s">
        <v>526</v>
      </c>
      <c r="J652">
        <v>825</v>
      </c>
      <c r="K652" t="s">
        <v>534</v>
      </c>
      <c r="L652" s="13">
        <v>45657</v>
      </c>
      <c r="M652" t="s">
        <v>3910</v>
      </c>
      <c r="N652" t="s">
        <v>46</v>
      </c>
      <c r="O652">
        <v>-404.8</v>
      </c>
      <c r="P652" t="s">
        <v>46</v>
      </c>
    </row>
    <row r="653" spans="1:16" ht="15" customHeight="1" x14ac:dyDescent="0.4">
      <c r="A653" t="s">
        <v>15</v>
      </c>
      <c r="B653" t="s">
        <v>16</v>
      </c>
      <c r="C653" s="13">
        <v>45292</v>
      </c>
      <c r="D653" s="13">
        <v>45657</v>
      </c>
      <c r="E653" t="s">
        <v>17</v>
      </c>
      <c r="F653">
        <v>8</v>
      </c>
      <c r="G653" t="s">
        <v>501</v>
      </c>
      <c r="H653">
        <v>40</v>
      </c>
      <c r="I653" t="s">
        <v>501</v>
      </c>
      <c r="J653">
        <v>264</v>
      </c>
      <c r="K653" t="s">
        <v>3681</v>
      </c>
      <c r="L653" s="13">
        <v>45314</v>
      </c>
      <c r="M653" t="s">
        <v>76</v>
      </c>
      <c r="N653" t="s">
        <v>2925</v>
      </c>
      <c r="O653">
        <v>28.85</v>
      </c>
      <c r="P653" t="s">
        <v>52</v>
      </c>
    </row>
    <row r="654" spans="1:16" ht="15" customHeight="1" x14ac:dyDescent="0.4">
      <c r="A654" t="s">
        <v>15</v>
      </c>
      <c r="B654" t="s">
        <v>16</v>
      </c>
      <c r="C654" s="13">
        <v>45292</v>
      </c>
      <c r="D654" s="13">
        <v>45657</v>
      </c>
      <c r="E654" t="s">
        <v>17</v>
      </c>
      <c r="F654">
        <v>8</v>
      </c>
      <c r="G654" t="s">
        <v>501</v>
      </c>
      <c r="H654">
        <v>40</v>
      </c>
      <c r="I654" t="s">
        <v>501</v>
      </c>
      <c r="J654">
        <v>264</v>
      </c>
      <c r="K654" t="s">
        <v>3681</v>
      </c>
      <c r="L654" s="13">
        <v>45350</v>
      </c>
      <c r="M654" t="s">
        <v>76</v>
      </c>
      <c r="N654" t="s">
        <v>3441</v>
      </c>
      <c r="O654">
        <v>25.88</v>
      </c>
      <c r="P654" t="s">
        <v>52</v>
      </c>
    </row>
    <row r="655" spans="1:16" ht="15" customHeight="1" x14ac:dyDescent="0.4">
      <c r="A655" t="s">
        <v>15</v>
      </c>
      <c r="B655" t="s">
        <v>16</v>
      </c>
      <c r="C655" s="13">
        <v>45292</v>
      </c>
      <c r="D655" s="13">
        <v>45657</v>
      </c>
      <c r="E655" t="s">
        <v>17</v>
      </c>
      <c r="F655">
        <v>8</v>
      </c>
      <c r="G655" t="s">
        <v>501</v>
      </c>
      <c r="H655">
        <v>40</v>
      </c>
      <c r="I655" t="s">
        <v>501</v>
      </c>
      <c r="J655">
        <v>264</v>
      </c>
      <c r="K655" t="s">
        <v>3681</v>
      </c>
      <c r="L655" s="13">
        <v>45392</v>
      </c>
      <c r="M655" t="s">
        <v>76</v>
      </c>
      <c r="N655" t="s">
        <v>3442</v>
      </c>
      <c r="O655">
        <v>25.49</v>
      </c>
      <c r="P655" t="s">
        <v>52</v>
      </c>
    </row>
    <row r="656" spans="1:16" ht="15" customHeight="1" x14ac:dyDescent="0.4">
      <c r="A656" t="s">
        <v>15</v>
      </c>
      <c r="B656" t="s">
        <v>16</v>
      </c>
      <c r="C656" s="13">
        <v>45292</v>
      </c>
      <c r="D656" s="13">
        <v>45657</v>
      </c>
      <c r="E656" t="s">
        <v>17</v>
      </c>
      <c r="F656">
        <v>8</v>
      </c>
      <c r="G656" t="s">
        <v>501</v>
      </c>
      <c r="H656">
        <v>40</v>
      </c>
      <c r="I656" t="s">
        <v>501</v>
      </c>
      <c r="J656">
        <v>264</v>
      </c>
      <c r="K656" t="s">
        <v>3681</v>
      </c>
      <c r="L656" s="13">
        <v>45404</v>
      </c>
      <c r="M656" t="s">
        <v>76</v>
      </c>
      <c r="N656" t="s">
        <v>3443</v>
      </c>
      <c r="O656">
        <v>19.73</v>
      </c>
      <c r="P656" t="s">
        <v>52</v>
      </c>
    </row>
    <row r="657" spans="1:16" ht="15" customHeight="1" x14ac:dyDescent="0.4">
      <c r="A657" t="s">
        <v>15</v>
      </c>
      <c r="B657" t="s">
        <v>16</v>
      </c>
      <c r="C657" s="13">
        <v>45292</v>
      </c>
      <c r="D657" s="13">
        <v>45657</v>
      </c>
      <c r="E657" t="s">
        <v>17</v>
      </c>
      <c r="F657">
        <v>8</v>
      </c>
      <c r="G657" t="s">
        <v>501</v>
      </c>
      <c r="H657">
        <v>40</v>
      </c>
      <c r="I657" t="s">
        <v>501</v>
      </c>
      <c r="J657">
        <v>264</v>
      </c>
      <c r="K657" t="s">
        <v>3681</v>
      </c>
      <c r="L657" s="13">
        <v>45457</v>
      </c>
      <c r="M657" t="s">
        <v>76</v>
      </c>
      <c r="N657" t="s">
        <v>3444</v>
      </c>
      <c r="O657">
        <v>18.850000000000001</v>
      </c>
      <c r="P657" t="s">
        <v>52</v>
      </c>
    </row>
    <row r="658" spans="1:16" ht="15" customHeight="1" x14ac:dyDescent="0.4">
      <c r="A658" t="s">
        <v>15</v>
      </c>
      <c r="B658" t="s">
        <v>16</v>
      </c>
      <c r="C658" s="13">
        <v>45292</v>
      </c>
      <c r="D658" s="13">
        <v>45657</v>
      </c>
      <c r="E658" t="s">
        <v>17</v>
      </c>
      <c r="F658">
        <v>8</v>
      </c>
      <c r="G658" t="s">
        <v>501</v>
      </c>
      <c r="H658">
        <v>40</v>
      </c>
      <c r="I658" t="s">
        <v>501</v>
      </c>
      <c r="J658">
        <v>264</v>
      </c>
      <c r="K658" t="s">
        <v>3681</v>
      </c>
      <c r="L658" s="13">
        <v>45475</v>
      </c>
      <c r="M658" t="s">
        <v>76</v>
      </c>
      <c r="N658" t="s">
        <v>3445</v>
      </c>
      <c r="O658">
        <v>21</v>
      </c>
      <c r="P658" t="s">
        <v>52</v>
      </c>
    </row>
    <row r="659" spans="1:16" ht="15" customHeight="1" x14ac:dyDescent="0.4">
      <c r="A659" t="s">
        <v>15</v>
      </c>
      <c r="B659" t="s">
        <v>16</v>
      </c>
      <c r="C659" s="13">
        <v>45292</v>
      </c>
      <c r="D659" s="13">
        <v>45657</v>
      </c>
      <c r="E659" t="s">
        <v>17</v>
      </c>
      <c r="F659">
        <v>8</v>
      </c>
      <c r="G659" t="s">
        <v>501</v>
      </c>
      <c r="H659">
        <v>40</v>
      </c>
      <c r="I659" t="s">
        <v>501</v>
      </c>
      <c r="J659">
        <v>264</v>
      </c>
      <c r="K659" t="s">
        <v>3681</v>
      </c>
      <c r="L659" s="13">
        <v>45495</v>
      </c>
      <c r="M659" t="s">
        <v>76</v>
      </c>
      <c r="N659" t="s">
        <v>3834</v>
      </c>
      <c r="O659">
        <v>16.739999999999998</v>
      </c>
      <c r="P659" t="s">
        <v>52</v>
      </c>
    </row>
    <row r="660" spans="1:16" ht="15" customHeight="1" x14ac:dyDescent="0.4">
      <c r="A660" t="s">
        <v>15</v>
      </c>
      <c r="B660" t="s">
        <v>16</v>
      </c>
      <c r="C660" s="13">
        <v>45292</v>
      </c>
      <c r="D660" s="13">
        <v>45657</v>
      </c>
      <c r="E660" t="s">
        <v>17</v>
      </c>
      <c r="F660">
        <v>8</v>
      </c>
      <c r="G660" t="s">
        <v>501</v>
      </c>
      <c r="H660">
        <v>40</v>
      </c>
      <c r="I660" t="s">
        <v>501</v>
      </c>
      <c r="J660">
        <v>264</v>
      </c>
      <c r="K660" t="s">
        <v>3681</v>
      </c>
      <c r="L660" s="13">
        <v>45530</v>
      </c>
      <c r="M660" t="s">
        <v>76</v>
      </c>
      <c r="N660" t="s">
        <v>3835</v>
      </c>
      <c r="O660">
        <v>24.8</v>
      </c>
      <c r="P660" t="s">
        <v>52</v>
      </c>
    </row>
    <row r="661" spans="1:16" ht="15" customHeight="1" x14ac:dyDescent="0.4">
      <c r="A661" t="s">
        <v>15</v>
      </c>
      <c r="B661" t="s">
        <v>16</v>
      </c>
      <c r="C661" s="13">
        <v>45292</v>
      </c>
      <c r="D661" s="13">
        <v>45657</v>
      </c>
      <c r="E661" t="s">
        <v>17</v>
      </c>
      <c r="F661">
        <v>8</v>
      </c>
      <c r="G661" t="s">
        <v>501</v>
      </c>
      <c r="H661">
        <v>40</v>
      </c>
      <c r="I661" t="s">
        <v>501</v>
      </c>
      <c r="J661">
        <v>264</v>
      </c>
      <c r="K661" t="s">
        <v>3681</v>
      </c>
      <c r="L661" s="13">
        <v>45587</v>
      </c>
      <c r="M661" t="s">
        <v>76</v>
      </c>
      <c r="N661" t="s">
        <v>3836</v>
      </c>
      <c r="O661">
        <v>17.48</v>
      </c>
      <c r="P661" t="s">
        <v>52</v>
      </c>
    </row>
    <row r="662" spans="1:16" ht="15" customHeight="1" x14ac:dyDescent="0.4">
      <c r="A662" t="s">
        <v>15</v>
      </c>
      <c r="B662" t="s">
        <v>16</v>
      </c>
      <c r="C662" s="13">
        <v>45292</v>
      </c>
      <c r="D662" s="13">
        <v>45657</v>
      </c>
      <c r="E662" t="s">
        <v>17</v>
      </c>
      <c r="F662">
        <v>8</v>
      </c>
      <c r="G662" t="s">
        <v>501</v>
      </c>
      <c r="H662">
        <v>40</v>
      </c>
      <c r="I662" t="s">
        <v>501</v>
      </c>
      <c r="J662">
        <v>264</v>
      </c>
      <c r="K662" t="s">
        <v>3681</v>
      </c>
      <c r="L662" s="13">
        <v>45610</v>
      </c>
      <c r="M662" t="s">
        <v>76</v>
      </c>
      <c r="N662" t="s">
        <v>3837</v>
      </c>
      <c r="O662">
        <v>21.84</v>
      </c>
      <c r="P662" t="s">
        <v>52</v>
      </c>
    </row>
    <row r="663" spans="1:16" ht="15" customHeight="1" x14ac:dyDescent="0.4">
      <c r="A663" t="s">
        <v>15</v>
      </c>
      <c r="B663" t="s">
        <v>16</v>
      </c>
      <c r="C663" s="13">
        <v>45292</v>
      </c>
      <c r="D663" s="13">
        <v>45657</v>
      </c>
      <c r="E663" t="s">
        <v>17</v>
      </c>
      <c r="F663">
        <v>8</v>
      </c>
      <c r="G663" t="s">
        <v>501</v>
      </c>
      <c r="H663">
        <v>40</v>
      </c>
      <c r="I663" t="s">
        <v>501</v>
      </c>
      <c r="J663">
        <v>264</v>
      </c>
      <c r="K663" t="s">
        <v>3681</v>
      </c>
      <c r="L663" s="13">
        <v>45618</v>
      </c>
      <c r="M663" t="s">
        <v>76</v>
      </c>
      <c r="N663" t="s">
        <v>3838</v>
      </c>
      <c r="O663">
        <v>18.670000000000002</v>
      </c>
      <c r="P663" t="s">
        <v>52</v>
      </c>
    </row>
    <row r="664" spans="1:16" ht="15" customHeight="1" x14ac:dyDescent="0.4">
      <c r="A664" t="s">
        <v>15</v>
      </c>
      <c r="B664" t="s">
        <v>16</v>
      </c>
      <c r="C664" s="13">
        <v>45292</v>
      </c>
      <c r="D664" s="13">
        <v>45657</v>
      </c>
      <c r="E664" t="s">
        <v>17</v>
      </c>
      <c r="F664">
        <v>8</v>
      </c>
      <c r="G664" t="s">
        <v>501</v>
      </c>
      <c r="H664">
        <v>40</v>
      </c>
      <c r="I664" t="s">
        <v>501</v>
      </c>
      <c r="J664">
        <v>264</v>
      </c>
      <c r="K664" t="s">
        <v>3681</v>
      </c>
      <c r="L664" s="13">
        <v>45648</v>
      </c>
      <c r="M664" t="s">
        <v>76</v>
      </c>
      <c r="N664" t="s">
        <v>3839</v>
      </c>
      <c r="O664">
        <v>21.48</v>
      </c>
      <c r="P664" t="s">
        <v>52</v>
      </c>
    </row>
    <row r="665" spans="1:16" ht="15" customHeight="1" x14ac:dyDescent="0.4">
      <c r="A665" t="s">
        <v>15</v>
      </c>
      <c r="B665" t="s">
        <v>16</v>
      </c>
      <c r="C665" s="13">
        <v>45292</v>
      </c>
      <c r="D665" s="13">
        <v>45657</v>
      </c>
      <c r="E665" t="s">
        <v>17</v>
      </c>
      <c r="F665">
        <v>8</v>
      </c>
      <c r="G665" t="s">
        <v>501</v>
      </c>
      <c r="H665">
        <v>40</v>
      </c>
      <c r="I665" t="s">
        <v>501</v>
      </c>
      <c r="J665">
        <v>741</v>
      </c>
      <c r="K665" t="s">
        <v>505</v>
      </c>
      <c r="L665" s="13">
        <v>45526</v>
      </c>
      <c r="M665" t="s">
        <v>3911</v>
      </c>
      <c r="N665" t="s">
        <v>3912</v>
      </c>
      <c r="O665">
        <v>92.34</v>
      </c>
      <c r="P665" t="s">
        <v>508</v>
      </c>
    </row>
    <row r="666" spans="1:16" ht="15" customHeight="1" x14ac:dyDescent="0.4">
      <c r="A666" t="s">
        <v>15</v>
      </c>
      <c r="B666" t="s">
        <v>16</v>
      </c>
      <c r="C666" s="13">
        <v>45292</v>
      </c>
      <c r="D666" s="13">
        <v>45657</v>
      </c>
      <c r="E666" t="s">
        <v>17</v>
      </c>
      <c r="F666">
        <v>8</v>
      </c>
      <c r="G666" t="s">
        <v>501</v>
      </c>
      <c r="H666">
        <v>40</v>
      </c>
      <c r="I666" t="s">
        <v>501</v>
      </c>
      <c r="J666">
        <v>801</v>
      </c>
      <c r="K666" t="s">
        <v>511</v>
      </c>
      <c r="L666" s="13">
        <v>45292</v>
      </c>
      <c r="M666" t="s">
        <v>3913</v>
      </c>
      <c r="N666" t="s">
        <v>3483</v>
      </c>
      <c r="O666">
        <v>247.5</v>
      </c>
      <c r="P666" t="s">
        <v>508</v>
      </c>
    </row>
    <row r="667" spans="1:16" ht="15" customHeight="1" x14ac:dyDescent="0.4">
      <c r="A667" t="s">
        <v>15</v>
      </c>
      <c r="B667" t="s">
        <v>16</v>
      </c>
      <c r="C667" s="13">
        <v>45292</v>
      </c>
      <c r="D667" s="13">
        <v>45657</v>
      </c>
      <c r="E667" t="s">
        <v>17</v>
      </c>
      <c r="F667">
        <v>8</v>
      </c>
      <c r="G667" t="s">
        <v>501</v>
      </c>
      <c r="H667">
        <v>40</v>
      </c>
      <c r="I667" t="s">
        <v>501</v>
      </c>
      <c r="J667">
        <v>801</v>
      </c>
      <c r="K667" t="s">
        <v>511</v>
      </c>
      <c r="L667" s="13">
        <v>45383</v>
      </c>
      <c r="M667" t="s">
        <v>3484</v>
      </c>
      <c r="N667" t="s">
        <v>46</v>
      </c>
      <c r="O667">
        <v>247.5</v>
      </c>
      <c r="P667" t="s">
        <v>46</v>
      </c>
    </row>
    <row r="668" spans="1:16" ht="15" customHeight="1" x14ac:dyDescent="0.4">
      <c r="A668" t="s">
        <v>15</v>
      </c>
      <c r="B668" t="s">
        <v>16</v>
      </c>
      <c r="C668" s="13">
        <v>45292</v>
      </c>
      <c r="D668" s="13">
        <v>45657</v>
      </c>
      <c r="E668" t="s">
        <v>17</v>
      </c>
      <c r="F668">
        <v>8</v>
      </c>
      <c r="G668" t="s">
        <v>501</v>
      </c>
      <c r="H668">
        <v>40</v>
      </c>
      <c r="I668" t="s">
        <v>501</v>
      </c>
      <c r="J668">
        <v>801</v>
      </c>
      <c r="K668" t="s">
        <v>511</v>
      </c>
      <c r="L668" s="13">
        <v>45446</v>
      </c>
      <c r="M668" t="s">
        <v>3914</v>
      </c>
      <c r="N668" t="s">
        <v>3915</v>
      </c>
      <c r="O668">
        <v>247.5</v>
      </c>
      <c r="P668" t="s">
        <v>508</v>
      </c>
    </row>
    <row r="669" spans="1:16" ht="15" customHeight="1" x14ac:dyDescent="0.4">
      <c r="A669" t="s">
        <v>15</v>
      </c>
      <c r="B669" t="s">
        <v>16</v>
      </c>
      <c r="C669" s="13">
        <v>45292</v>
      </c>
      <c r="D669" s="13">
        <v>45657</v>
      </c>
      <c r="E669" t="s">
        <v>17</v>
      </c>
      <c r="F669">
        <v>8</v>
      </c>
      <c r="G669" t="s">
        <v>501</v>
      </c>
      <c r="H669">
        <v>40</v>
      </c>
      <c r="I669" t="s">
        <v>501</v>
      </c>
      <c r="J669">
        <v>801</v>
      </c>
      <c r="K669" t="s">
        <v>511</v>
      </c>
      <c r="L669" s="13">
        <v>45566</v>
      </c>
      <c r="M669" t="s">
        <v>3916</v>
      </c>
      <c r="N669" t="s">
        <v>3917</v>
      </c>
      <c r="O669">
        <v>247.5</v>
      </c>
      <c r="P669" t="s">
        <v>508</v>
      </c>
    </row>
    <row r="670" spans="1:16" ht="15" customHeight="1" x14ac:dyDescent="0.4">
      <c r="A670" t="s">
        <v>15</v>
      </c>
      <c r="B670" t="s">
        <v>16</v>
      </c>
      <c r="C670" s="13">
        <v>45292</v>
      </c>
      <c r="D670" s="13">
        <v>45657</v>
      </c>
      <c r="E670" t="s">
        <v>17</v>
      </c>
      <c r="F670">
        <v>9</v>
      </c>
      <c r="G670" t="s">
        <v>525</v>
      </c>
      <c r="H670">
        <v>65</v>
      </c>
      <c r="I670" t="s">
        <v>526</v>
      </c>
      <c r="J670">
        <v>821</v>
      </c>
      <c r="K670" t="s">
        <v>527</v>
      </c>
      <c r="L670" s="13">
        <v>45657</v>
      </c>
      <c r="M670" t="s">
        <v>3918</v>
      </c>
      <c r="N670" t="s">
        <v>46</v>
      </c>
      <c r="O670">
        <v>1847.26</v>
      </c>
      <c r="P670" t="s">
        <v>46</v>
      </c>
    </row>
    <row r="671" spans="1:16" ht="15" customHeight="1" x14ac:dyDescent="0.4">
      <c r="A671" t="s">
        <v>15</v>
      </c>
      <c r="B671" t="s">
        <v>16</v>
      </c>
      <c r="C671" s="13">
        <v>45292</v>
      </c>
      <c r="D671" s="13">
        <v>45657</v>
      </c>
      <c r="E671" t="s">
        <v>17</v>
      </c>
      <c r="F671">
        <v>9</v>
      </c>
      <c r="G671" t="s">
        <v>525</v>
      </c>
      <c r="H671">
        <v>65</v>
      </c>
      <c r="I671" t="s">
        <v>526</v>
      </c>
      <c r="J671">
        <v>825</v>
      </c>
      <c r="K671" t="s">
        <v>534</v>
      </c>
      <c r="L671" s="13">
        <v>45657</v>
      </c>
      <c r="M671" t="s">
        <v>3919</v>
      </c>
      <c r="N671" t="s">
        <v>46</v>
      </c>
      <c r="O671">
        <v>202.4</v>
      </c>
      <c r="P671" t="s">
        <v>46</v>
      </c>
    </row>
    <row r="672" spans="1:16" ht="15" customHeight="1" x14ac:dyDescent="0.4">
      <c r="A672" t="s">
        <v>15</v>
      </c>
      <c r="B672" t="s">
        <v>16</v>
      </c>
      <c r="C672" s="13">
        <v>45292</v>
      </c>
      <c r="D672" s="13">
        <v>45657</v>
      </c>
      <c r="E672" t="s">
        <v>17</v>
      </c>
      <c r="F672">
        <v>11</v>
      </c>
      <c r="G672" t="s">
        <v>501</v>
      </c>
      <c r="H672">
        <v>40</v>
      </c>
      <c r="I672" t="s">
        <v>501</v>
      </c>
      <c r="J672">
        <v>264</v>
      </c>
      <c r="K672" t="s">
        <v>3681</v>
      </c>
      <c r="L672" s="13">
        <v>45314</v>
      </c>
      <c r="M672" t="s">
        <v>76</v>
      </c>
      <c r="N672" t="s">
        <v>2925</v>
      </c>
      <c r="O672">
        <v>28.85</v>
      </c>
      <c r="P672" t="s">
        <v>52</v>
      </c>
    </row>
    <row r="673" spans="1:16" ht="15" customHeight="1" x14ac:dyDescent="0.4">
      <c r="A673" t="s">
        <v>15</v>
      </c>
      <c r="B673" t="s">
        <v>16</v>
      </c>
      <c r="C673" s="13">
        <v>45292</v>
      </c>
      <c r="D673" s="13">
        <v>45657</v>
      </c>
      <c r="E673" t="s">
        <v>17</v>
      </c>
      <c r="F673">
        <v>11</v>
      </c>
      <c r="G673" t="s">
        <v>501</v>
      </c>
      <c r="H673">
        <v>40</v>
      </c>
      <c r="I673" t="s">
        <v>501</v>
      </c>
      <c r="J673">
        <v>264</v>
      </c>
      <c r="K673" t="s">
        <v>3681</v>
      </c>
      <c r="L673" s="13">
        <v>45350</v>
      </c>
      <c r="M673" t="s">
        <v>76</v>
      </c>
      <c r="N673" t="s">
        <v>3441</v>
      </c>
      <c r="O673">
        <v>25.88</v>
      </c>
      <c r="P673" t="s">
        <v>52</v>
      </c>
    </row>
    <row r="674" spans="1:16" ht="15" customHeight="1" x14ac:dyDescent="0.4">
      <c r="A674" t="s">
        <v>15</v>
      </c>
      <c r="B674" t="s">
        <v>16</v>
      </c>
      <c r="C674" s="13">
        <v>45292</v>
      </c>
      <c r="D674" s="13">
        <v>45657</v>
      </c>
      <c r="E674" t="s">
        <v>17</v>
      </c>
      <c r="F674">
        <v>11</v>
      </c>
      <c r="G674" t="s">
        <v>501</v>
      </c>
      <c r="H674">
        <v>40</v>
      </c>
      <c r="I674" t="s">
        <v>501</v>
      </c>
      <c r="J674">
        <v>264</v>
      </c>
      <c r="K674" t="s">
        <v>3681</v>
      </c>
      <c r="L674" s="13">
        <v>45392</v>
      </c>
      <c r="M674" t="s">
        <v>76</v>
      </c>
      <c r="N674" t="s">
        <v>3442</v>
      </c>
      <c r="O674">
        <v>25.49</v>
      </c>
      <c r="P674" t="s">
        <v>52</v>
      </c>
    </row>
    <row r="675" spans="1:16" ht="15" customHeight="1" x14ac:dyDescent="0.4">
      <c r="A675" t="s">
        <v>15</v>
      </c>
      <c r="B675" t="s">
        <v>16</v>
      </c>
      <c r="C675" s="13">
        <v>45292</v>
      </c>
      <c r="D675" s="13">
        <v>45657</v>
      </c>
      <c r="E675" t="s">
        <v>17</v>
      </c>
      <c r="F675">
        <v>11</v>
      </c>
      <c r="G675" t="s">
        <v>501</v>
      </c>
      <c r="H675">
        <v>40</v>
      </c>
      <c r="I675" t="s">
        <v>501</v>
      </c>
      <c r="J675">
        <v>264</v>
      </c>
      <c r="K675" t="s">
        <v>3681</v>
      </c>
      <c r="L675" s="13">
        <v>45404</v>
      </c>
      <c r="M675" t="s">
        <v>76</v>
      </c>
      <c r="N675" t="s">
        <v>3443</v>
      </c>
      <c r="O675">
        <v>19.73</v>
      </c>
      <c r="P675" t="s">
        <v>52</v>
      </c>
    </row>
    <row r="676" spans="1:16" ht="15" customHeight="1" x14ac:dyDescent="0.4">
      <c r="A676" t="s">
        <v>15</v>
      </c>
      <c r="B676" t="s">
        <v>16</v>
      </c>
      <c r="C676" s="13">
        <v>45292</v>
      </c>
      <c r="D676" s="13">
        <v>45657</v>
      </c>
      <c r="E676" t="s">
        <v>17</v>
      </c>
      <c r="F676">
        <v>11</v>
      </c>
      <c r="G676" t="s">
        <v>501</v>
      </c>
      <c r="H676">
        <v>40</v>
      </c>
      <c r="I676" t="s">
        <v>501</v>
      </c>
      <c r="J676">
        <v>264</v>
      </c>
      <c r="K676" t="s">
        <v>3681</v>
      </c>
      <c r="L676" s="13">
        <v>45457</v>
      </c>
      <c r="M676" t="s">
        <v>76</v>
      </c>
      <c r="N676" t="s">
        <v>3444</v>
      </c>
      <c r="O676">
        <v>18.850000000000001</v>
      </c>
      <c r="P676" t="s">
        <v>52</v>
      </c>
    </row>
    <row r="677" spans="1:16" ht="15" customHeight="1" x14ac:dyDescent="0.4">
      <c r="A677" t="s">
        <v>15</v>
      </c>
      <c r="B677" t="s">
        <v>16</v>
      </c>
      <c r="C677" s="13">
        <v>45292</v>
      </c>
      <c r="D677" s="13">
        <v>45657</v>
      </c>
      <c r="E677" t="s">
        <v>17</v>
      </c>
      <c r="F677">
        <v>11</v>
      </c>
      <c r="G677" t="s">
        <v>501</v>
      </c>
      <c r="H677">
        <v>40</v>
      </c>
      <c r="I677" t="s">
        <v>501</v>
      </c>
      <c r="J677">
        <v>264</v>
      </c>
      <c r="K677" t="s">
        <v>3681</v>
      </c>
      <c r="L677" s="13">
        <v>45475</v>
      </c>
      <c r="M677" t="s">
        <v>76</v>
      </c>
      <c r="N677" t="s">
        <v>3445</v>
      </c>
      <c r="O677">
        <v>21</v>
      </c>
      <c r="P677" t="s">
        <v>52</v>
      </c>
    </row>
    <row r="678" spans="1:16" ht="15" customHeight="1" x14ac:dyDescent="0.4">
      <c r="A678" t="s">
        <v>15</v>
      </c>
      <c r="B678" t="s">
        <v>16</v>
      </c>
      <c r="C678" s="13">
        <v>45292</v>
      </c>
      <c r="D678" s="13">
        <v>45657</v>
      </c>
      <c r="E678" t="s">
        <v>17</v>
      </c>
      <c r="F678">
        <v>11</v>
      </c>
      <c r="G678" t="s">
        <v>501</v>
      </c>
      <c r="H678">
        <v>40</v>
      </c>
      <c r="I678" t="s">
        <v>501</v>
      </c>
      <c r="J678">
        <v>264</v>
      </c>
      <c r="K678" t="s">
        <v>3681</v>
      </c>
      <c r="L678" s="13">
        <v>45495</v>
      </c>
      <c r="M678" t="s">
        <v>76</v>
      </c>
      <c r="N678" t="s">
        <v>3834</v>
      </c>
      <c r="O678">
        <v>16.739999999999998</v>
      </c>
      <c r="P678" t="s">
        <v>52</v>
      </c>
    </row>
    <row r="679" spans="1:16" ht="15" customHeight="1" x14ac:dyDescent="0.4">
      <c r="A679" t="s">
        <v>15</v>
      </c>
      <c r="B679" t="s">
        <v>16</v>
      </c>
      <c r="C679" s="13">
        <v>45292</v>
      </c>
      <c r="D679" s="13">
        <v>45657</v>
      </c>
      <c r="E679" t="s">
        <v>17</v>
      </c>
      <c r="F679">
        <v>11</v>
      </c>
      <c r="G679" t="s">
        <v>501</v>
      </c>
      <c r="H679">
        <v>40</v>
      </c>
      <c r="I679" t="s">
        <v>501</v>
      </c>
      <c r="J679">
        <v>264</v>
      </c>
      <c r="K679" t="s">
        <v>3681</v>
      </c>
      <c r="L679" s="13">
        <v>45530</v>
      </c>
      <c r="M679" t="s">
        <v>76</v>
      </c>
      <c r="N679" t="s">
        <v>3835</v>
      </c>
      <c r="O679">
        <v>24.8</v>
      </c>
      <c r="P679" t="s">
        <v>52</v>
      </c>
    </row>
    <row r="680" spans="1:16" ht="15" customHeight="1" x14ac:dyDescent="0.4">
      <c r="A680" t="s">
        <v>15</v>
      </c>
      <c r="B680" t="s">
        <v>16</v>
      </c>
      <c r="C680" s="13">
        <v>45292</v>
      </c>
      <c r="D680" s="13">
        <v>45657</v>
      </c>
      <c r="E680" t="s">
        <v>17</v>
      </c>
      <c r="F680">
        <v>11</v>
      </c>
      <c r="G680" t="s">
        <v>501</v>
      </c>
      <c r="H680">
        <v>40</v>
      </c>
      <c r="I680" t="s">
        <v>501</v>
      </c>
      <c r="J680">
        <v>264</v>
      </c>
      <c r="K680" t="s">
        <v>3681</v>
      </c>
      <c r="L680" s="13">
        <v>45587</v>
      </c>
      <c r="M680" t="s">
        <v>76</v>
      </c>
      <c r="N680" t="s">
        <v>3836</v>
      </c>
      <c r="O680">
        <v>17.48</v>
      </c>
      <c r="P680" t="s">
        <v>52</v>
      </c>
    </row>
    <row r="681" spans="1:16" ht="15" customHeight="1" x14ac:dyDescent="0.4">
      <c r="A681" t="s">
        <v>15</v>
      </c>
      <c r="B681" t="s">
        <v>16</v>
      </c>
      <c r="C681" s="13">
        <v>45292</v>
      </c>
      <c r="D681" s="13">
        <v>45657</v>
      </c>
      <c r="E681" t="s">
        <v>17</v>
      </c>
      <c r="F681">
        <v>11</v>
      </c>
      <c r="G681" t="s">
        <v>501</v>
      </c>
      <c r="H681">
        <v>40</v>
      </c>
      <c r="I681" t="s">
        <v>501</v>
      </c>
      <c r="J681">
        <v>264</v>
      </c>
      <c r="K681" t="s">
        <v>3681</v>
      </c>
      <c r="L681" s="13">
        <v>45610</v>
      </c>
      <c r="M681" t="s">
        <v>76</v>
      </c>
      <c r="N681" t="s">
        <v>3837</v>
      </c>
      <c r="O681">
        <v>21.84</v>
      </c>
      <c r="P681" t="s">
        <v>52</v>
      </c>
    </row>
    <row r="682" spans="1:16" ht="15" customHeight="1" x14ac:dyDescent="0.4">
      <c r="A682" t="s">
        <v>15</v>
      </c>
      <c r="B682" t="s">
        <v>16</v>
      </c>
      <c r="C682" s="13">
        <v>45292</v>
      </c>
      <c r="D682" s="13">
        <v>45657</v>
      </c>
      <c r="E682" t="s">
        <v>17</v>
      </c>
      <c r="F682">
        <v>11</v>
      </c>
      <c r="G682" t="s">
        <v>501</v>
      </c>
      <c r="H682">
        <v>40</v>
      </c>
      <c r="I682" t="s">
        <v>501</v>
      </c>
      <c r="J682">
        <v>264</v>
      </c>
      <c r="K682" t="s">
        <v>3681</v>
      </c>
      <c r="L682" s="13">
        <v>45618</v>
      </c>
      <c r="M682" t="s">
        <v>76</v>
      </c>
      <c r="N682" t="s">
        <v>3838</v>
      </c>
      <c r="O682">
        <v>18.670000000000002</v>
      </c>
      <c r="P682" t="s">
        <v>52</v>
      </c>
    </row>
    <row r="683" spans="1:16" ht="15" customHeight="1" x14ac:dyDescent="0.4">
      <c r="A683" t="s">
        <v>15</v>
      </c>
      <c r="B683" t="s">
        <v>16</v>
      </c>
      <c r="C683" s="13">
        <v>45292</v>
      </c>
      <c r="D683" s="13">
        <v>45657</v>
      </c>
      <c r="E683" t="s">
        <v>17</v>
      </c>
      <c r="F683">
        <v>11</v>
      </c>
      <c r="G683" t="s">
        <v>501</v>
      </c>
      <c r="H683">
        <v>40</v>
      </c>
      <c r="I683" t="s">
        <v>501</v>
      </c>
      <c r="J683">
        <v>264</v>
      </c>
      <c r="K683" t="s">
        <v>3681</v>
      </c>
      <c r="L683" s="13">
        <v>45648</v>
      </c>
      <c r="M683" t="s">
        <v>76</v>
      </c>
      <c r="N683" t="s">
        <v>3839</v>
      </c>
      <c r="O683">
        <v>21.48</v>
      </c>
      <c r="P683" t="s">
        <v>52</v>
      </c>
    </row>
    <row r="684" spans="1:16" ht="15" customHeight="1" x14ac:dyDescent="0.4">
      <c r="A684" t="s">
        <v>15</v>
      </c>
      <c r="B684" t="s">
        <v>16</v>
      </c>
      <c r="C684" s="13">
        <v>45292</v>
      </c>
      <c r="D684" s="13">
        <v>45657</v>
      </c>
      <c r="E684" t="s">
        <v>17</v>
      </c>
      <c r="F684">
        <v>11</v>
      </c>
      <c r="G684" t="s">
        <v>501</v>
      </c>
      <c r="H684">
        <v>40</v>
      </c>
      <c r="I684" t="s">
        <v>501</v>
      </c>
      <c r="J684">
        <v>741</v>
      </c>
      <c r="K684" t="s">
        <v>505</v>
      </c>
      <c r="L684" s="13">
        <v>45526</v>
      </c>
      <c r="M684" t="s">
        <v>3920</v>
      </c>
      <c r="N684" t="s">
        <v>3921</v>
      </c>
      <c r="O684">
        <v>92.11</v>
      </c>
      <c r="P684" t="s">
        <v>508</v>
      </c>
    </row>
    <row r="685" spans="1:16" ht="15" customHeight="1" x14ac:dyDescent="0.4">
      <c r="A685" t="s">
        <v>15</v>
      </c>
      <c r="B685" t="s">
        <v>16</v>
      </c>
      <c r="C685" s="13">
        <v>45292</v>
      </c>
      <c r="D685" s="13">
        <v>45657</v>
      </c>
      <c r="E685" t="s">
        <v>17</v>
      </c>
      <c r="F685">
        <v>11</v>
      </c>
      <c r="G685" t="s">
        <v>501</v>
      </c>
      <c r="H685">
        <v>40</v>
      </c>
      <c r="I685" t="s">
        <v>501</v>
      </c>
      <c r="J685">
        <v>801</v>
      </c>
      <c r="K685" t="s">
        <v>511</v>
      </c>
      <c r="L685" s="13">
        <v>45292</v>
      </c>
      <c r="M685" t="s">
        <v>3913</v>
      </c>
      <c r="N685" t="s">
        <v>3485</v>
      </c>
      <c r="O685">
        <v>247.5</v>
      </c>
      <c r="P685" t="s">
        <v>508</v>
      </c>
    </row>
    <row r="686" spans="1:16" ht="15" customHeight="1" x14ac:dyDescent="0.4">
      <c r="A686" t="s">
        <v>15</v>
      </c>
      <c r="B686" t="s">
        <v>16</v>
      </c>
      <c r="C686" s="13">
        <v>45292</v>
      </c>
      <c r="D686" s="13">
        <v>45657</v>
      </c>
      <c r="E686" t="s">
        <v>17</v>
      </c>
      <c r="F686">
        <v>11</v>
      </c>
      <c r="G686" t="s">
        <v>501</v>
      </c>
      <c r="H686">
        <v>40</v>
      </c>
      <c r="I686" t="s">
        <v>501</v>
      </c>
      <c r="J686">
        <v>801</v>
      </c>
      <c r="K686" t="s">
        <v>511</v>
      </c>
      <c r="L686" s="13">
        <v>45383</v>
      </c>
      <c r="M686" t="s">
        <v>3484</v>
      </c>
      <c r="N686" t="s">
        <v>46</v>
      </c>
      <c r="O686">
        <v>247.5</v>
      </c>
      <c r="P686" t="s">
        <v>46</v>
      </c>
    </row>
    <row r="687" spans="1:16" ht="15" customHeight="1" x14ac:dyDescent="0.4">
      <c r="A687" t="s">
        <v>15</v>
      </c>
      <c r="B687" t="s">
        <v>16</v>
      </c>
      <c r="C687" s="13">
        <v>45292</v>
      </c>
      <c r="D687" s="13">
        <v>45657</v>
      </c>
      <c r="E687" t="s">
        <v>17</v>
      </c>
      <c r="F687">
        <v>11</v>
      </c>
      <c r="G687" t="s">
        <v>501</v>
      </c>
      <c r="H687">
        <v>40</v>
      </c>
      <c r="I687" t="s">
        <v>501</v>
      </c>
      <c r="J687">
        <v>801</v>
      </c>
      <c r="K687" t="s">
        <v>511</v>
      </c>
      <c r="L687" s="13">
        <v>45474</v>
      </c>
      <c r="M687" t="s">
        <v>3914</v>
      </c>
      <c r="N687" t="s">
        <v>46</v>
      </c>
      <c r="O687">
        <v>247.5</v>
      </c>
      <c r="P687" t="s">
        <v>46</v>
      </c>
    </row>
    <row r="688" spans="1:16" ht="15" customHeight="1" x14ac:dyDescent="0.4">
      <c r="A688" t="s">
        <v>15</v>
      </c>
      <c r="B688" t="s">
        <v>16</v>
      </c>
      <c r="C688" s="13">
        <v>45292</v>
      </c>
      <c r="D688" s="13">
        <v>45657</v>
      </c>
      <c r="E688" t="s">
        <v>17</v>
      </c>
      <c r="F688">
        <v>11</v>
      </c>
      <c r="G688" t="s">
        <v>501</v>
      </c>
      <c r="H688">
        <v>40</v>
      </c>
      <c r="I688" t="s">
        <v>501</v>
      </c>
      <c r="J688">
        <v>801</v>
      </c>
      <c r="K688" t="s">
        <v>511</v>
      </c>
      <c r="L688" s="13">
        <v>45566</v>
      </c>
      <c r="M688" t="s">
        <v>3922</v>
      </c>
      <c r="N688" t="s">
        <v>3923</v>
      </c>
      <c r="O688">
        <v>247.5</v>
      </c>
      <c r="P688" t="s">
        <v>508</v>
      </c>
    </row>
    <row r="689" spans="1:16" ht="15" customHeight="1" x14ac:dyDescent="0.4">
      <c r="A689" t="s">
        <v>15</v>
      </c>
      <c r="B689" t="s">
        <v>16</v>
      </c>
      <c r="C689" s="13">
        <v>45292</v>
      </c>
      <c r="D689" s="13">
        <v>45657</v>
      </c>
      <c r="E689" t="s">
        <v>17</v>
      </c>
      <c r="F689">
        <v>12</v>
      </c>
      <c r="G689" t="s">
        <v>525</v>
      </c>
      <c r="H689">
        <v>65</v>
      </c>
      <c r="I689" t="s">
        <v>526</v>
      </c>
      <c r="J689">
        <v>821</v>
      </c>
      <c r="K689" t="s">
        <v>527</v>
      </c>
      <c r="L689" s="13">
        <v>45657</v>
      </c>
      <c r="M689" t="s">
        <v>3924</v>
      </c>
      <c r="N689" t="s">
        <v>46</v>
      </c>
      <c r="O689">
        <v>1847.26</v>
      </c>
      <c r="P689" t="s">
        <v>46</v>
      </c>
    </row>
    <row r="690" spans="1:16" ht="15" customHeight="1" x14ac:dyDescent="0.4">
      <c r="A690" t="s">
        <v>15</v>
      </c>
      <c r="B690" t="s">
        <v>16</v>
      </c>
      <c r="C690" s="13">
        <v>45292</v>
      </c>
      <c r="D690" s="13">
        <v>45657</v>
      </c>
      <c r="E690" t="s">
        <v>17</v>
      </c>
      <c r="F690">
        <v>12</v>
      </c>
      <c r="G690" t="s">
        <v>525</v>
      </c>
      <c r="H690">
        <v>65</v>
      </c>
      <c r="I690" t="s">
        <v>526</v>
      </c>
      <c r="J690">
        <v>825</v>
      </c>
      <c r="K690" t="s">
        <v>534</v>
      </c>
      <c r="L690" s="13">
        <v>45321</v>
      </c>
      <c r="M690" t="s">
        <v>3488</v>
      </c>
      <c r="N690" t="s">
        <v>3489</v>
      </c>
      <c r="O690">
        <v>125.4</v>
      </c>
      <c r="P690" t="s">
        <v>530</v>
      </c>
    </row>
    <row r="691" spans="1:16" ht="15" customHeight="1" x14ac:dyDescent="0.4">
      <c r="A691" t="s">
        <v>15</v>
      </c>
      <c r="B691" t="s">
        <v>16</v>
      </c>
      <c r="C691" s="13">
        <v>45292</v>
      </c>
      <c r="D691" s="13">
        <v>45657</v>
      </c>
      <c r="E691" t="s">
        <v>17</v>
      </c>
      <c r="F691">
        <v>12</v>
      </c>
      <c r="G691" t="s">
        <v>525</v>
      </c>
      <c r="H691">
        <v>65</v>
      </c>
      <c r="I691" t="s">
        <v>526</v>
      </c>
      <c r="J691">
        <v>825</v>
      </c>
      <c r="K691" t="s">
        <v>534</v>
      </c>
      <c r="L691" s="13">
        <v>45336</v>
      </c>
      <c r="M691" t="s">
        <v>3486</v>
      </c>
      <c r="N691" t="s">
        <v>3487</v>
      </c>
      <c r="O691">
        <v>855.8</v>
      </c>
      <c r="P691" t="s">
        <v>530</v>
      </c>
    </row>
    <row r="692" spans="1:16" ht="15" customHeight="1" x14ac:dyDescent="0.4">
      <c r="A692" t="s">
        <v>15</v>
      </c>
      <c r="B692" t="s">
        <v>16</v>
      </c>
      <c r="C692" s="13">
        <v>45292</v>
      </c>
      <c r="D692" s="13">
        <v>45657</v>
      </c>
      <c r="E692" t="s">
        <v>17</v>
      </c>
      <c r="F692">
        <v>12</v>
      </c>
      <c r="G692" t="s">
        <v>525</v>
      </c>
      <c r="H692">
        <v>65</v>
      </c>
      <c r="I692" t="s">
        <v>526</v>
      </c>
      <c r="J692">
        <v>825</v>
      </c>
      <c r="K692" t="s">
        <v>534</v>
      </c>
      <c r="L692" s="13">
        <v>45657</v>
      </c>
      <c r="M692" t="s">
        <v>3919</v>
      </c>
      <c r="N692" t="s">
        <v>46</v>
      </c>
      <c r="O692">
        <v>202.4</v>
      </c>
      <c r="P692" t="s">
        <v>46</v>
      </c>
    </row>
    <row r="693" spans="1:16" ht="15" customHeight="1" x14ac:dyDescent="0.4">
      <c r="A693" t="s">
        <v>15</v>
      </c>
      <c r="B693" t="s">
        <v>16</v>
      </c>
      <c r="C693" s="13">
        <v>45292</v>
      </c>
      <c r="D693" s="13">
        <v>45657</v>
      </c>
      <c r="E693" t="s">
        <v>17</v>
      </c>
      <c r="F693">
        <v>13</v>
      </c>
      <c r="G693" t="s">
        <v>560</v>
      </c>
      <c r="H693">
        <v>50</v>
      </c>
      <c r="I693" t="s">
        <v>561</v>
      </c>
      <c r="J693">
        <v>269</v>
      </c>
      <c r="K693" t="s">
        <v>562</v>
      </c>
      <c r="L693" s="13">
        <v>45310</v>
      </c>
      <c r="M693" t="s">
        <v>76</v>
      </c>
      <c r="N693" t="s">
        <v>3490</v>
      </c>
      <c r="O693">
        <v>1373.36</v>
      </c>
      <c r="P693" t="s">
        <v>565</v>
      </c>
    </row>
    <row r="694" spans="1:16" ht="15" customHeight="1" x14ac:dyDescent="0.4">
      <c r="A694" t="s">
        <v>15</v>
      </c>
      <c r="B694" t="s">
        <v>16</v>
      </c>
      <c r="C694" s="13">
        <v>45292</v>
      </c>
      <c r="D694" s="13">
        <v>45657</v>
      </c>
      <c r="E694" t="s">
        <v>17</v>
      </c>
      <c r="F694">
        <v>13</v>
      </c>
      <c r="G694" t="s">
        <v>560</v>
      </c>
      <c r="H694">
        <v>50</v>
      </c>
      <c r="I694" t="s">
        <v>561</v>
      </c>
      <c r="J694">
        <v>269</v>
      </c>
      <c r="K694" t="s">
        <v>562</v>
      </c>
      <c r="L694" s="13">
        <v>45337</v>
      </c>
      <c r="M694" t="s">
        <v>76</v>
      </c>
      <c r="N694" t="s">
        <v>3491</v>
      </c>
      <c r="O694">
        <v>821.32</v>
      </c>
      <c r="P694" t="s">
        <v>565</v>
      </c>
    </row>
    <row r="695" spans="1:16" ht="15" customHeight="1" x14ac:dyDescent="0.4">
      <c r="A695" t="s">
        <v>15</v>
      </c>
      <c r="B695" t="s">
        <v>16</v>
      </c>
      <c r="C695" s="13">
        <v>45292</v>
      </c>
      <c r="D695" s="13">
        <v>45657</v>
      </c>
      <c r="E695" t="s">
        <v>17</v>
      </c>
      <c r="F695">
        <v>13</v>
      </c>
      <c r="G695" t="s">
        <v>560</v>
      </c>
      <c r="H695">
        <v>50</v>
      </c>
      <c r="I695" t="s">
        <v>561</v>
      </c>
      <c r="J695">
        <v>269</v>
      </c>
      <c r="K695" t="s">
        <v>562</v>
      </c>
      <c r="L695" s="13">
        <v>45376</v>
      </c>
      <c r="M695" t="s">
        <v>76</v>
      </c>
      <c r="N695" t="s">
        <v>3492</v>
      </c>
      <c r="O695">
        <v>802.36</v>
      </c>
      <c r="P695" t="s">
        <v>565</v>
      </c>
    </row>
    <row r="696" spans="1:16" ht="15" customHeight="1" x14ac:dyDescent="0.4">
      <c r="A696" t="s">
        <v>15</v>
      </c>
      <c r="B696" t="s">
        <v>16</v>
      </c>
      <c r="C696" s="13">
        <v>45292</v>
      </c>
      <c r="D696" s="13">
        <v>45657</v>
      </c>
      <c r="E696" t="s">
        <v>17</v>
      </c>
      <c r="F696">
        <v>13</v>
      </c>
      <c r="G696" t="s">
        <v>560</v>
      </c>
      <c r="H696">
        <v>50</v>
      </c>
      <c r="I696" t="s">
        <v>561</v>
      </c>
      <c r="J696">
        <v>269</v>
      </c>
      <c r="K696" t="s">
        <v>562</v>
      </c>
      <c r="L696" s="13">
        <v>45399</v>
      </c>
      <c r="M696" t="s">
        <v>76</v>
      </c>
      <c r="N696" t="s">
        <v>3493</v>
      </c>
      <c r="O696">
        <v>637.62</v>
      </c>
      <c r="P696" t="s">
        <v>565</v>
      </c>
    </row>
    <row r="697" spans="1:16" ht="15" customHeight="1" x14ac:dyDescent="0.4">
      <c r="A697" t="s">
        <v>15</v>
      </c>
      <c r="B697" t="s">
        <v>16</v>
      </c>
      <c r="C697" s="13">
        <v>45292</v>
      </c>
      <c r="D697" s="13">
        <v>45657</v>
      </c>
      <c r="E697" t="s">
        <v>17</v>
      </c>
      <c r="F697">
        <v>13</v>
      </c>
      <c r="G697" t="s">
        <v>560</v>
      </c>
      <c r="H697">
        <v>50</v>
      </c>
      <c r="I697" t="s">
        <v>561</v>
      </c>
      <c r="J697">
        <v>269</v>
      </c>
      <c r="K697" t="s">
        <v>562</v>
      </c>
      <c r="L697" s="13">
        <v>45450</v>
      </c>
      <c r="M697" t="s">
        <v>76</v>
      </c>
      <c r="N697" t="s">
        <v>3494</v>
      </c>
      <c r="O697">
        <v>339.82</v>
      </c>
      <c r="P697" t="s">
        <v>565</v>
      </c>
    </row>
    <row r="698" spans="1:16" ht="15" customHeight="1" x14ac:dyDescent="0.4">
      <c r="A698" t="s">
        <v>15</v>
      </c>
      <c r="B698" t="s">
        <v>16</v>
      </c>
      <c r="C698" s="13">
        <v>45292</v>
      </c>
      <c r="D698" s="13">
        <v>45657</v>
      </c>
      <c r="E698" t="s">
        <v>17</v>
      </c>
      <c r="F698">
        <v>13</v>
      </c>
      <c r="G698" t="s">
        <v>560</v>
      </c>
      <c r="H698">
        <v>50</v>
      </c>
      <c r="I698" t="s">
        <v>561</v>
      </c>
      <c r="J698">
        <v>269</v>
      </c>
      <c r="K698" t="s">
        <v>562</v>
      </c>
      <c r="L698" s="13">
        <v>45463</v>
      </c>
      <c r="M698" t="s">
        <v>76</v>
      </c>
      <c r="N698" t="s">
        <v>3495</v>
      </c>
      <c r="O698">
        <v>355.57</v>
      </c>
      <c r="P698" t="s">
        <v>565</v>
      </c>
    </row>
    <row r="699" spans="1:16" ht="15" customHeight="1" x14ac:dyDescent="0.4">
      <c r="A699" t="s">
        <v>15</v>
      </c>
      <c r="B699" t="s">
        <v>16</v>
      </c>
      <c r="C699" s="13">
        <v>45292</v>
      </c>
      <c r="D699" s="13">
        <v>45657</v>
      </c>
      <c r="E699" t="s">
        <v>17</v>
      </c>
      <c r="F699">
        <v>13</v>
      </c>
      <c r="G699" t="s">
        <v>560</v>
      </c>
      <c r="H699">
        <v>50</v>
      </c>
      <c r="I699" t="s">
        <v>561</v>
      </c>
      <c r="J699">
        <v>269</v>
      </c>
      <c r="K699" t="s">
        <v>562</v>
      </c>
      <c r="L699" s="13">
        <v>45486</v>
      </c>
      <c r="M699" t="s">
        <v>76</v>
      </c>
      <c r="N699" t="s">
        <v>3925</v>
      </c>
      <c r="O699">
        <v>322.95999999999998</v>
      </c>
      <c r="P699" t="s">
        <v>565</v>
      </c>
    </row>
    <row r="700" spans="1:16" ht="15" customHeight="1" x14ac:dyDescent="0.4">
      <c r="A700" t="s">
        <v>15</v>
      </c>
      <c r="B700" t="s">
        <v>16</v>
      </c>
      <c r="C700" s="13">
        <v>45292</v>
      </c>
      <c r="D700" s="13">
        <v>45657</v>
      </c>
      <c r="E700" t="s">
        <v>17</v>
      </c>
      <c r="F700">
        <v>13</v>
      </c>
      <c r="G700" t="s">
        <v>560</v>
      </c>
      <c r="H700">
        <v>50</v>
      </c>
      <c r="I700" t="s">
        <v>561</v>
      </c>
      <c r="J700">
        <v>269</v>
      </c>
      <c r="K700" t="s">
        <v>562</v>
      </c>
      <c r="L700" s="13">
        <v>45517</v>
      </c>
      <c r="M700" t="s">
        <v>76</v>
      </c>
      <c r="N700" t="s">
        <v>3926</v>
      </c>
      <c r="O700">
        <v>294.06</v>
      </c>
      <c r="P700" t="s">
        <v>565</v>
      </c>
    </row>
    <row r="701" spans="1:16" ht="15" customHeight="1" x14ac:dyDescent="0.4">
      <c r="A701" t="s">
        <v>15</v>
      </c>
      <c r="B701" t="s">
        <v>16</v>
      </c>
      <c r="C701" s="13">
        <v>45292</v>
      </c>
      <c r="D701" s="13">
        <v>45657</v>
      </c>
      <c r="E701" t="s">
        <v>17</v>
      </c>
      <c r="F701">
        <v>13</v>
      </c>
      <c r="G701" t="s">
        <v>560</v>
      </c>
      <c r="H701">
        <v>50</v>
      </c>
      <c r="I701" t="s">
        <v>561</v>
      </c>
      <c r="J701">
        <v>269</v>
      </c>
      <c r="K701" t="s">
        <v>562</v>
      </c>
      <c r="L701" s="13">
        <v>45548</v>
      </c>
      <c r="M701" t="s">
        <v>76</v>
      </c>
      <c r="N701" t="s">
        <v>3927</v>
      </c>
      <c r="O701">
        <v>307.39999999999998</v>
      </c>
      <c r="P701" t="s">
        <v>565</v>
      </c>
    </row>
    <row r="702" spans="1:16" ht="15" customHeight="1" x14ac:dyDescent="0.4">
      <c r="A702" t="s">
        <v>15</v>
      </c>
      <c r="B702" t="s">
        <v>16</v>
      </c>
      <c r="C702" s="13">
        <v>45292</v>
      </c>
      <c r="D702" s="13">
        <v>45657</v>
      </c>
      <c r="E702" t="s">
        <v>17</v>
      </c>
      <c r="F702">
        <v>13</v>
      </c>
      <c r="G702" t="s">
        <v>560</v>
      </c>
      <c r="H702">
        <v>50</v>
      </c>
      <c r="I702" t="s">
        <v>561</v>
      </c>
      <c r="J702">
        <v>269</v>
      </c>
      <c r="K702" t="s">
        <v>562</v>
      </c>
      <c r="L702" s="13">
        <v>45578</v>
      </c>
      <c r="M702" t="s">
        <v>76</v>
      </c>
      <c r="N702" t="s">
        <v>3928</v>
      </c>
      <c r="O702">
        <v>166.25</v>
      </c>
      <c r="P702" t="s">
        <v>565</v>
      </c>
    </row>
    <row r="703" spans="1:16" ht="15" customHeight="1" x14ac:dyDescent="0.4">
      <c r="A703" t="s">
        <v>15</v>
      </c>
      <c r="B703" t="s">
        <v>16</v>
      </c>
      <c r="C703" s="13">
        <v>45292</v>
      </c>
      <c r="D703" s="13">
        <v>45657</v>
      </c>
      <c r="E703" t="s">
        <v>17</v>
      </c>
      <c r="F703">
        <v>13</v>
      </c>
      <c r="G703" t="s">
        <v>560</v>
      </c>
      <c r="H703">
        <v>50</v>
      </c>
      <c r="I703" t="s">
        <v>561</v>
      </c>
      <c r="J703">
        <v>269</v>
      </c>
      <c r="K703" t="s">
        <v>562</v>
      </c>
      <c r="L703" s="13">
        <v>45618</v>
      </c>
      <c r="M703" t="s">
        <v>76</v>
      </c>
      <c r="N703" t="s">
        <v>3929</v>
      </c>
      <c r="O703">
        <v>705.68</v>
      </c>
      <c r="P703" t="s">
        <v>565</v>
      </c>
    </row>
    <row r="704" spans="1:16" ht="15" customHeight="1" x14ac:dyDescent="0.4">
      <c r="A704" t="s">
        <v>15</v>
      </c>
      <c r="B704" t="s">
        <v>16</v>
      </c>
      <c r="C704" s="13">
        <v>45292</v>
      </c>
      <c r="D704" s="13">
        <v>45657</v>
      </c>
      <c r="E704" t="s">
        <v>17</v>
      </c>
      <c r="F704">
        <v>13</v>
      </c>
      <c r="G704" t="s">
        <v>560</v>
      </c>
      <c r="H704">
        <v>50</v>
      </c>
      <c r="I704" t="s">
        <v>561</v>
      </c>
      <c r="J704">
        <v>269</v>
      </c>
      <c r="K704" t="s">
        <v>562</v>
      </c>
      <c r="L704" s="13">
        <v>45639</v>
      </c>
      <c r="M704" t="s">
        <v>76</v>
      </c>
      <c r="N704" t="s">
        <v>3930</v>
      </c>
      <c r="O704">
        <v>846.52</v>
      </c>
      <c r="P704" t="s">
        <v>565</v>
      </c>
    </row>
    <row r="705" spans="1:16" ht="15" customHeight="1" x14ac:dyDescent="0.4">
      <c r="A705" t="s">
        <v>15</v>
      </c>
      <c r="B705" t="s">
        <v>16</v>
      </c>
      <c r="C705" s="13">
        <v>45292</v>
      </c>
      <c r="D705" s="13">
        <v>45657</v>
      </c>
      <c r="E705" t="s">
        <v>17</v>
      </c>
      <c r="F705">
        <v>13</v>
      </c>
      <c r="G705" t="s">
        <v>560</v>
      </c>
      <c r="H705">
        <v>50</v>
      </c>
      <c r="I705" t="s">
        <v>561</v>
      </c>
      <c r="J705">
        <v>286</v>
      </c>
      <c r="K705" t="s">
        <v>588</v>
      </c>
      <c r="L705" s="13">
        <v>45657</v>
      </c>
      <c r="M705" t="s">
        <v>3931</v>
      </c>
      <c r="N705" t="s">
        <v>86</v>
      </c>
      <c r="O705">
        <v>1636.83</v>
      </c>
      <c r="P705" t="s">
        <v>46</v>
      </c>
    </row>
    <row r="706" spans="1:16" ht="15" customHeight="1" x14ac:dyDescent="0.4">
      <c r="A706" t="s">
        <v>15</v>
      </c>
      <c r="B706" t="s">
        <v>16</v>
      </c>
      <c r="C706" s="13">
        <v>45292</v>
      </c>
      <c r="D706" s="13">
        <v>45657</v>
      </c>
      <c r="E706" t="s">
        <v>17</v>
      </c>
      <c r="F706">
        <v>14</v>
      </c>
      <c r="G706" t="s">
        <v>560</v>
      </c>
      <c r="H706">
        <v>50</v>
      </c>
      <c r="I706" t="s">
        <v>561</v>
      </c>
      <c r="J706">
        <v>269</v>
      </c>
      <c r="K706" t="s">
        <v>562</v>
      </c>
      <c r="L706" s="13">
        <v>45292</v>
      </c>
      <c r="M706" t="s">
        <v>76</v>
      </c>
      <c r="N706" t="s">
        <v>3496</v>
      </c>
      <c r="O706">
        <v>626.09</v>
      </c>
      <c r="P706" t="s">
        <v>565</v>
      </c>
    </row>
    <row r="707" spans="1:16" ht="15" customHeight="1" x14ac:dyDescent="0.4">
      <c r="A707" t="s">
        <v>15</v>
      </c>
      <c r="B707" t="s">
        <v>16</v>
      </c>
      <c r="C707" s="13">
        <v>45292</v>
      </c>
      <c r="D707" s="13">
        <v>45657</v>
      </c>
      <c r="E707" t="s">
        <v>17</v>
      </c>
      <c r="F707">
        <v>14</v>
      </c>
      <c r="G707" t="s">
        <v>560</v>
      </c>
      <c r="H707">
        <v>50</v>
      </c>
      <c r="I707" t="s">
        <v>561</v>
      </c>
      <c r="J707">
        <v>269</v>
      </c>
      <c r="K707" t="s">
        <v>562</v>
      </c>
      <c r="L707" s="13">
        <v>45309</v>
      </c>
      <c r="M707" t="s">
        <v>76</v>
      </c>
      <c r="N707" t="s">
        <v>3497</v>
      </c>
      <c r="O707">
        <v>1060.24</v>
      </c>
      <c r="P707" t="s">
        <v>565</v>
      </c>
    </row>
    <row r="708" spans="1:16" ht="15" customHeight="1" x14ac:dyDescent="0.4">
      <c r="A708" t="s">
        <v>15</v>
      </c>
      <c r="B708" t="s">
        <v>16</v>
      </c>
      <c r="C708" s="13">
        <v>45292</v>
      </c>
      <c r="D708" s="13">
        <v>45657</v>
      </c>
      <c r="E708" t="s">
        <v>17</v>
      </c>
      <c r="F708">
        <v>14</v>
      </c>
      <c r="G708" t="s">
        <v>560</v>
      </c>
      <c r="H708">
        <v>50</v>
      </c>
      <c r="I708" t="s">
        <v>561</v>
      </c>
      <c r="J708">
        <v>269</v>
      </c>
      <c r="K708" t="s">
        <v>562</v>
      </c>
      <c r="L708" s="13">
        <v>45337</v>
      </c>
      <c r="M708" t="s">
        <v>76</v>
      </c>
      <c r="N708" t="s">
        <v>3498</v>
      </c>
      <c r="O708">
        <v>93.04</v>
      </c>
      <c r="P708" t="s">
        <v>565</v>
      </c>
    </row>
    <row r="709" spans="1:16" ht="15" customHeight="1" x14ac:dyDescent="0.4">
      <c r="A709" t="s">
        <v>15</v>
      </c>
      <c r="B709" t="s">
        <v>16</v>
      </c>
      <c r="C709" s="13">
        <v>45292</v>
      </c>
      <c r="D709" s="13">
        <v>45657</v>
      </c>
      <c r="E709" t="s">
        <v>17</v>
      </c>
      <c r="F709">
        <v>14</v>
      </c>
      <c r="G709" t="s">
        <v>560</v>
      </c>
      <c r="H709">
        <v>50</v>
      </c>
      <c r="I709" t="s">
        <v>561</v>
      </c>
      <c r="J709">
        <v>269</v>
      </c>
      <c r="K709" t="s">
        <v>562</v>
      </c>
      <c r="L709" s="13">
        <v>45371</v>
      </c>
      <c r="M709" t="s">
        <v>76</v>
      </c>
      <c r="N709" t="s">
        <v>3499</v>
      </c>
      <c r="O709">
        <v>760.35</v>
      </c>
      <c r="P709" t="s">
        <v>565</v>
      </c>
    </row>
    <row r="710" spans="1:16" ht="15" customHeight="1" x14ac:dyDescent="0.4">
      <c r="A710" t="s">
        <v>15</v>
      </c>
      <c r="B710" t="s">
        <v>16</v>
      </c>
      <c r="C710" s="13">
        <v>45292</v>
      </c>
      <c r="D710" s="13">
        <v>45657</v>
      </c>
      <c r="E710" t="s">
        <v>17</v>
      </c>
      <c r="F710">
        <v>14</v>
      </c>
      <c r="G710" t="s">
        <v>560</v>
      </c>
      <c r="H710">
        <v>50</v>
      </c>
      <c r="I710" t="s">
        <v>561</v>
      </c>
      <c r="J710">
        <v>269</v>
      </c>
      <c r="K710" t="s">
        <v>562</v>
      </c>
      <c r="L710" s="13">
        <v>45399</v>
      </c>
      <c r="M710" t="s">
        <v>76</v>
      </c>
      <c r="N710" t="s">
        <v>3500</v>
      </c>
      <c r="O710">
        <v>640.54999999999995</v>
      </c>
      <c r="P710" t="s">
        <v>565</v>
      </c>
    </row>
    <row r="711" spans="1:16" ht="15" customHeight="1" x14ac:dyDescent="0.4">
      <c r="A711" t="s">
        <v>15</v>
      </c>
      <c r="B711" t="s">
        <v>16</v>
      </c>
      <c r="C711" s="13">
        <v>45292</v>
      </c>
      <c r="D711" s="13">
        <v>45657</v>
      </c>
      <c r="E711" t="s">
        <v>17</v>
      </c>
      <c r="F711">
        <v>14</v>
      </c>
      <c r="G711" t="s">
        <v>560</v>
      </c>
      <c r="H711">
        <v>50</v>
      </c>
      <c r="I711" t="s">
        <v>561</v>
      </c>
      <c r="J711">
        <v>269</v>
      </c>
      <c r="K711" t="s">
        <v>562</v>
      </c>
      <c r="L711" s="13">
        <v>45450</v>
      </c>
      <c r="M711" t="s">
        <v>76</v>
      </c>
      <c r="N711" t="s">
        <v>3501</v>
      </c>
      <c r="O711">
        <v>297.69</v>
      </c>
      <c r="P711" t="s">
        <v>565</v>
      </c>
    </row>
    <row r="712" spans="1:16" ht="15" customHeight="1" x14ac:dyDescent="0.4">
      <c r="A712" t="s">
        <v>15</v>
      </c>
      <c r="B712" t="s">
        <v>16</v>
      </c>
      <c r="C712" s="13">
        <v>45292</v>
      </c>
      <c r="D712" s="13">
        <v>45657</v>
      </c>
      <c r="E712" t="s">
        <v>17</v>
      </c>
      <c r="F712">
        <v>14</v>
      </c>
      <c r="G712" t="s">
        <v>560</v>
      </c>
      <c r="H712">
        <v>50</v>
      </c>
      <c r="I712" t="s">
        <v>561</v>
      </c>
      <c r="J712">
        <v>269</v>
      </c>
      <c r="K712" t="s">
        <v>562</v>
      </c>
      <c r="L712" s="13">
        <v>45463</v>
      </c>
      <c r="M712" t="s">
        <v>76</v>
      </c>
      <c r="N712" t="s">
        <v>3502</v>
      </c>
      <c r="O712">
        <v>284.41000000000003</v>
      </c>
      <c r="P712" t="s">
        <v>565</v>
      </c>
    </row>
    <row r="713" spans="1:16" ht="15" customHeight="1" x14ac:dyDescent="0.4">
      <c r="A713" t="s">
        <v>15</v>
      </c>
      <c r="B713" t="s">
        <v>16</v>
      </c>
      <c r="C713" s="13">
        <v>45292</v>
      </c>
      <c r="D713" s="13">
        <v>45657</v>
      </c>
      <c r="E713" t="s">
        <v>17</v>
      </c>
      <c r="F713">
        <v>14</v>
      </c>
      <c r="G713" t="s">
        <v>560</v>
      </c>
      <c r="H713">
        <v>50</v>
      </c>
      <c r="I713" t="s">
        <v>561</v>
      </c>
      <c r="J713">
        <v>269</v>
      </c>
      <c r="K713" t="s">
        <v>562</v>
      </c>
      <c r="L713" s="13">
        <v>45486</v>
      </c>
      <c r="M713" t="s">
        <v>76</v>
      </c>
      <c r="N713" t="s">
        <v>3932</v>
      </c>
      <c r="O713">
        <v>158.88999999999999</v>
      </c>
      <c r="P713" t="s">
        <v>565</v>
      </c>
    </row>
    <row r="714" spans="1:16" ht="15" customHeight="1" x14ac:dyDescent="0.4">
      <c r="A714" t="s">
        <v>15</v>
      </c>
      <c r="B714" t="s">
        <v>16</v>
      </c>
      <c r="C714" s="13">
        <v>45292</v>
      </c>
      <c r="D714" s="13">
        <v>45657</v>
      </c>
      <c r="E714" t="s">
        <v>17</v>
      </c>
      <c r="F714">
        <v>14</v>
      </c>
      <c r="G714" t="s">
        <v>560</v>
      </c>
      <c r="H714">
        <v>50</v>
      </c>
      <c r="I714" t="s">
        <v>561</v>
      </c>
      <c r="J714">
        <v>269</v>
      </c>
      <c r="K714" t="s">
        <v>562</v>
      </c>
      <c r="L714" s="13">
        <v>45504</v>
      </c>
      <c r="M714" t="s">
        <v>76</v>
      </c>
      <c r="N714" t="s">
        <v>3933</v>
      </c>
      <c r="O714">
        <v>-484.66</v>
      </c>
      <c r="P714" t="s">
        <v>565</v>
      </c>
    </row>
    <row r="715" spans="1:16" ht="15" customHeight="1" x14ac:dyDescent="0.4">
      <c r="A715" t="s">
        <v>15</v>
      </c>
      <c r="B715" t="s">
        <v>16</v>
      </c>
      <c r="C715" s="13">
        <v>45292</v>
      </c>
      <c r="D715" s="13">
        <v>45657</v>
      </c>
      <c r="E715" t="s">
        <v>17</v>
      </c>
      <c r="F715">
        <v>14</v>
      </c>
      <c r="G715" t="s">
        <v>560</v>
      </c>
      <c r="H715">
        <v>50</v>
      </c>
      <c r="I715" t="s">
        <v>561</v>
      </c>
      <c r="J715">
        <v>269</v>
      </c>
      <c r="K715" t="s">
        <v>562</v>
      </c>
      <c r="L715" s="13">
        <v>45517</v>
      </c>
      <c r="M715" t="s">
        <v>76</v>
      </c>
      <c r="N715" t="s">
        <v>3934</v>
      </c>
      <c r="O715">
        <v>243.38</v>
      </c>
      <c r="P715" t="s">
        <v>565</v>
      </c>
    </row>
    <row r="716" spans="1:16" ht="15" customHeight="1" x14ac:dyDescent="0.4">
      <c r="A716" t="s">
        <v>15</v>
      </c>
      <c r="B716" t="s">
        <v>16</v>
      </c>
      <c r="C716" s="13">
        <v>45292</v>
      </c>
      <c r="D716" s="13">
        <v>45657</v>
      </c>
      <c r="E716" t="s">
        <v>17</v>
      </c>
      <c r="F716">
        <v>14</v>
      </c>
      <c r="G716" t="s">
        <v>560</v>
      </c>
      <c r="H716">
        <v>50</v>
      </c>
      <c r="I716" t="s">
        <v>561</v>
      </c>
      <c r="J716">
        <v>269</v>
      </c>
      <c r="K716" t="s">
        <v>562</v>
      </c>
      <c r="L716" s="13">
        <v>45518</v>
      </c>
      <c r="M716" t="s">
        <v>76</v>
      </c>
      <c r="N716" t="s">
        <v>3935</v>
      </c>
      <c r="O716">
        <v>-348.11</v>
      </c>
      <c r="P716" t="s">
        <v>565</v>
      </c>
    </row>
    <row r="717" spans="1:16" ht="15" customHeight="1" x14ac:dyDescent="0.4">
      <c r="A717" t="s">
        <v>15</v>
      </c>
      <c r="B717" t="s">
        <v>16</v>
      </c>
      <c r="C717" s="13">
        <v>45292</v>
      </c>
      <c r="D717" s="13">
        <v>45657</v>
      </c>
      <c r="E717" t="s">
        <v>17</v>
      </c>
      <c r="F717">
        <v>14</v>
      </c>
      <c r="G717" t="s">
        <v>560</v>
      </c>
      <c r="H717">
        <v>50</v>
      </c>
      <c r="I717" t="s">
        <v>561</v>
      </c>
      <c r="J717">
        <v>269</v>
      </c>
      <c r="K717" t="s">
        <v>562</v>
      </c>
      <c r="L717" s="13">
        <v>45548</v>
      </c>
      <c r="M717" t="s">
        <v>76</v>
      </c>
      <c r="N717" t="s">
        <v>3936</v>
      </c>
      <c r="O717">
        <v>241.75</v>
      </c>
      <c r="P717" t="s">
        <v>565</v>
      </c>
    </row>
    <row r="718" spans="1:16" ht="15" customHeight="1" x14ac:dyDescent="0.4">
      <c r="A718" t="s">
        <v>15</v>
      </c>
      <c r="B718" t="s">
        <v>16</v>
      </c>
      <c r="C718" s="13">
        <v>45292</v>
      </c>
      <c r="D718" s="13">
        <v>45657</v>
      </c>
      <c r="E718" t="s">
        <v>17</v>
      </c>
      <c r="F718">
        <v>14</v>
      </c>
      <c r="G718" t="s">
        <v>560</v>
      </c>
      <c r="H718">
        <v>50</v>
      </c>
      <c r="I718" t="s">
        <v>561</v>
      </c>
      <c r="J718">
        <v>269</v>
      </c>
      <c r="K718" t="s">
        <v>562</v>
      </c>
      <c r="L718" s="13">
        <v>45610</v>
      </c>
      <c r="M718" t="s">
        <v>76</v>
      </c>
      <c r="N718" t="s">
        <v>3937</v>
      </c>
      <c r="O718">
        <v>151.38999999999999</v>
      </c>
      <c r="P718" t="s">
        <v>565</v>
      </c>
    </row>
    <row r="719" spans="1:16" ht="15" customHeight="1" x14ac:dyDescent="0.4">
      <c r="A719" t="s">
        <v>15</v>
      </c>
      <c r="B719" t="s">
        <v>16</v>
      </c>
      <c r="C719" s="13">
        <v>45292</v>
      </c>
      <c r="D719" s="13">
        <v>45657</v>
      </c>
      <c r="E719" t="s">
        <v>17</v>
      </c>
      <c r="F719">
        <v>14</v>
      </c>
      <c r="G719" t="s">
        <v>560</v>
      </c>
      <c r="H719">
        <v>50</v>
      </c>
      <c r="I719" t="s">
        <v>561</v>
      </c>
      <c r="J719">
        <v>269</v>
      </c>
      <c r="K719" t="s">
        <v>562</v>
      </c>
      <c r="L719" s="13">
        <v>45624</v>
      </c>
      <c r="M719" t="s">
        <v>76</v>
      </c>
      <c r="N719" t="s">
        <v>3938</v>
      </c>
      <c r="O719">
        <v>593.88</v>
      </c>
      <c r="P719" t="s">
        <v>565</v>
      </c>
    </row>
    <row r="720" spans="1:16" ht="15" customHeight="1" x14ac:dyDescent="0.4">
      <c r="A720" t="s">
        <v>15</v>
      </c>
      <c r="B720" t="s">
        <v>16</v>
      </c>
      <c r="C720" s="13">
        <v>45292</v>
      </c>
      <c r="D720" s="13">
        <v>45657</v>
      </c>
      <c r="E720" t="s">
        <v>17</v>
      </c>
      <c r="F720">
        <v>14</v>
      </c>
      <c r="G720" t="s">
        <v>560</v>
      </c>
      <c r="H720">
        <v>50</v>
      </c>
      <c r="I720" t="s">
        <v>561</v>
      </c>
      <c r="J720">
        <v>269</v>
      </c>
      <c r="K720" t="s">
        <v>562</v>
      </c>
      <c r="L720" s="13">
        <v>45639</v>
      </c>
      <c r="M720" t="s">
        <v>76</v>
      </c>
      <c r="N720" t="s">
        <v>3939</v>
      </c>
      <c r="O720">
        <v>578.33000000000004</v>
      </c>
      <c r="P720" t="s">
        <v>565</v>
      </c>
    </row>
    <row r="721" spans="1:16" ht="15" customHeight="1" x14ac:dyDescent="0.4">
      <c r="A721" t="s">
        <v>15</v>
      </c>
      <c r="B721" t="s">
        <v>16</v>
      </c>
      <c r="C721" s="13">
        <v>45292</v>
      </c>
      <c r="D721" s="13">
        <v>45657</v>
      </c>
      <c r="E721" t="s">
        <v>17</v>
      </c>
      <c r="F721">
        <v>14</v>
      </c>
      <c r="G721" t="s">
        <v>560</v>
      </c>
      <c r="H721">
        <v>50</v>
      </c>
      <c r="I721" t="s">
        <v>561</v>
      </c>
      <c r="J721">
        <v>286</v>
      </c>
      <c r="K721" t="s">
        <v>588</v>
      </c>
      <c r="L721" s="13">
        <v>45657</v>
      </c>
      <c r="M721" t="s">
        <v>3940</v>
      </c>
      <c r="N721" t="s">
        <v>86</v>
      </c>
      <c r="O721">
        <v>1622.64</v>
      </c>
      <c r="P721" t="s">
        <v>46</v>
      </c>
    </row>
    <row r="722" spans="1:16" ht="15" customHeight="1" x14ac:dyDescent="0.4">
      <c r="A722" t="s">
        <v>15</v>
      </c>
      <c r="B722" t="s">
        <v>16</v>
      </c>
      <c r="C722" s="13">
        <v>45292</v>
      </c>
      <c r="D722" s="13">
        <v>45657</v>
      </c>
      <c r="E722" t="s">
        <v>17</v>
      </c>
      <c r="F722">
        <v>15</v>
      </c>
      <c r="G722" t="s">
        <v>560</v>
      </c>
      <c r="H722">
        <v>50</v>
      </c>
      <c r="I722" t="s">
        <v>561</v>
      </c>
      <c r="J722">
        <v>269</v>
      </c>
      <c r="K722" t="s">
        <v>562</v>
      </c>
      <c r="L722" s="13">
        <v>45292</v>
      </c>
      <c r="M722" t="s">
        <v>76</v>
      </c>
      <c r="N722" t="s">
        <v>3496</v>
      </c>
      <c r="O722">
        <v>626.09</v>
      </c>
      <c r="P722" t="s">
        <v>565</v>
      </c>
    </row>
    <row r="723" spans="1:16" ht="15" customHeight="1" x14ac:dyDescent="0.4">
      <c r="A723" t="s">
        <v>15</v>
      </c>
      <c r="B723" t="s">
        <v>16</v>
      </c>
      <c r="C723" s="13">
        <v>45292</v>
      </c>
      <c r="D723" s="13">
        <v>45657</v>
      </c>
      <c r="E723" t="s">
        <v>17</v>
      </c>
      <c r="F723">
        <v>15</v>
      </c>
      <c r="G723" t="s">
        <v>560</v>
      </c>
      <c r="H723">
        <v>50</v>
      </c>
      <c r="I723" t="s">
        <v>561</v>
      </c>
      <c r="J723">
        <v>269</v>
      </c>
      <c r="K723" t="s">
        <v>562</v>
      </c>
      <c r="L723" s="13">
        <v>45309</v>
      </c>
      <c r="M723" t="s">
        <v>76</v>
      </c>
      <c r="N723" t="s">
        <v>3497</v>
      </c>
      <c r="O723">
        <v>1060.24</v>
      </c>
      <c r="P723" t="s">
        <v>565</v>
      </c>
    </row>
    <row r="724" spans="1:16" ht="15" customHeight="1" x14ac:dyDescent="0.4">
      <c r="A724" t="s">
        <v>15</v>
      </c>
      <c r="B724" t="s">
        <v>16</v>
      </c>
      <c r="C724" s="13">
        <v>45292</v>
      </c>
      <c r="D724" s="13">
        <v>45657</v>
      </c>
      <c r="E724" t="s">
        <v>17</v>
      </c>
      <c r="F724">
        <v>15</v>
      </c>
      <c r="G724" t="s">
        <v>560</v>
      </c>
      <c r="H724">
        <v>50</v>
      </c>
      <c r="I724" t="s">
        <v>561</v>
      </c>
      <c r="J724">
        <v>269</v>
      </c>
      <c r="K724" t="s">
        <v>562</v>
      </c>
      <c r="L724" s="13">
        <v>45337</v>
      </c>
      <c r="M724" t="s">
        <v>76</v>
      </c>
      <c r="N724" t="s">
        <v>3498</v>
      </c>
      <c r="O724">
        <v>93.04</v>
      </c>
      <c r="P724" t="s">
        <v>565</v>
      </c>
    </row>
    <row r="725" spans="1:16" ht="15" customHeight="1" x14ac:dyDescent="0.4">
      <c r="A725" t="s">
        <v>15</v>
      </c>
      <c r="B725" t="s">
        <v>16</v>
      </c>
      <c r="C725" s="13">
        <v>45292</v>
      </c>
      <c r="D725" s="13">
        <v>45657</v>
      </c>
      <c r="E725" t="s">
        <v>17</v>
      </c>
      <c r="F725">
        <v>15</v>
      </c>
      <c r="G725" t="s">
        <v>560</v>
      </c>
      <c r="H725">
        <v>50</v>
      </c>
      <c r="I725" t="s">
        <v>561</v>
      </c>
      <c r="J725">
        <v>269</v>
      </c>
      <c r="K725" t="s">
        <v>562</v>
      </c>
      <c r="L725" s="13">
        <v>45371</v>
      </c>
      <c r="M725" t="s">
        <v>76</v>
      </c>
      <c r="N725" t="s">
        <v>3499</v>
      </c>
      <c r="O725">
        <v>760.34</v>
      </c>
      <c r="P725" t="s">
        <v>565</v>
      </c>
    </row>
    <row r="726" spans="1:16" ht="15" customHeight="1" x14ac:dyDescent="0.4">
      <c r="A726" t="s">
        <v>15</v>
      </c>
      <c r="B726" t="s">
        <v>16</v>
      </c>
      <c r="C726" s="13">
        <v>45292</v>
      </c>
      <c r="D726" s="13">
        <v>45657</v>
      </c>
      <c r="E726" t="s">
        <v>17</v>
      </c>
      <c r="F726">
        <v>15</v>
      </c>
      <c r="G726" t="s">
        <v>560</v>
      </c>
      <c r="H726">
        <v>50</v>
      </c>
      <c r="I726" t="s">
        <v>561</v>
      </c>
      <c r="J726">
        <v>269</v>
      </c>
      <c r="K726" t="s">
        <v>562</v>
      </c>
      <c r="L726" s="13">
        <v>45399</v>
      </c>
      <c r="M726" t="s">
        <v>76</v>
      </c>
      <c r="N726" t="s">
        <v>3500</v>
      </c>
      <c r="O726">
        <v>640.54999999999995</v>
      </c>
      <c r="P726" t="s">
        <v>565</v>
      </c>
    </row>
    <row r="727" spans="1:16" ht="15" customHeight="1" x14ac:dyDescent="0.4">
      <c r="A727" t="s">
        <v>15</v>
      </c>
      <c r="B727" t="s">
        <v>16</v>
      </c>
      <c r="C727" s="13">
        <v>45292</v>
      </c>
      <c r="D727" s="13">
        <v>45657</v>
      </c>
      <c r="E727" t="s">
        <v>17</v>
      </c>
      <c r="F727">
        <v>15</v>
      </c>
      <c r="G727" t="s">
        <v>560</v>
      </c>
      <c r="H727">
        <v>50</v>
      </c>
      <c r="I727" t="s">
        <v>561</v>
      </c>
      <c r="J727">
        <v>269</v>
      </c>
      <c r="K727" t="s">
        <v>562</v>
      </c>
      <c r="L727" s="13">
        <v>45450</v>
      </c>
      <c r="M727" t="s">
        <v>76</v>
      </c>
      <c r="N727" t="s">
        <v>3501</v>
      </c>
      <c r="O727">
        <v>297.7</v>
      </c>
      <c r="P727" t="s">
        <v>565</v>
      </c>
    </row>
    <row r="728" spans="1:16" ht="15" customHeight="1" x14ac:dyDescent="0.4">
      <c r="A728" t="s">
        <v>15</v>
      </c>
      <c r="B728" t="s">
        <v>16</v>
      </c>
      <c r="C728" s="13">
        <v>45292</v>
      </c>
      <c r="D728" s="13">
        <v>45657</v>
      </c>
      <c r="E728" t="s">
        <v>17</v>
      </c>
      <c r="F728">
        <v>15</v>
      </c>
      <c r="G728" t="s">
        <v>560</v>
      </c>
      <c r="H728">
        <v>50</v>
      </c>
      <c r="I728" t="s">
        <v>561</v>
      </c>
      <c r="J728">
        <v>269</v>
      </c>
      <c r="K728" t="s">
        <v>562</v>
      </c>
      <c r="L728" s="13">
        <v>45463</v>
      </c>
      <c r="M728" t="s">
        <v>76</v>
      </c>
      <c r="N728" t="s">
        <v>3502</v>
      </c>
      <c r="O728">
        <v>284.41000000000003</v>
      </c>
      <c r="P728" t="s">
        <v>565</v>
      </c>
    </row>
    <row r="729" spans="1:16" ht="15" customHeight="1" x14ac:dyDescent="0.4">
      <c r="A729" t="s">
        <v>15</v>
      </c>
      <c r="B729" t="s">
        <v>16</v>
      </c>
      <c r="C729" s="13">
        <v>45292</v>
      </c>
      <c r="D729" s="13">
        <v>45657</v>
      </c>
      <c r="E729" t="s">
        <v>17</v>
      </c>
      <c r="F729">
        <v>15</v>
      </c>
      <c r="G729" t="s">
        <v>560</v>
      </c>
      <c r="H729">
        <v>50</v>
      </c>
      <c r="I729" t="s">
        <v>561</v>
      </c>
      <c r="J729">
        <v>269</v>
      </c>
      <c r="K729" t="s">
        <v>562</v>
      </c>
      <c r="L729" s="13">
        <v>45486</v>
      </c>
      <c r="M729" t="s">
        <v>76</v>
      </c>
      <c r="N729" t="s">
        <v>3932</v>
      </c>
      <c r="O729">
        <v>158.88999999999999</v>
      </c>
      <c r="P729" t="s">
        <v>565</v>
      </c>
    </row>
    <row r="730" spans="1:16" ht="15" customHeight="1" x14ac:dyDescent="0.4">
      <c r="A730" t="s">
        <v>15</v>
      </c>
      <c r="B730" t="s">
        <v>16</v>
      </c>
      <c r="C730" s="13">
        <v>45292</v>
      </c>
      <c r="D730" s="13">
        <v>45657</v>
      </c>
      <c r="E730" t="s">
        <v>17</v>
      </c>
      <c r="F730">
        <v>15</v>
      </c>
      <c r="G730" t="s">
        <v>560</v>
      </c>
      <c r="H730">
        <v>50</v>
      </c>
      <c r="I730" t="s">
        <v>561</v>
      </c>
      <c r="J730">
        <v>269</v>
      </c>
      <c r="K730" t="s">
        <v>562</v>
      </c>
      <c r="L730" s="13">
        <v>45504</v>
      </c>
      <c r="M730" t="s">
        <v>76</v>
      </c>
      <c r="N730" t="s">
        <v>3933</v>
      </c>
      <c r="O730">
        <v>-484.66</v>
      </c>
      <c r="P730" t="s">
        <v>565</v>
      </c>
    </row>
    <row r="731" spans="1:16" ht="15" customHeight="1" x14ac:dyDescent="0.4">
      <c r="A731" t="s">
        <v>15</v>
      </c>
      <c r="B731" t="s">
        <v>16</v>
      </c>
      <c r="C731" s="13">
        <v>45292</v>
      </c>
      <c r="D731" s="13">
        <v>45657</v>
      </c>
      <c r="E731" t="s">
        <v>17</v>
      </c>
      <c r="F731">
        <v>15</v>
      </c>
      <c r="G731" t="s">
        <v>560</v>
      </c>
      <c r="H731">
        <v>50</v>
      </c>
      <c r="I731" t="s">
        <v>561</v>
      </c>
      <c r="J731">
        <v>269</v>
      </c>
      <c r="K731" t="s">
        <v>562</v>
      </c>
      <c r="L731" s="13">
        <v>45517</v>
      </c>
      <c r="M731" t="s">
        <v>76</v>
      </c>
      <c r="N731" t="s">
        <v>3934</v>
      </c>
      <c r="O731">
        <v>243.38</v>
      </c>
      <c r="P731" t="s">
        <v>565</v>
      </c>
    </row>
    <row r="732" spans="1:16" ht="15" customHeight="1" x14ac:dyDescent="0.4">
      <c r="A732" t="s">
        <v>15</v>
      </c>
      <c r="B732" t="s">
        <v>16</v>
      </c>
      <c r="C732" s="13">
        <v>45292</v>
      </c>
      <c r="D732" s="13">
        <v>45657</v>
      </c>
      <c r="E732" t="s">
        <v>17</v>
      </c>
      <c r="F732">
        <v>15</v>
      </c>
      <c r="G732" t="s">
        <v>560</v>
      </c>
      <c r="H732">
        <v>50</v>
      </c>
      <c r="I732" t="s">
        <v>561</v>
      </c>
      <c r="J732">
        <v>269</v>
      </c>
      <c r="K732" t="s">
        <v>562</v>
      </c>
      <c r="L732" s="13">
        <v>45518</v>
      </c>
      <c r="M732" t="s">
        <v>76</v>
      </c>
      <c r="N732" t="s">
        <v>3935</v>
      </c>
      <c r="O732">
        <v>-348.12</v>
      </c>
      <c r="P732" t="s">
        <v>565</v>
      </c>
    </row>
    <row r="733" spans="1:16" ht="15" customHeight="1" x14ac:dyDescent="0.4">
      <c r="A733" t="s">
        <v>15</v>
      </c>
      <c r="B733" t="s">
        <v>16</v>
      </c>
      <c r="C733" s="13">
        <v>45292</v>
      </c>
      <c r="D733" s="13">
        <v>45657</v>
      </c>
      <c r="E733" t="s">
        <v>17</v>
      </c>
      <c r="F733">
        <v>15</v>
      </c>
      <c r="G733" t="s">
        <v>560</v>
      </c>
      <c r="H733">
        <v>50</v>
      </c>
      <c r="I733" t="s">
        <v>561</v>
      </c>
      <c r="J733">
        <v>269</v>
      </c>
      <c r="K733" t="s">
        <v>562</v>
      </c>
      <c r="L733" s="13">
        <v>45548</v>
      </c>
      <c r="M733" t="s">
        <v>76</v>
      </c>
      <c r="N733" t="s">
        <v>3936</v>
      </c>
      <c r="O733">
        <v>241.74</v>
      </c>
      <c r="P733" t="s">
        <v>565</v>
      </c>
    </row>
    <row r="734" spans="1:16" ht="15" customHeight="1" x14ac:dyDescent="0.4">
      <c r="A734" t="s">
        <v>15</v>
      </c>
      <c r="B734" t="s">
        <v>16</v>
      </c>
      <c r="C734" s="13">
        <v>45292</v>
      </c>
      <c r="D734" s="13">
        <v>45657</v>
      </c>
      <c r="E734" t="s">
        <v>17</v>
      </c>
      <c r="F734">
        <v>15</v>
      </c>
      <c r="G734" t="s">
        <v>560</v>
      </c>
      <c r="H734">
        <v>50</v>
      </c>
      <c r="I734" t="s">
        <v>561</v>
      </c>
      <c r="J734">
        <v>269</v>
      </c>
      <c r="K734" t="s">
        <v>562</v>
      </c>
      <c r="L734" s="13">
        <v>45610</v>
      </c>
      <c r="M734" t="s">
        <v>76</v>
      </c>
      <c r="N734" t="s">
        <v>3937</v>
      </c>
      <c r="O734">
        <v>151.38999999999999</v>
      </c>
      <c r="P734" t="s">
        <v>565</v>
      </c>
    </row>
    <row r="735" spans="1:16" ht="15" customHeight="1" x14ac:dyDescent="0.4">
      <c r="A735" t="s">
        <v>15</v>
      </c>
      <c r="B735" t="s">
        <v>16</v>
      </c>
      <c r="C735" s="13">
        <v>45292</v>
      </c>
      <c r="D735" s="13">
        <v>45657</v>
      </c>
      <c r="E735" t="s">
        <v>17</v>
      </c>
      <c r="F735">
        <v>15</v>
      </c>
      <c r="G735" t="s">
        <v>560</v>
      </c>
      <c r="H735">
        <v>50</v>
      </c>
      <c r="I735" t="s">
        <v>561</v>
      </c>
      <c r="J735">
        <v>269</v>
      </c>
      <c r="K735" t="s">
        <v>562</v>
      </c>
      <c r="L735" s="13">
        <v>45624</v>
      </c>
      <c r="M735" t="s">
        <v>76</v>
      </c>
      <c r="N735" t="s">
        <v>3938</v>
      </c>
      <c r="O735">
        <v>593.88</v>
      </c>
      <c r="P735" t="s">
        <v>565</v>
      </c>
    </row>
    <row r="736" spans="1:16" ht="15" customHeight="1" x14ac:dyDescent="0.4">
      <c r="A736" t="s">
        <v>15</v>
      </c>
      <c r="B736" t="s">
        <v>16</v>
      </c>
      <c r="C736" s="13">
        <v>45292</v>
      </c>
      <c r="D736" s="13">
        <v>45657</v>
      </c>
      <c r="E736" t="s">
        <v>17</v>
      </c>
      <c r="F736">
        <v>15</v>
      </c>
      <c r="G736" t="s">
        <v>560</v>
      </c>
      <c r="H736">
        <v>50</v>
      </c>
      <c r="I736" t="s">
        <v>561</v>
      </c>
      <c r="J736">
        <v>269</v>
      </c>
      <c r="K736" t="s">
        <v>562</v>
      </c>
      <c r="L736" s="13">
        <v>45639</v>
      </c>
      <c r="M736" t="s">
        <v>76</v>
      </c>
      <c r="N736" t="s">
        <v>3939</v>
      </c>
      <c r="O736">
        <v>578.33000000000004</v>
      </c>
      <c r="P736" t="s">
        <v>565</v>
      </c>
    </row>
    <row r="737" spans="1:16" ht="15" customHeight="1" x14ac:dyDescent="0.4">
      <c r="A737" t="s">
        <v>15</v>
      </c>
      <c r="B737" t="s">
        <v>16</v>
      </c>
      <c r="C737" s="13">
        <v>45292</v>
      </c>
      <c r="D737" s="13">
        <v>45657</v>
      </c>
      <c r="E737" t="s">
        <v>17</v>
      </c>
      <c r="F737">
        <v>15</v>
      </c>
      <c r="G737" t="s">
        <v>560</v>
      </c>
      <c r="H737">
        <v>50</v>
      </c>
      <c r="I737" t="s">
        <v>561</v>
      </c>
      <c r="J737">
        <v>286</v>
      </c>
      <c r="K737" t="s">
        <v>588</v>
      </c>
      <c r="L737" s="13">
        <v>45657</v>
      </c>
      <c r="M737" t="s">
        <v>3941</v>
      </c>
      <c r="N737" t="s">
        <v>86</v>
      </c>
      <c r="O737">
        <v>2128.83</v>
      </c>
      <c r="P737" t="s">
        <v>46</v>
      </c>
    </row>
    <row r="738" spans="1:16" ht="15" customHeight="1" x14ac:dyDescent="0.4">
      <c r="A738" t="s">
        <v>15</v>
      </c>
      <c r="B738" t="s">
        <v>16</v>
      </c>
      <c r="C738" s="13">
        <v>45292</v>
      </c>
      <c r="D738" s="13">
        <v>45657</v>
      </c>
      <c r="E738" t="s">
        <v>17</v>
      </c>
      <c r="F738">
        <v>15</v>
      </c>
      <c r="G738" t="s">
        <v>560</v>
      </c>
      <c r="H738">
        <v>50</v>
      </c>
      <c r="I738" t="s">
        <v>561</v>
      </c>
      <c r="J738">
        <v>289</v>
      </c>
      <c r="K738" t="s">
        <v>615</v>
      </c>
      <c r="L738" s="13">
        <v>45657</v>
      </c>
      <c r="M738" t="s">
        <v>616</v>
      </c>
      <c r="N738" t="s">
        <v>98</v>
      </c>
      <c r="O738">
        <v>-11.93</v>
      </c>
      <c r="P738" t="s">
        <v>46</v>
      </c>
    </row>
    <row r="739" spans="1:16" ht="15" customHeight="1" x14ac:dyDescent="0.4">
      <c r="A739" t="s">
        <v>15</v>
      </c>
      <c r="B739" t="s">
        <v>16</v>
      </c>
      <c r="C739" s="13">
        <v>45292</v>
      </c>
      <c r="D739" s="13">
        <v>45657</v>
      </c>
      <c r="E739" t="s">
        <v>30</v>
      </c>
      <c r="F739">
        <v>16</v>
      </c>
      <c r="G739" t="s">
        <v>617</v>
      </c>
      <c r="H739">
        <v>6</v>
      </c>
      <c r="I739" t="s">
        <v>618</v>
      </c>
      <c r="J739">
        <v>106</v>
      </c>
      <c r="K739" t="s">
        <v>422</v>
      </c>
      <c r="L739" s="13">
        <v>45637</v>
      </c>
      <c r="M739" t="s">
        <v>3942</v>
      </c>
      <c r="N739" t="s">
        <v>3943</v>
      </c>
      <c r="O739">
        <v>429</v>
      </c>
      <c r="P739" t="s">
        <v>347</v>
      </c>
    </row>
    <row r="740" spans="1:16" ht="15" customHeight="1" x14ac:dyDescent="0.4">
      <c r="A740" t="s">
        <v>15</v>
      </c>
      <c r="B740" t="s">
        <v>16</v>
      </c>
      <c r="C740" s="13">
        <v>45292</v>
      </c>
      <c r="D740" s="13">
        <v>45657</v>
      </c>
      <c r="E740" t="s">
        <v>17</v>
      </c>
      <c r="F740">
        <v>16</v>
      </c>
      <c r="G740" t="s">
        <v>617</v>
      </c>
      <c r="H740">
        <v>6</v>
      </c>
      <c r="I740" t="s">
        <v>618</v>
      </c>
      <c r="J740">
        <v>269</v>
      </c>
      <c r="K740" t="s">
        <v>3695</v>
      </c>
      <c r="L740" s="13">
        <v>45314</v>
      </c>
      <c r="M740" t="s">
        <v>76</v>
      </c>
      <c r="N740" t="s">
        <v>2925</v>
      </c>
      <c r="O740">
        <v>25.25</v>
      </c>
      <c r="P740" t="s">
        <v>52</v>
      </c>
    </row>
    <row r="741" spans="1:16" ht="15" customHeight="1" x14ac:dyDescent="0.4">
      <c r="A741" t="s">
        <v>15</v>
      </c>
      <c r="B741" t="s">
        <v>16</v>
      </c>
      <c r="C741" s="13">
        <v>45292</v>
      </c>
      <c r="D741" s="13">
        <v>45657</v>
      </c>
      <c r="E741" t="s">
        <v>17</v>
      </c>
      <c r="F741">
        <v>16</v>
      </c>
      <c r="G741" t="s">
        <v>617</v>
      </c>
      <c r="H741">
        <v>6</v>
      </c>
      <c r="I741" t="s">
        <v>618</v>
      </c>
      <c r="J741">
        <v>269</v>
      </c>
      <c r="K741" t="s">
        <v>3695</v>
      </c>
      <c r="L741" s="13">
        <v>45350</v>
      </c>
      <c r="M741" t="s">
        <v>76</v>
      </c>
      <c r="N741" t="s">
        <v>3441</v>
      </c>
      <c r="O741">
        <v>22.64</v>
      </c>
      <c r="P741" t="s">
        <v>52</v>
      </c>
    </row>
    <row r="742" spans="1:16" ht="15" customHeight="1" x14ac:dyDescent="0.4">
      <c r="A742" t="s">
        <v>15</v>
      </c>
      <c r="B742" t="s">
        <v>16</v>
      </c>
      <c r="C742" s="13">
        <v>45292</v>
      </c>
      <c r="D742" s="13">
        <v>45657</v>
      </c>
      <c r="E742" t="s">
        <v>17</v>
      </c>
      <c r="F742">
        <v>16</v>
      </c>
      <c r="G742" t="s">
        <v>617</v>
      </c>
      <c r="H742">
        <v>6</v>
      </c>
      <c r="I742" t="s">
        <v>618</v>
      </c>
      <c r="J742">
        <v>269</v>
      </c>
      <c r="K742" t="s">
        <v>3695</v>
      </c>
      <c r="L742" s="13">
        <v>45392</v>
      </c>
      <c r="M742" t="s">
        <v>76</v>
      </c>
      <c r="N742" t="s">
        <v>3442</v>
      </c>
      <c r="O742">
        <v>22.3</v>
      </c>
      <c r="P742" t="s">
        <v>52</v>
      </c>
    </row>
    <row r="743" spans="1:16" ht="15" customHeight="1" x14ac:dyDescent="0.4">
      <c r="A743" t="s">
        <v>15</v>
      </c>
      <c r="B743" t="s">
        <v>16</v>
      </c>
      <c r="C743" s="13">
        <v>45292</v>
      </c>
      <c r="D743" s="13">
        <v>45657</v>
      </c>
      <c r="E743" t="s">
        <v>17</v>
      </c>
      <c r="F743">
        <v>16</v>
      </c>
      <c r="G743" t="s">
        <v>617</v>
      </c>
      <c r="H743">
        <v>6</v>
      </c>
      <c r="I743" t="s">
        <v>618</v>
      </c>
      <c r="J743">
        <v>269</v>
      </c>
      <c r="K743" t="s">
        <v>3695</v>
      </c>
      <c r="L743" s="13">
        <v>45404</v>
      </c>
      <c r="M743" t="s">
        <v>76</v>
      </c>
      <c r="N743" t="s">
        <v>3443</v>
      </c>
      <c r="O743">
        <v>17.260000000000002</v>
      </c>
      <c r="P743" t="s">
        <v>52</v>
      </c>
    </row>
    <row r="744" spans="1:16" ht="15" customHeight="1" x14ac:dyDescent="0.4">
      <c r="A744" t="s">
        <v>15</v>
      </c>
      <c r="B744" t="s">
        <v>16</v>
      </c>
      <c r="C744" s="13">
        <v>45292</v>
      </c>
      <c r="D744" s="13">
        <v>45657</v>
      </c>
      <c r="E744" t="s">
        <v>17</v>
      </c>
      <c r="F744">
        <v>16</v>
      </c>
      <c r="G744" t="s">
        <v>617</v>
      </c>
      <c r="H744">
        <v>6</v>
      </c>
      <c r="I744" t="s">
        <v>618</v>
      </c>
      <c r="J744">
        <v>269</v>
      </c>
      <c r="K744" t="s">
        <v>3695</v>
      </c>
      <c r="L744" s="13">
        <v>45457</v>
      </c>
      <c r="M744" t="s">
        <v>76</v>
      </c>
      <c r="N744" t="s">
        <v>3444</v>
      </c>
      <c r="O744">
        <v>16.5</v>
      </c>
      <c r="P744" t="s">
        <v>52</v>
      </c>
    </row>
    <row r="745" spans="1:16" ht="15" customHeight="1" x14ac:dyDescent="0.4">
      <c r="A745" t="s">
        <v>15</v>
      </c>
      <c r="B745" t="s">
        <v>16</v>
      </c>
      <c r="C745" s="13">
        <v>45292</v>
      </c>
      <c r="D745" s="13">
        <v>45657</v>
      </c>
      <c r="E745" t="s">
        <v>17</v>
      </c>
      <c r="F745">
        <v>16</v>
      </c>
      <c r="G745" t="s">
        <v>617</v>
      </c>
      <c r="H745">
        <v>6</v>
      </c>
      <c r="I745" t="s">
        <v>618</v>
      </c>
      <c r="J745">
        <v>269</v>
      </c>
      <c r="K745" t="s">
        <v>3695</v>
      </c>
      <c r="L745" s="13">
        <v>45475</v>
      </c>
      <c r="M745" t="s">
        <v>76</v>
      </c>
      <c r="N745" t="s">
        <v>3445</v>
      </c>
      <c r="O745">
        <v>18.38</v>
      </c>
      <c r="P745" t="s">
        <v>52</v>
      </c>
    </row>
    <row r="746" spans="1:16" ht="15" customHeight="1" x14ac:dyDescent="0.4">
      <c r="A746" t="s">
        <v>15</v>
      </c>
      <c r="B746" t="s">
        <v>16</v>
      </c>
      <c r="C746" s="13">
        <v>45292</v>
      </c>
      <c r="D746" s="13">
        <v>45657</v>
      </c>
      <c r="E746" t="s">
        <v>17</v>
      </c>
      <c r="F746">
        <v>16</v>
      </c>
      <c r="G746" t="s">
        <v>617</v>
      </c>
      <c r="H746">
        <v>6</v>
      </c>
      <c r="I746" t="s">
        <v>618</v>
      </c>
      <c r="J746">
        <v>269</v>
      </c>
      <c r="K746" t="s">
        <v>3695</v>
      </c>
      <c r="L746" s="13">
        <v>45495</v>
      </c>
      <c r="M746" t="s">
        <v>76</v>
      </c>
      <c r="N746" t="s">
        <v>3834</v>
      </c>
      <c r="O746">
        <v>14.65</v>
      </c>
      <c r="P746" t="s">
        <v>52</v>
      </c>
    </row>
    <row r="747" spans="1:16" ht="15" customHeight="1" x14ac:dyDescent="0.4">
      <c r="A747" t="s">
        <v>15</v>
      </c>
      <c r="B747" t="s">
        <v>16</v>
      </c>
      <c r="C747" s="13">
        <v>45292</v>
      </c>
      <c r="D747" s="13">
        <v>45657</v>
      </c>
      <c r="E747" t="s">
        <v>17</v>
      </c>
      <c r="F747">
        <v>16</v>
      </c>
      <c r="G747" t="s">
        <v>617</v>
      </c>
      <c r="H747">
        <v>6</v>
      </c>
      <c r="I747" t="s">
        <v>618</v>
      </c>
      <c r="J747">
        <v>269</v>
      </c>
      <c r="K747" t="s">
        <v>3695</v>
      </c>
      <c r="L747" s="13">
        <v>45530</v>
      </c>
      <c r="M747" t="s">
        <v>76</v>
      </c>
      <c r="N747" t="s">
        <v>3835</v>
      </c>
      <c r="O747">
        <v>21.7</v>
      </c>
      <c r="P747" t="s">
        <v>52</v>
      </c>
    </row>
    <row r="748" spans="1:16" ht="15" customHeight="1" x14ac:dyDescent="0.4">
      <c r="A748" t="s">
        <v>15</v>
      </c>
      <c r="B748" t="s">
        <v>16</v>
      </c>
      <c r="C748" s="13">
        <v>45292</v>
      </c>
      <c r="D748" s="13">
        <v>45657</v>
      </c>
      <c r="E748" t="s">
        <v>17</v>
      </c>
      <c r="F748">
        <v>16</v>
      </c>
      <c r="G748" t="s">
        <v>617</v>
      </c>
      <c r="H748">
        <v>6</v>
      </c>
      <c r="I748" t="s">
        <v>618</v>
      </c>
      <c r="J748">
        <v>269</v>
      </c>
      <c r="K748" t="s">
        <v>3695</v>
      </c>
      <c r="L748" s="13">
        <v>45587</v>
      </c>
      <c r="M748" t="s">
        <v>76</v>
      </c>
      <c r="N748" t="s">
        <v>3836</v>
      </c>
      <c r="O748">
        <v>15.29</v>
      </c>
      <c r="P748" t="s">
        <v>52</v>
      </c>
    </row>
    <row r="749" spans="1:16" ht="15" customHeight="1" x14ac:dyDescent="0.4">
      <c r="A749" t="s">
        <v>15</v>
      </c>
      <c r="B749" t="s">
        <v>16</v>
      </c>
      <c r="C749" s="13">
        <v>45292</v>
      </c>
      <c r="D749" s="13">
        <v>45657</v>
      </c>
      <c r="E749" t="s">
        <v>17</v>
      </c>
      <c r="F749">
        <v>16</v>
      </c>
      <c r="G749" t="s">
        <v>617</v>
      </c>
      <c r="H749">
        <v>6</v>
      </c>
      <c r="I749" t="s">
        <v>618</v>
      </c>
      <c r="J749">
        <v>269</v>
      </c>
      <c r="K749" t="s">
        <v>3695</v>
      </c>
      <c r="L749" s="13">
        <v>45610</v>
      </c>
      <c r="M749" t="s">
        <v>76</v>
      </c>
      <c r="N749" t="s">
        <v>3837</v>
      </c>
      <c r="O749">
        <v>19.11</v>
      </c>
      <c r="P749" t="s">
        <v>52</v>
      </c>
    </row>
    <row r="750" spans="1:16" ht="15" customHeight="1" x14ac:dyDescent="0.4">
      <c r="A750" t="s">
        <v>15</v>
      </c>
      <c r="B750" t="s">
        <v>16</v>
      </c>
      <c r="C750" s="13">
        <v>45292</v>
      </c>
      <c r="D750" s="13">
        <v>45657</v>
      </c>
      <c r="E750" t="s">
        <v>17</v>
      </c>
      <c r="F750">
        <v>16</v>
      </c>
      <c r="G750" t="s">
        <v>617</v>
      </c>
      <c r="H750">
        <v>6</v>
      </c>
      <c r="I750" t="s">
        <v>618</v>
      </c>
      <c r="J750">
        <v>269</v>
      </c>
      <c r="K750" t="s">
        <v>3695</v>
      </c>
      <c r="L750" s="13">
        <v>45618</v>
      </c>
      <c r="M750" t="s">
        <v>76</v>
      </c>
      <c r="N750" t="s">
        <v>3838</v>
      </c>
      <c r="O750">
        <v>16.34</v>
      </c>
      <c r="P750" t="s">
        <v>52</v>
      </c>
    </row>
    <row r="751" spans="1:16" ht="15" customHeight="1" x14ac:dyDescent="0.4">
      <c r="A751" t="s">
        <v>15</v>
      </c>
      <c r="B751" t="s">
        <v>16</v>
      </c>
      <c r="C751" s="13">
        <v>45292</v>
      </c>
      <c r="D751" s="13">
        <v>45657</v>
      </c>
      <c r="E751" t="s">
        <v>17</v>
      </c>
      <c r="F751">
        <v>16</v>
      </c>
      <c r="G751" t="s">
        <v>617</v>
      </c>
      <c r="H751">
        <v>6</v>
      </c>
      <c r="I751" t="s">
        <v>618</v>
      </c>
      <c r="J751">
        <v>269</v>
      </c>
      <c r="K751" t="s">
        <v>3695</v>
      </c>
      <c r="L751" s="13">
        <v>45648</v>
      </c>
      <c r="M751" t="s">
        <v>76</v>
      </c>
      <c r="N751" t="s">
        <v>3839</v>
      </c>
      <c r="O751">
        <v>18.8</v>
      </c>
      <c r="P751" t="s">
        <v>52</v>
      </c>
    </row>
    <row r="752" spans="1:16" ht="15" customHeight="1" x14ac:dyDescent="0.4">
      <c r="A752" t="s">
        <v>15</v>
      </c>
      <c r="B752" t="s">
        <v>16</v>
      </c>
      <c r="C752" s="13">
        <v>45292</v>
      </c>
      <c r="D752" s="13">
        <v>45657</v>
      </c>
      <c r="E752" t="s">
        <v>30</v>
      </c>
      <c r="F752">
        <v>17</v>
      </c>
      <c r="G752" t="s">
        <v>619</v>
      </c>
      <c r="H752">
        <v>6</v>
      </c>
      <c r="I752" t="s">
        <v>620</v>
      </c>
      <c r="J752">
        <v>106</v>
      </c>
      <c r="K752" t="s">
        <v>422</v>
      </c>
      <c r="L752" s="13">
        <v>45454</v>
      </c>
      <c r="M752" t="s">
        <v>3503</v>
      </c>
      <c r="N752" t="s">
        <v>3504</v>
      </c>
      <c r="O752">
        <v>2370.5</v>
      </c>
      <c r="P752" t="s">
        <v>1941</v>
      </c>
    </row>
    <row r="753" spans="1:16" ht="15" customHeight="1" x14ac:dyDescent="0.4">
      <c r="A753" t="s">
        <v>15</v>
      </c>
      <c r="B753" t="s">
        <v>16</v>
      </c>
      <c r="C753" s="13">
        <v>45292</v>
      </c>
      <c r="D753" s="13">
        <v>45657</v>
      </c>
      <c r="E753" t="s">
        <v>17</v>
      </c>
      <c r="F753">
        <v>17</v>
      </c>
      <c r="G753" t="s">
        <v>619</v>
      </c>
      <c r="H753">
        <v>6</v>
      </c>
      <c r="I753" t="s">
        <v>620</v>
      </c>
      <c r="J753">
        <v>269</v>
      </c>
      <c r="K753" t="s">
        <v>3695</v>
      </c>
      <c r="L753" s="13">
        <v>45314</v>
      </c>
      <c r="M753" t="s">
        <v>76</v>
      </c>
      <c r="N753" t="s">
        <v>2925</v>
      </c>
      <c r="O753">
        <v>25.25</v>
      </c>
      <c r="P753" t="s">
        <v>52</v>
      </c>
    </row>
    <row r="754" spans="1:16" ht="15" customHeight="1" x14ac:dyDescent="0.4">
      <c r="A754" t="s">
        <v>15</v>
      </c>
      <c r="B754" t="s">
        <v>16</v>
      </c>
      <c r="C754" s="13">
        <v>45292</v>
      </c>
      <c r="D754" s="13">
        <v>45657</v>
      </c>
      <c r="E754" t="s">
        <v>17</v>
      </c>
      <c r="F754">
        <v>17</v>
      </c>
      <c r="G754" t="s">
        <v>619</v>
      </c>
      <c r="H754">
        <v>6</v>
      </c>
      <c r="I754" t="s">
        <v>620</v>
      </c>
      <c r="J754">
        <v>269</v>
      </c>
      <c r="K754" t="s">
        <v>3695</v>
      </c>
      <c r="L754" s="13">
        <v>45350</v>
      </c>
      <c r="M754" t="s">
        <v>76</v>
      </c>
      <c r="N754" t="s">
        <v>3441</v>
      </c>
      <c r="O754">
        <v>22.64</v>
      </c>
      <c r="P754" t="s">
        <v>52</v>
      </c>
    </row>
    <row r="755" spans="1:16" ht="15" customHeight="1" x14ac:dyDescent="0.4">
      <c r="A755" t="s">
        <v>15</v>
      </c>
      <c r="B755" t="s">
        <v>16</v>
      </c>
      <c r="C755" s="13">
        <v>45292</v>
      </c>
      <c r="D755" s="13">
        <v>45657</v>
      </c>
      <c r="E755" t="s">
        <v>17</v>
      </c>
      <c r="F755">
        <v>17</v>
      </c>
      <c r="G755" t="s">
        <v>619</v>
      </c>
      <c r="H755">
        <v>6</v>
      </c>
      <c r="I755" t="s">
        <v>620</v>
      </c>
      <c r="J755">
        <v>269</v>
      </c>
      <c r="K755" t="s">
        <v>3695</v>
      </c>
      <c r="L755" s="13">
        <v>45392</v>
      </c>
      <c r="M755" t="s">
        <v>76</v>
      </c>
      <c r="N755" t="s">
        <v>3442</v>
      </c>
      <c r="O755">
        <v>22.3</v>
      </c>
      <c r="P755" t="s">
        <v>52</v>
      </c>
    </row>
    <row r="756" spans="1:16" ht="15" customHeight="1" x14ac:dyDescent="0.4">
      <c r="A756" t="s">
        <v>15</v>
      </c>
      <c r="B756" t="s">
        <v>16</v>
      </c>
      <c r="C756" s="13">
        <v>45292</v>
      </c>
      <c r="D756" s="13">
        <v>45657</v>
      </c>
      <c r="E756" t="s">
        <v>17</v>
      </c>
      <c r="F756">
        <v>17</v>
      </c>
      <c r="G756" t="s">
        <v>619</v>
      </c>
      <c r="H756">
        <v>6</v>
      </c>
      <c r="I756" t="s">
        <v>620</v>
      </c>
      <c r="J756">
        <v>269</v>
      </c>
      <c r="K756" t="s">
        <v>3695</v>
      </c>
      <c r="L756" s="13">
        <v>45404</v>
      </c>
      <c r="M756" t="s">
        <v>76</v>
      </c>
      <c r="N756" t="s">
        <v>3443</v>
      </c>
      <c r="O756">
        <v>17.260000000000002</v>
      </c>
      <c r="P756" t="s">
        <v>52</v>
      </c>
    </row>
    <row r="757" spans="1:16" ht="15" customHeight="1" x14ac:dyDescent="0.4">
      <c r="A757" t="s">
        <v>15</v>
      </c>
      <c r="B757" t="s">
        <v>16</v>
      </c>
      <c r="C757" s="13">
        <v>45292</v>
      </c>
      <c r="D757" s="13">
        <v>45657</v>
      </c>
      <c r="E757" t="s">
        <v>17</v>
      </c>
      <c r="F757">
        <v>17</v>
      </c>
      <c r="G757" t="s">
        <v>619</v>
      </c>
      <c r="H757">
        <v>6</v>
      </c>
      <c r="I757" t="s">
        <v>620</v>
      </c>
      <c r="J757">
        <v>269</v>
      </c>
      <c r="K757" t="s">
        <v>3695</v>
      </c>
      <c r="L757" s="13">
        <v>45457</v>
      </c>
      <c r="M757" t="s">
        <v>76</v>
      </c>
      <c r="N757" t="s">
        <v>3444</v>
      </c>
      <c r="O757">
        <v>16.5</v>
      </c>
      <c r="P757" t="s">
        <v>52</v>
      </c>
    </row>
    <row r="758" spans="1:16" ht="15" customHeight="1" x14ac:dyDescent="0.4">
      <c r="A758" t="s">
        <v>15</v>
      </c>
      <c r="B758" t="s">
        <v>16</v>
      </c>
      <c r="C758" s="13">
        <v>45292</v>
      </c>
      <c r="D758" s="13">
        <v>45657</v>
      </c>
      <c r="E758" t="s">
        <v>17</v>
      </c>
      <c r="F758">
        <v>17</v>
      </c>
      <c r="G758" t="s">
        <v>619</v>
      </c>
      <c r="H758">
        <v>6</v>
      </c>
      <c r="I758" t="s">
        <v>620</v>
      </c>
      <c r="J758">
        <v>269</v>
      </c>
      <c r="K758" t="s">
        <v>3695</v>
      </c>
      <c r="L758" s="13">
        <v>45475</v>
      </c>
      <c r="M758" t="s">
        <v>76</v>
      </c>
      <c r="N758" t="s">
        <v>3445</v>
      </c>
      <c r="O758">
        <v>18.38</v>
      </c>
      <c r="P758" t="s">
        <v>52</v>
      </c>
    </row>
    <row r="759" spans="1:16" ht="15" customHeight="1" x14ac:dyDescent="0.4">
      <c r="A759" t="s">
        <v>15</v>
      </c>
      <c r="B759" t="s">
        <v>16</v>
      </c>
      <c r="C759" s="13">
        <v>45292</v>
      </c>
      <c r="D759" s="13">
        <v>45657</v>
      </c>
      <c r="E759" t="s">
        <v>17</v>
      </c>
      <c r="F759">
        <v>17</v>
      </c>
      <c r="G759" t="s">
        <v>619</v>
      </c>
      <c r="H759">
        <v>6</v>
      </c>
      <c r="I759" t="s">
        <v>620</v>
      </c>
      <c r="J759">
        <v>269</v>
      </c>
      <c r="K759" t="s">
        <v>3695</v>
      </c>
      <c r="L759" s="13">
        <v>45495</v>
      </c>
      <c r="M759" t="s">
        <v>76</v>
      </c>
      <c r="N759" t="s">
        <v>3834</v>
      </c>
      <c r="O759">
        <v>14.65</v>
      </c>
      <c r="P759" t="s">
        <v>52</v>
      </c>
    </row>
    <row r="760" spans="1:16" ht="15" customHeight="1" x14ac:dyDescent="0.4">
      <c r="A760" t="s">
        <v>15</v>
      </c>
      <c r="B760" t="s">
        <v>16</v>
      </c>
      <c r="C760" s="13">
        <v>45292</v>
      </c>
      <c r="D760" s="13">
        <v>45657</v>
      </c>
      <c r="E760" t="s">
        <v>17</v>
      </c>
      <c r="F760">
        <v>17</v>
      </c>
      <c r="G760" t="s">
        <v>619</v>
      </c>
      <c r="H760">
        <v>6</v>
      </c>
      <c r="I760" t="s">
        <v>620</v>
      </c>
      <c r="J760">
        <v>269</v>
      </c>
      <c r="K760" t="s">
        <v>3695</v>
      </c>
      <c r="L760" s="13">
        <v>45530</v>
      </c>
      <c r="M760" t="s">
        <v>76</v>
      </c>
      <c r="N760" t="s">
        <v>3835</v>
      </c>
      <c r="O760">
        <v>21.7</v>
      </c>
      <c r="P760" t="s">
        <v>52</v>
      </c>
    </row>
    <row r="761" spans="1:16" ht="15" customHeight="1" x14ac:dyDescent="0.4">
      <c r="A761" t="s">
        <v>15</v>
      </c>
      <c r="B761" t="s">
        <v>16</v>
      </c>
      <c r="C761" s="13">
        <v>45292</v>
      </c>
      <c r="D761" s="13">
        <v>45657</v>
      </c>
      <c r="E761" t="s">
        <v>17</v>
      </c>
      <c r="F761">
        <v>17</v>
      </c>
      <c r="G761" t="s">
        <v>619</v>
      </c>
      <c r="H761">
        <v>6</v>
      </c>
      <c r="I761" t="s">
        <v>620</v>
      </c>
      <c r="J761">
        <v>269</v>
      </c>
      <c r="K761" t="s">
        <v>3695</v>
      </c>
      <c r="L761" s="13">
        <v>45587</v>
      </c>
      <c r="M761" t="s">
        <v>76</v>
      </c>
      <c r="N761" t="s">
        <v>3836</v>
      </c>
      <c r="O761">
        <v>15.29</v>
      </c>
      <c r="P761" t="s">
        <v>52</v>
      </c>
    </row>
    <row r="762" spans="1:16" ht="15" customHeight="1" x14ac:dyDescent="0.4">
      <c r="A762" t="s">
        <v>15</v>
      </c>
      <c r="B762" t="s">
        <v>16</v>
      </c>
      <c r="C762" s="13">
        <v>45292</v>
      </c>
      <c r="D762" s="13">
        <v>45657</v>
      </c>
      <c r="E762" t="s">
        <v>17</v>
      </c>
      <c r="F762">
        <v>17</v>
      </c>
      <c r="G762" t="s">
        <v>619</v>
      </c>
      <c r="H762">
        <v>6</v>
      </c>
      <c r="I762" t="s">
        <v>620</v>
      </c>
      <c r="J762">
        <v>269</v>
      </c>
      <c r="K762" t="s">
        <v>3695</v>
      </c>
      <c r="L762" s="13">
        <v>45610</v>
      </c>
      <c r="M762" t="s">
        <v>76</v>
      </c>
      <c r="N762" t="s">
        <v>3837</v>
      </c>
      <c r="O762">
        <v>19.11</v>
      </c>
      <c r="P762" t="s">
        <v>52</v>
      </c>
    </row>
    <row r="763" spans="1:16" ht="15" customHeight="1" x14ac:dyDescent="0.4">
      <c r="A763" t="s">
        <v>15</v>
      </c>
      <c r="B763" t="s">
        <v>16</v>
      </c>
      <c r="C763" s="13">
        <v>45292</v>
      </c>
      <c r="D763" s="13">
        <v>45657</v>
      </c>
      <c r="E763" t="s">
        <v>17</v>
      </c>
      <c r="F763">
        <v>17</v>
      </c>
      <c r="G763" t="s">
        <v>619</v>
      </c>
      <c r="H763">
        <v>6</v>
      </c>
      <c r="I763" t="s">
        <v>620</v>
      </c>
      <c r="J763">
        <v>269</v>
      </c>
      <c r="K763" t="s">
        <v>3695</v>
      </c>
      <c r="L763" s="13">
        <v>45618</v>
      </c>
      <c r="M763" t="s">
        <v>76</v>
      </c>
      <c r="N763" t="s">
        <v>3838</v>
      </c>
      <c r="O763">
        <v>16.34</v>
      </c>
      <c r="P763" t="s">
        <v>52</v>
      </c>
    </row>
    <row r="764" spans="1:16" ht="15" customHeight="1" x14ac:dyDescent="0.4">
      <c r="A764" t="s">
        <v>15</v>
      </c>
      <c r="B764" t="s">
        <v>16</v>
      </c>
      <c r="C764" s="13">
        <v>45292</v>
      </c>
      <c r="D764" s="13">
        <v>45657</v>
      </c>
      <c r="E764" t="s">
        <v>17</v>
      </c>
      <c r="F764">
        <v>17</v>
      </c>
      <c r="G764" t="s">
        <v>619</v>
      </c>
      <c r="H764">
        <v>6</v>
      </c>
      <c r="I764" t="s">
        <v>620</v>
      </c>
      <c r="J764">
        <v>269</v>
      </c>
      <c r="K764" t="s">
        <v>3695</v>
      </c>
      <c r="L764" s="13">
        <v>45648</v>
      </c>
      <c r="M764" t="s">
        <v>76</v>
      </c>
      <c r="N764" t="s">
        <v>3839</v>
      </c>
      <c r="O764">
        <v>18.8</v>
      </c>
      <c r="P764" t="s">
        <v>52</v>
      </c>
    </row>
    <row r="765" spans="1:16" ht="15" customHeight="1" x14ac:dyDescent="0.4">
      <c r="A765" t="s">
        <v>15</v>
      </c>
      <c r="B765" t="s">
        <v>16</v>
      </c>
      <c r="C765" s="13">
        <v>45292</v>
      </c>
      <c r="D765" s="13">
        <v>45657</v>
      </c>
      <c r="E765" t="s">
        <v>17</v>
      </c>
      <c r="F765">
        <v>17</v>
      </c>
      <c r="G765" t="s">
        <v>619</v>
      </c>
      <c r="H765">
        <v>6</v>
      </c>
      <c r="I765" t="s">
        <v>620</v>
      </c>
      <c r="J765">
        <v>269</v>
      </c>
      <c r="K765" t="s">
        <v>3695</v>
      </c>
      <c r="L765" s="13">
        <v>45657</v>
      </c>
      <c r="M765" t="s">
        <v>3944</v>
      </c>
      <c r="N765" t="s">
        <v>46</v>
      </c>
      <c r="O765">
        <v>-417.12</v>
      </c>
      <c r="P765" t="s">
        <v>46</v>
      </c>
    </row>
    <row r="766" spans="1:16" ht="15" customHeight="1" x14ac:dyDescent="0.4">
      <c r="A766" t="s">
        <v>15</v>
      </c>
      <c r="B766" t="s">
        <v>16</v>
      </c>
      <c r="C766" s="13">
        <v>44927</v>
      </c>
      <c r="D766" s="13">
        <v>45291</v>
      </c>
      <c r="E766" t="s">
        <v>17</v>
      </c>
      <c r="F766">
        <v>0</v>
      </c>
      <c r="G766" t="s">
        <v>18</v>
      </c>
      <c r="H766">
        <v>1</v>
      </c>
      <c r="I766" t="s">
        <v>19</v>
      </c>
      <c r="J766">
        <v>171</v>
      </c>
      <c r="K766" t="s">
        <v>20</v>
      </c>
      <c r="L766" s="13">
        <v>44927</v>
      </c>
      <c r="M766" t="s">
        <v>3505</v>
      </c>
      <c r="N766" t="s">
        <v>2927</v>
      </c>
      <c r="O766">
        <v>120</v>
      </c>
      <c r="P766" t="s">
        <v>23</v>
      </c>
    </row>
    <row r="767" spans="1:16" ht="15" customHeight="1" x14ac:dyDescent="0.4">
      <c r="A767" t="s">
        <v>15</v>
      </c>
      <c r="B767" t="s">
        <v>16</v>
      </c>
      <c r="C767" s="13">
        <v>44927</v>
      </c>
      <c r="D767" s="13">
        <v>45291</v>
      </c>
      <c r="E767" t="s">
        <v>17</v>
      </c>
      <c r="F767">
        <v>0</v>
      </c>
      <c r="G767" t="s">
        <v>18</v>
      </c>
      <c r="H767">
        <v>1</v>
      </c>
      <c r="I767" t="s">
        <v>19</v>
      </c>
      <c r="J767">
        <v>171</v>
      </c>
      <c r="K767" t="s">
        <v>20</v>
      </c>
      <c r="L767" s="13">
        <v>44950</v>
      </c>
      <c r="M767" t="s">
        <v>3506</v>
      </c>
      <c r="N767" t="s">
        <v>2928</v>
      </c>
      <c r="O767">
        <v>1860</v>
      </c>
      <c r="P767" t="s">
        <v>23</v>
      </c>
    </row>
    <row r="768" spans="1:16" ht="15" customHeight="1" x14ac:dyDescent="0.4">
      <c r="A768" t="s">
        <v>15</v>
      </c>
      <c r="B768" t="s">
        <v>16</v>
      </c>
      <c r="C768" s="13">
        <v>44927</v>
      </c>
      <c r="D768" s="13">
        <v>45291</v>
      </c>
      <c r="E768" t="s">
        <v>17</v>
      </c>
      <c r="F768">
        <v>0</v>
      </c>
      <c r="G768" t="s">
        <v>18</v>
      </c>
      <c r="H768">
        <v>1</v>
      </c>
      <c r="I768" t="s">
        <v>19</v>
      </c>
      <c r="J768">
        <v>171</v>
      </c>
      <c r="K768" t="s">
        <v>20</v>
      </c>
      <c r="L768" s="13">
        <v>44985</v>
      </c>
      <c r="M768" t="s">
        <v>3507</v>
      </c>
      <c r="N768" t="s">
        <v>3251</v>
      </c>
      <c r="O768">
        <v>930</v>
      </c>
      <c r="P768" t="s">
        <v>23</v>
      </c>
    </row>
    <row r="769" spans="1:16" ht="15" customHeight="1" x14ac:dyDescent="0.4">
      <c r="A769" t="s">
        <v>15</v>
      </c>
      <c r="B769" t="s">
        <v>16</v>
      </c>
      <c r="C769" s="13">
        <v>44927</v>
      </c>
      <c r="D769" s="13">
        <v>45291</v>
      </c>
      <c r="E769" t="s">
        <v>17</v>
      </c>
      <c r="F769">
        <v>0</v>
      </c>
      <c r="G769" t="s">
        <v>18</v>
      </c>
      <c r="H769">
        <v>1</v>
      </c>
      <c r="I769" t="s">
        <v>19</v>
      </c>
      <c r="J769">
        <v>171</v>
      </c>
      <c r="K769" t="s">
        <v>20</v>
      </c>
      <c r="L769" s="13">
        <v>45102</v>
      </c>
      <c r="M769" t="s">
        <v>2929</v>
      </c>
      <c r="N769" t="s">
        <v>2930</v>
      </c>
      <c r="O769">
        <v>1860</v>
      </c>
      <c r="P769" t="s">
        <v>23</v>
      </c>
    </row>
    <row r="770" spans="1:16" ht="15" customHeight="1" x14ac:dyDescent="0.4">
      <c r="A770" t="s">
        <v>15</v>
      </c>
      <c r="B770" t="s">
        <v>16</v>
      </c>
      <c r="C770" s="13">
        <v>44927</v>
      </c>
      <c r="D770" s="13">
        <v>45291</v>
      </c>
      <c r="E770" t="s">
        <v>17</v>
      </c>
      <c r="F770">
        <v>0</v>
      </c>
      <c r="G770" t="s">
        <v>18</v>
      </c>
      <c r="H770">
        <v>1</v>
      </c>
      <c r="I770" t="s">
        <v>19</v>
      </c>
      <c r="J770">
        <v>171</v>
      </c>
      <c r="K770" t="s">
        <v>20</v>
      </c>
      <c r="L770" s="13">
        <v>45138</v>
      </c>
      <c r="M770" t="s">
        <v>3508</v>
      </c>
      <c r="N770" t="s">
        <v>2931</v>
      </c>
      <c r="O770">
        <v>840</v>
      </c>
      <c r="P770" t="s">
        <v>23</v>
      </c>
    </row>
    <row r="771" spans="1:16" ht="15" customHeight="1" x14ac:dyDescent="0.4">
      <c r="A771" t="s">
        <v>15</v>
      </c>
      <c r="B771" t="s">
        <v>16</v>
      </c>
      <c r="C771" s="13">
        <v>44927</v>
      </c>
      <c r="D771" s="13">
        <v>45291</v>
      </c>
      <c r="E771" t="s">
        <v>30</v>
      </c>
      <c r="F771">
        <v>0</v>
      </c>
      <c r="G771" t="s">
        <v>18</v>
      </c>
      <c r="H771">
        <v>1</v>
      </c>
      <c r="I771" t="s">
        <v>19</v>
      </c>
      <c r="J771">
        <v>233</v>
      </c>
      <c r="K771" t="s">
        <v>31</v>
      </c>
      <c r="L771" s="13">
        <v>45006</v>
      </c>
      <c r="M771" t="s">
        <v>35</v>
      </c>
      <c r="N771" t="s">
        <v>39</v>
      </c>
      <c r="O771">
        <v>300</v>
      </c>
      <c r="P771" t="s">
        <v>34</v>
      </c>
    </row>
    <row r="772" spans="1:16" ht="15" customHeight="1" x14ac:dyDescent="0.4">
      <c r="A772" t="s">
        <v>15</v>
      </c>
      <c r="B772" t="s">
        <v>16</v>
      </c>
      <c r="C772" s="13">
        <v>44927</v>
      </c>
      <c r="D772" s="13">
        <v>45291</v>
      </c>
      <c r="E772" t="s">
        <v>30</v>
      </c>
      <c r="F772">
        <v>0</v>
      </c>
      <c r="G772" t="s">
        <v>18</v>
      </c>
      <c r="H772">
        <v>1</v>
      </c>
      <c r="I772" t="s">
        <v>19</v>
      </c>
      <c r="J772">
        <v>233</v>
      </c>
      <c r="K772" t="s">
        <v>31</v>
      </c>
      <c r="L772" s="13">
        <v>45006</v>
      </c>
      <c r="M772" t="s">
        <v>37</v>
      </c>
      <c r="N772" t="s">
        <v>2934</v>
      </c>
      <c r="O772">
        <v>240.48</v>
      </c>
      <c r="P772" t="s">
        <v>34</v>
      </c>
    </row>
    <row r="773" spans="1:16" ht="15" customHeight="1" x14ac:dyDescent="0.4">
      <c r="A773" t="s">
        <v>15</v>
      </c>
      <c r="B773" t="s">
        <v>16</v>
      </c>
      <c r="C773" s="13">
        <v>44927</v>
      </c>
      <c r="D773" s="13">
        <v>45291</v>
      </c>
      <c r="E773" t="s">
        <v>30</v>
      </c>
      <c r="F773">
        <v>0</v>
      </c>
      <c r="G773" t="s">
        <v>18</v>
      </c>
      <c r="H773">
        <v>1</v>
      </c>
      <c r="I773" t="s">
        <v>19</v>
      </c>
      <c r="J773">
        <v>233</v>
      </c>
      <c r="K773" t="s">
        <v>31</v>
      </c>
      <c r="L773" s="13">
        <v>45016</v>
      </c>
      <c r="M773" t="s">
        <v>2935</v>
      </c>
      <c r="N773" t="s">
        <v>2936</v>
      </c>
      <c r="O773">
        <v>44</v>
      </c>
      <c r="P773" t="s">
        <v>34</v>
      </c>
    </row>
    <row r="774" spans="1:16" ht="15" customHeight="1" x14ac:dyDescent="0.4">
      <c r="A774" t="s">
        <v>15</v>
      </c>
      <c r="B774" t="s">
        <v>16</v>
      </c>
      <c r="C774" s="13">
        <v>44927</v>
      </c>
      <c r="D774" s="13">
        <v>45291</v>
      </c>
      <c r="E774" t="s">
        <v>30</v>
      </c>
      <c r="F774">
        <v>0</v>
      </c>
      <c r="G774" t="s">
        <v>18</v>
      </c>
      <c r="H774">
        <v>1</v>
      </c>
      <c r="I774" t="s">
        <v>19</v>
      </c>
      <c r="J774">
        <v>233</v>
      </c>
      <c r="K774" t="s">
        <v>31</v>
      </c>
      <c r="L774" s="13">
        <v>45042</v>
      </c>
      <c r="M774" t="s">
        <v>37</v>
      </c>
      <c r="N774" t="s">
        <v>38</v>
      </c>
      <c r="O774">
        <v>464.36</v>
      </c>
      <c r="P774" t="s">
        <v>34</v>
      </c>
    </row>
    <row r="775" spans="1:16" ht="15" customHeight="1" x14ac:dyDescent="0.4">
      <c r="A775" t="s">
        <v>15</v>
      </c>
      <c r="B775" t="s">
        <v>16</v>
      </c>
      <c r="C775" s="13">
        <v>44927</v>
      </c>
      <c r="D775" s="13">
        <v>45291</v>
      </c>
      <c r="E775" t="s">
        <v>30</v>
      </c>
      <c r="F775">
        <v>0</v>
      </c>
      <c r="G775" t="s">
        <v>18</v>
      </c>
      <c r="H775">
        <v>1</v>
      </c>
      <c r="I775" t="s">
        <v>19</v>
      </c>
      <c r="J775">
        <v>233</v>
      </c>
      <c r="K775" t="s">
        <v>31</v>
      </c>
      <c r="L775" s="13">
        <v>45042</v>
      </c>
      <c r="M775" t="s">
        <v>35</v>
      </c>
      <c r="N775" t="s">
        <v>39</v>
      </c>
      <c r="O775">
        <v>300</v>
      </c>
      <c r="P775" t="s">
        <v>34</v>
      </c>
    </row>
    <row r="776" spans="1:16" ht="15" customHeight="1" x14ac:dyDescent="0.4">
      <c r="A776" t="s">
        <v>15</v>
      </c>
      <c r="B776" t="s">
        <v>16</v>
      </c>
      <c r="C776" s="13">
        <v>44927</v>
      </c>
      <c r="D776" s="13">
        <v>45291</v>
      </c>
      <c r="E776" t="s">
        <v>30</v>
      </c>
      <c r="F776">
        <v>0</v>
      </c>
      <c r="G776" t="s">
        <v>18</v>
      </c>
      <c r="H776">
        <v>1</v>
      </c>
      <c r="I776" t="s">
        <v>19</v>
      </c>
      <c r="J776">
        <v>233</v>
      </c>
      <c r="K776" t="s">
        <v>31</v>
      </c>
      <c r="L776" s="13">
        <v>45283</v>
      </c>
      <c r="M776" t="s">
        <v>2937</v>
      </c>
      <c r="N776" t="s">
        <v>46</v>
      </c>
      <c r="O776">
        <v>40</v>
      </c>
      <c r="P776" t="s">
        <v>46</v>
      </c>
    </row>
    <row r="777" spans="1:16" ht="15" customHeight="1" x14ac:dyDescent="0.4">
      <c r="A777" t="s">
        <v>15</v>
      </c>
      <c r="B777" t="s">
        <v>16</v>
      </c>
      <c r="C777" s="13">
        <v>44927</v>
      </c>
      <c r="D777" s="13">
        <v>45291</v>
      </c>
      <c r="E777" t="s">
        <v>17</v>
      </c>
      <c r="F777">
        <v>0</v>
      </c>
      <c r="G777" t="s">
        <v>18</v>
      </c>
      <c r="H777">
        <v>1</v>
      </c>
      <c r="I777" t="s">
        <v>19</v>
      </c>
      <c r="J777">
        <v>242</v>
      </c>
      <c r="K777" t="s">
        <v>40</v>
      </c>
      <c r="L777" s="13">
        <v>44973</v>
      </c>
      <c r="M777" t="s">
        <v>2940</v>
      </c>
      <c r="N777" t="s">
        <v>2941</v>
      </c>
      <c r="O777">
        <v>1719.55</v>
      </c>
      <c r="P777" t="s">
        <v>43</v>
      </c>
    </row>
    <row r="778" spans="1:16" ht="15" customHeight="1" x14ac:dyDescent="0.4">
      <c r="A778" t="s">
        <v>15</v>
      </c>
      <c r="B778" t="s">
        <v>16</v>
      </c>
      <c r="C778" s="13">
        <v>44927</v>
      </c>
      <c r="D778" s="13">
        <v>45291</v>
      </c>
      <c r="E778" t="s">
        <v>17</v>
      </c>
      <c r="F778">
        <v>0</v>
      </c>
      <c r="G778" t="s">
        <v>18</v>
      </c>
      <c r="H778">
        <v>1</v>
      </c>
      <c r="I778" t="s">
        <v>19</v>
      </c>
      <c r="J778">
        <v>242</v>
      </c>
      <c r="K778" t="s">
        <v>40</v>
      </c>
      <c r="L778" s="13">
        <v>45291</v>
      </c>
      <c r="M778" t="s">
        <v>48</v>
      </c>
      <c r="N778" t="s">
        <v>45</v>
      </c>
      <c r="O778">
        <v>-124.25</v>
      </c>
      <c r="P778" t="s">
        <v>46</v>
      </c>
    </row>
    <row r="779" spans="1:16" ht="15" customHeight="1" x14ac:dyDescent="0.4">
      <c r="A779" t="s">
        <v>15</v>
      </c>
      <c r="B779" t="s">
        <v>16</v>
      </c>
      <c r="C779" s="13">
        <v>44927</v>
      </c>
      <c r="D779" s="13">
        <v>45291</v>
      </c>
      <c r="E779" t="s">
        <v>17</v>
      </c>
      <c r="F779">
        <v>0</v>
      </c>
      <c r="G779" t="s">
        <v>18</v>
      </c>
      <c r="H779">
        <v>1</v>
      </c>
      <c r="I779" t="s">
        <v>19</v>
      </c>
      <c r="J779">
        <v>242</v>
      </c>
      <c r="K779" t="s">
        <v>40</v>
      </c>
      <c r="L779" s="13">
        <v>45291</v>
      </c>
      <c r="M779" t="s">
        <v>44</v>
      </c>
      <c r="N779" t="s">
        <v>45</v>
      </c>
      <c r="O779">
        <v>-372.74</v>
      </c>
      <c r="P779" t="s">
        <v>46</v>
      </c>
    </row>
    <row r="780" spans="1:16" ht="15" customHeight="1" x14ac:dyDescent="0.4">
      <c r="A780" t="s">
        <v>15</v>
      </c>
      <c r="B780" t="s">
        <v>16</v>
      </c>
      <c r="C780" s="13">
        <v>44927</v>
      </c>
      <c r="D780" s="13">
        <v>45291</v>
      </c>
      <c r="E780" t="s">
        <v>17</v>
      </c>
      <c r="F780">
        <v>0</v>
      </c>
      <c r="G780" t="s">
        <v>18</v>
      </c>
      <c r="H780">
        <v>1</v>
      </c>
      <c r="I780" t="s">
        <v>19</v>
      </c>
      <c r="J780">
        <v>242</v>
      </c>
      <c r="K780" t="s">
        <v>40</v>
      </c>
      <c r="L780" s="13">
        <v>45291</v>
      </c>
      <c r="M780" t="s">
        <v>47</v>
      </c>
      <c r="N780" t="s">
        <v>45</v>
      </c>
      <c r="O780">
        <v>-496.99</v>
      </c>
      <c r="P780" t="s">
        <v>46</v>
      </c>
    </row>
    <row r="781" spans="1:16" ht="15" customHeight="1" x14ac:dyDescent="0.4">
      <c r="A781" t="s">
        <v>15</v>
      </c>
      <c r="B781" t="s">
        <v>16</v>
      </c>
      <c r="C781" s="13">
        <v>44927</v>
      </c>
      <c r="D781" s="13">
        <v>45291</v>
      </c>
      <c r="E781" t="s">
        <v>17</v>
      </c>
      <c r="F781">
        <v>0</v>
      </c>
      <c r="G781" t="s">
        <v>18</v>
      </c>
      <c r="H781">
        <v>1</v>
      </c>
      <c r="I781" t="s">
        <v>19</v>
      </c>
      <c r="J781">
        <v>268</v>
      </c>
      <c r="K781" t="s">
        <v>3585</v>
      </c>
      <c r="L781" s="13">
        <v>44946</v>
      </c>
      <c r="M781" t="s">
        <v>2942</v>
      </c>
      <c r="N781" t="s">
        <v>2943</v>
      </c>
      <c r="O781">
        <v>27.96</v>
      </c>
      <c r="P781" t="s">
        <v>52</v>
      </c>
    </row>
    <row r="782" spans="1:16" ht="15" customHeight="1" x14ac:dyDescent="0.4">
      <c r="A782" t="s">
        <v>15</v>
      </c>
      <c r="B782" t="s">
        <v>16</v>
      </c>
      <c r="C782" s="13">
        <v>44927</v>
      </c>
      <c r="D782" s="13">
        <v>45291</v>
      </c>
      <c r="E782" t="s">
        <v>17</v>
      </c>
      <c r="F782">
        <v>0</v>
      </c>
      <c r="G782" t="s">
        <v>18</v>
      </c>
      <c r="H782">
        <v>1</v>
      </c>
      <c r="I782" t="s">
        <v>19</v>
      </c>
      <c r="J782">
        <v>268</v>
      </c>
      <c r="K782" t="s">
        <v>3585</v>
      </c>
      <c r="L782" s="13">
        <v>44979</v>
      </c>
      <c r="M782" t="s">
        <v>2944</v>
      </c>
      <c r="N782" t="s">
        <v>2945</v>
      </c>
      <c r="O782">
        <v>22.49</v>
      </c>
      <c r="P782" t="s">
        <v>52</v>
      </c>
    </row>
    <row r="783" spans="1:16" ht="15" customHeight="1" x14ac:dyDescent="0.4">
      <c r="A783" t="s">
        <v>15</v>
      </c>
      <c r="B783" t="s">
        <v>16</v>
      </c>
      <c r="C783" s="13">
        <v>44927</v>
      </c>
      <c r="D783" s="13">
        <v>45291</v>
      </c>
      <c r="E783" t="s">
        <v>17</v>
      </c>
      <c r="F783">
        <v>0</v>
      </c>
      <c r="G783" t="s">
        <v>18</v>
      </c>
      <c r="H783">
        <v>1</v>
      </c>
      <c r="I783" t="s">
        <v>19</v>
      </c>
      <c r="J783">
        <v>268</v>
      </c>
      <c r="K783" t="s">
        <v>3585</v>
      </c>
      <c r="L783" s="13">
        <v>45030</v>
      </c>
      <c r="M783" t="s">
        <v>2946</v>
      </c>
      <c r="N783" t="s">
        <v>2947</v>
      </c>
      <c r="O783">
        <v>13.7</v>
      </c>
      <c r="P783" t="s">
        <v>52</v>
      </c>
    </row>
    <row r="784" spans="1:16" ht="15" customHeight="1" x14ac:dyDescent="0.4">
      <c r="A784" t="s">
        <v>15</v>
      </c>
      <c r="B784" t="s">
        <v>16</v>
      </c>
      <c r="C784" s="13">
        <v>44927</v>
      </c>
      <c r="D784" s="13">
        <v>45291</v>
      </c>
      <c r="E784" t="s">
        <v>17</v>
      </c>
      <c r="F784">
        <v>0</v>
      </c>
      <c r="G784" t="s">
        <v>18</v>
      </c>
      <c r="H784">
        <v>1</v>
      </c>
      <c r="I784" t="s">
        <v>19</v>
      </c>
      <c r="J784">
        <v>268</v>
      </c>
      <c r="K784" t="s">
        <v>3585</v>
      </c>
      <c r="L784" s="13">
        <v>45036</v>
      </c>
      <c r="M784" t="s">
        <v>3509</v>
      </c>
      <c r="N784" t="s">
        <v>2948</v>
      </c>
      <c r="O784">
        <v>13.21</v>
      </c>
      <c r="P784" t="s">
        <v>52</v>
      </c>
    </row>
    <row r="785" spans="1:16" ht="15" customHeight="1" x14ac:dyDescent="0.4">
      <c r="A785" t="s">
        <v>15</v>
      </c>
      <c r="B785" t="s">
        <v>16</v>
      </c>
      <c r="C785" s="13">
        <v>44927</v>
      </c>
      <c r="D785" s="13">
        <v>45291</v>
      </c>
      <c r="E785" t="s">
        <v>17</v>
      </c>
      <c r="F785">
        <v>0</v>
      </c>
      <c r="G785" t="s">
        <v>18</v>
      </c>
      <c r="H785">
        <v>1</v>
      </c>
      <c r="I785" t="s">
        <v>19</v>
      </c>
      <c r="J785">
        <v>268</v>
      </c>
      <c r="K785" t="s">
        <v>3585</v>
      </c>
      <c r="L785" s="13">
        <v>45069</v>
      </c>
      <c r="M785" t="s">
        <v>3510</v>
      </c>
      <c r="N785" t="s">
        <v>2949</v>
      </c>
      <c r="O785">
        <v>17.170000000000002</v>
      </c>
      <c r="P785" t="s">
        <v>52</v>
      </c>
    </row>
    <row r="786" spans="1:16" ht="15" customHeight="1" x14ac:dyDescent="0.4">
      <c r="A786" t="s">
        <v>15</v>
      </c>
      <c r="B786" t="s">
        <v>16</v>
      </c>
      <c r="C786" s="13">
        <v>44927</v>
      </c>
      <c r="D786" s="13">
        <v>45291</v>
      </c>
      <c r="E786" t="s">
        <v>17</v>
      </c>
      <c r="F786">
        <v>0</v>
      </c>
      <c r="G786" t="s">
        <v>18</v>
      </c>
      <c r="H786">
        <v>1</v>
      </c>
      <c r="I786" t="s">
        <v>19</v>
      </c>
      <c r="J786">
        <v>268</v>
      </c>
      <c r="K786" t="s">
        <v>3585</v>
      </c>
      <c r="L786" s="13">
        <v>45099</v>
      </c>
      <c r="M786" t="s">
        <v>3511</v>
      </c>
      <c r="N786" t="s">
        <v>2950</v>
      </c>
      <c r="O786">
        <v>21.45</v>
      </c>
      <c r="P786" t="s">
        <v>52</v>
      </c>
    </row>
    <row r="787" spans="1:16" ht="15" customHeight="1" x14ac:dyDescent="0.4">
      <c r="A787" t="s">
        <v>15</v>
      </c>
      <c r="B787" t="s">
        <v>16</v>
      </c>
      <c r="C787" s="13">
        <v>44927</v>
      </c>
      <c r="D787" s="13">
        <v>45291</v>
      </c>
      <c r="E787" t="s">
        <v>17</v>
      </c>
      <c r="F787">
        <v>0</v>
      </c>
      <c r="G787" t="s">
        <v>18</v>
      </c>
      <c r="H787">
        <v>1</v>
      </c>
      <c r="I787" t="s">
        <v>19</v>
      </c>
      <c r="J787">
        <v>268</v>
      </c>
      <c r="K787" t="s">
        <v>3585</v>
      </c>
      <c r="L787" s="13">
        <v>45131</v>
      </c>
      <c r="M787" t="s">
        <v>2951</v>
      </c>
      <c r="N787" t="s">
        <v>2952</v>
      </c>
      <c r="O787">
        <v>20.81</v>
      </c>
      <c r="P787" t="s">
        <v>52</v>
      </c>
    </row>
    <row r="788" spans="1:16" ht="15" customHeight="1" x14ac:dyDescent="0.4">
      <c r="A788" t="s">
        <v>15</v>
      </c>
      <c r="B788" t="s">
        <v>16</v>
      </c>
      <c r="C788" s="13">
        <v>44927</v>
      </c>
      <c r="D788" s="13">
        <v>45291</v>
      </c>
      <c r="E788" t="s">
        <v>17</v>
      </c>
      <c r="F788">
        <v>0</v>
      </c>
      <c r="G788" t="s">
        <v>18</v>
      </c>
      <c r="H788">
        <v>1</v>
      </c>
      <c r="I788" t="s">
        <v>19</v>
      </c>
      <c r="J788">
        <v>268</v>
      </c>
      <c r="K788" t="s">
        <v>3585</v>
      </c>
      <c r="L788" s="13">
        <v>45166</v>
      </c>
      <c r="M788" t="s">
        <v>2953</v>
      </c>
      <c r="N788" t="s">
        <v>2954</v>
      </c>
      <c r="O788">
        <v>24.51</v>
      </c>
      <c r="P788" t="s">
        <v>52</v>
      </c>
    </row>
    <row r="789" spans="1:16" ht="15" customHeight="1" x14ac:dyDescent="0.4">
      <c r="A789" t="s">
        <v>15</v>
      </c>
      <c r="B789" t="s">
        <v>16</v>
      </c>
      <c r="C789" s="13">
        <v>44927</v>
      </c>
      <c r="D789" s="13">
        <v>45291</v>
      </c>
      <c r="E789" t="s">
        <v>17</v>
      </c>
      <c r="F789">
        <v>0</v>
      </c>
      <c r="G789" t="s">
        <v>18</v>
      </c>
      <c r="H789">
        <v>1</v>
      </c>
      <c r="I789" t="s">
        <v>19</v>
      </c>
      <c r="J789">
        <v>268</v>
      </c>
      <c r="K789" t="s">
        <v>3585</v>
      </c>
      <c r="L789" s="13">
        <v>45194</v>
      </c>
      <c r="M789" t="s">
        <v>2955</v>
      </c>
      <c r="N789" t="s">
        <v>2956</v>
      </c>
      <c r="O789">
        <v>27.49</v>
      </c>
      <c r="P789" t="s">
        <v>52</v>
      </c>
    </row>
    <row r="790" spans="1:16" ht="15" customHeight="1" x14ac:dyDescent="0.4">
      <c r="A790" t="s">
        <v>15</v>
      </c>
      <c r="B790" t="s">
        <v>16</v>
      </c>
      <c r="C790" s="13">
        <v>44927</v>
      </c>
      <c r="D790" s="13">
        <v>45291</v>
      </c>
      <c r="E790" t="s">
        <v>17</v>
      </c>
      <c r="F790">
        <v>0</v>
      </c>
      <c r="G790" t="s">
        <v>18</v>
      </c>
      <c r="H790">
        <v>1</v>
      </c>
      <c r="I790" t="s">
        <v>19</v>
      </c>
      <c r="J790">
        <v>268</v>
      </c>
      <c r="K790" t="s">
        <v>3585</v>
      </c>
      <c r="L790" s="13">
        <v>45222</v>
      </c>
      <c r="M790" t="s">
        <v>3512</v>
      </c>
      <c r="N790" t="s">
        <v>2957</v>
      </c>
      <c r="O790">
        <v>25.54</v>
      </c>
      <c r="P790" t="s">
        <v>52</v>
      </c>
    </row>
    <row r="791" spans="1:16" ht="15" customHeight="1" x14ac:dyDescent="0.4">
      <c r="A791" t="s">
        <v>15</v>
      </c>
      <c r="B791" t="s">
        <v>16</v>
      </c>
      <c r="C791" s="13">
        <v>44927</v>
      </c>
      <c r="D791" s="13">
        <v>45291</v>
      </c>
      <c r="E791" t="s">
        <v>17</v>
      </c>
      <c r="F791">
        <v>0</v>
      </c>
      <c r="G791" t="s">
        <v>18</v>
      </c>
      <c r="H791">
        <v>1</v>
      </c>
      <c r="I791" t="s">
        <v>19</v>
      </c>
      <c r="J791">
        <v>268</v>
      </c>
      <c r="K791" t="s">
        <v>3585</v>
      </c>
      <c r="L791" s="13">
        <v>45251</v>
      </c>
      <c r="M791" t="s">
        <v>3513</v>
      </c>
      <c r="N791" t="s">
        <v>2958</v>
      </c>
      <c r="O791">
        <v>25.64</v>
      </c>
      <c r="P791" t="s">
        <v>52</v>
      </c>
    </row>
    <row r="792" spans="1:16" ht="15" customHeight="1" x14ac:dyDescent="0.4">
      <c r="A792" t="s">
        <v>15</v>
      </c>
      <c r="B792" t="s">
        <v>16</v>
      </c>
      <c r="C792" s="13">
        <v>44927</v>
      </c>
      <c r="D792" s="13">
        <v>45291</v>
      </c>
      <c r="E792" t="s">
        <v>17</v>
      </c>
      <c r="F792">
        <v>0</v>
      </c>
      <c r="G792" t="s">
        <v>18</v>
      </c>
      <c r="H792">
        <v>1</v>
      </c>
      <c r="I792" t="s">
        <v>19</v>
      </c>
      <c r="J792">
        <v>268</v>
      </c>
      <c r="K792" t="s">
        <v>3585</v>
      </c>
      <c r="L792" s="13">
        <v>45281</v>
      </c>
      <c r="M792" t="s">
        <v>3514</v>
      </c>
      <c r="N792" t="s">
        <v>2924</v>
      </c>
      <c r="O792">
        <v>12.81</v>
      </c>
      <c r="P792" t="s">
        <v>52</v>
      </c>
    </row>
    <row r="793" spans="1:16" ht="15" customHeight="1" x14ac:dyDescent="0.4">
      <c r="A793" t="s">
        <v>15</v>
      </c>
      <c r="B793" t="s">
        <v>16</v>
      </c>
      <c r="C793" s="13">
        <v>44927</v>
      </c>
      <c r="D793" s="13">
        <v>45291</v>
      </c>
      <c r="E793" t="s">
        <v>17</v>
      </c>
      <c r="F793">
        <v>0</v>
      </c>
      <c r="G793" t="s">
        <v>18</v>
      </c>
      <c r="H793">
        <v>1</v>
      </c>
      <c r="I793" t="s">
        <v>19</v>
      </c>
      <c r="J793">
        <v>269</v>
      </c>
      <c r="K793" t="s">
        <v>3589</v>
      </c>
      <c r="L793" s="13">
        <v>44946</v>
      </c>
      <c r="M793" t="s">
        <v>2942</v>
      </c>
      <c r="N793" t="s">
        <v>2943</v>
      </c>
      <c r="O793">
        <v>209.68</v>
      </c>
      <c r="P793" t="s">
        <v>52</v>
      </c>
    </row>
    <row r="794" spans="1:16" ht="15" customHeight="1" x14ac:dyDescent="0.4">
      <c r="A794" t="s">
        <v>15</v>
      </c>
      <c r="B794" t="s">
        <v>16</v>
      </c>
      <c r="C794" s="13">
        <v>44927</v>
      </c>
      <c r="D794" s="13">
        <v>45291</v>
      </c>
      <c r="E794" t="s">
        <v>17</v>
      </c>
      <c r="F794">
        <v>0</v>
      </c>
      <c r="G794" t="s">
        <v>18</v>
      </c>
      <c r="H794">
        <v>1</v>
      </c>
      <c r="I794" t="s">
        <v>19</v>
      </c>
      <c r="J794">
        <v>269</v>
      </c>
      <c r="K794" t="s">
        <v>3589</v>
      </c>
      <c r="L794" s="13">
        <v>44979</v>
      </c>
      <c r="M794" t="s">
        <v>2944</v>
      </c>
      <c r="N794" t="s">
        <v>2945</v>
      </c>
      <c r="O794">
        <v>168.71</v>
      </c>
      <c r="P794" t="s">
        <v>52</v>
      </c>
    </row>
    <row r="795" spans="1:16" ht="15" customHeight="1" x14ac:dyDescent="0.4">
      <c r="A795" t="s">
        <v>15</v>
      </c>
      <c r="B795" t="s">
        <v>16</v>
      </c>
      <c r="C795" s="13">
        <v>44927</v>
      </c>
      <c r="D795" s="13">
        <v>45291</v>
      </c>
      <c r="E795" t="s">
        <v>17</v>
      </c>
      <c r="F795">
        <v>0</v>
      </c>
      <c r="G795" t="s">
        <v>18</v>
      </c>
      <c r="H795">
        <v>1</v>
      </c>
      <c r="I795" t="s">
        <v>19</v>
      </c>
      <c r="J795">
        <v>269</v>
      </c>
      <c r="K795" t="s">
        <v>3589</v>
      </c>
      <c r="L795" s="13">
        <v>45030</v>
      </c>
      <c r="M795" t="s">
        <v>2946</v>
      </c>
      <c r="N795" t="s">
        <v>2947</v>
      </c>
      <c r="O795">
        <v>102.79</v>
      </c>
      <c r="P795" t="s">
        <v>52</v>
      </c>
    </row>
    <row r="796" spans="1:16" ht="15" customHeight="1" x14ac:dyDescent="0.4">
      <c r="A796" t="s">
        <v>15</v>
      </c>
      <c r="B796" t="s">
        <v>16</v>
      </c>
      <c r="C796" s="13">
        <v>44927</v>
      </c>
      <c r="D796" s="13">
        <v>45291</v>
      </c>
      <c r="E796" t="s">
        <v>17</v>
      </c>
      <c r="F796">
        <v>0</v>
      </c>
      <c r="G796" t="s">
        <v>18</v>
      </c>
      <c r="H796">
        <v>1</v>
      </c>
      <c r="I796" t="s">
        <v>19</v>
      </c>
      <c r="J796">
        <v>269</v>
      </c>
      <c r="K796" t="s">
        <v>3589</v>
      </c>
      <c r="L796" s="13">
        <v>45036</v>
      </c>
      <c r="M796" t="s">
        <v>3515</v>
      </c>
      <c r="N796" t="s">
        <v>2948</v>
      </c>
      <c r="O796">
        <v>99.09</v>
      </c>
      <c r="P796" t="s">
        <v>52</v>
      </c>
    </row>
    <row r="797" spans="1:16" ht="15" customHeight="1" x14ac:dyDescent="0.4">
      <c r="A797" t="s">
        <v>15</v>
      </c>
      <c r="B797" t="s">
        <v>16</v>
      </c>
      <c r="C797" s="13">
        <v>44927</v>
      </c>
      <c r="D797" s="13">
        <v>45291</v>
      </c>
      <c r="E797" t="s">
        <v>17</v>
      </c>
      <c r="F797">
        <v>0</v>
      </c>
      <c r="G797" t="s">
        <v>18</v>
      </c>
      <c r="H797">
        <v>1</v>
      </c>
      <c r="I797" t="s">
        <v>19</v>
      </c>
      <c r="J797">
        <v>269</v>
      </c>
      <c r="K797" t="s">
        <v>3589</v>
      </c>
      <c r="L797" s="13">
        <v>45069</v>
      </c>
      <c r="M797" t="s">
        <v>3510</v>
      </c>
      <c r="N797" t="s">
        <v>2949</v>
      </c>
      <c r="O797">
        <v>128.76</v>
      </c>
      <c r="P797" t="s">
        <v>52</v>
      </c>
    </row>
    <row r="798" spans="1:16" ht="15" customHeight="1" x14ac:dyDescent="0.4">
      <c r="A798" t="s">
        <v>15</v>
      </c>
      <c r="B798" t="s">
        <v>16</v>
      </c>
      <c r="C798" s="13">
        <v>44927</v>
      </c>
      <c r="D798" s="13">
        <v>45291</v>
      </c>
      <c r="E798" t="s">
        <v>17</v>
      </c>
      <c r="F798">
        <v>0</v>
      </c>
      <c r="G798" t="s">
        <v>18</v>
      </c>
      <c r="H798">
        <v>1</v>
      </c>
      <c r="I798" t="s">
        <v>19</v>
      </c>
      <c r="J798">
        <v>269</v>
      </c>
      <c r="K798" t="s">
        <v>3589</v>
      </c>
      <c r="L798" s="13">
        <v>45099</v>
      </c>
      <c r="M798" t="s">
        <v>3511</v>
      </c>
      <c r="N798" t="s">
        <v>2950</v>
      </c>
      <c r="O798">
        <v>160.85</v>
      </c>
      <c r="P798" t="s">
        <v>52</v>
      </c>
    </row>
    <row r="799" spans="1:16" ht="15" customHeight="1" x14ac:dyDescent="0.4">
      <c r="A799" t="s">
        <v>15</v>
      </c>
      <c r="B799" t="s">
        <v>16</v>
      </c>
      <c r="C799" s="13">
        <v>44927</v>
      </c>
      <c r="D799" s="13">
        <v>45291</v>
      </c>
      <c r="E799" t="s">
        <v>17</v>
      </c>
      <c r="F799">
        <v>0</v>
      </c>
      <c r="G799" t="s">
        <v>18</v>
      </c>
      <c r="H799">
        <v>1</v>
      </c>
      <c r="I799" t="s">
        <v>19</v>
      </c>
      <c r="J799">
        <v>269</v>
      </c>
      <c r="K799" t="s">
        <v>3589</v>
      </c>
      <c r="L799" s="13">
        <v>45131</v>
      </c>
      <c r="M799" t="s">
        <v>2951</v>
      </c>
      <c r="N799" t="s">
        <v>2952</v>
      </c>
      <c r="O799">
        <v>156.05000000000001</v>
      </c>
      <c r="P799" t="s">
        <v>52</v>
      </c>
    </row>
    <row r="800" spans="1:16" ht="15" customHeight="1" x14ac:dyDescent="0.4">
      <c r="A800" t="s">
        <v>15</v>
      </c>
      <c r="B800" t="s">
        <v>16</v>
      </c>
      <c r="C800" s="13">
        <v>44927</v>
      </c>
      <c r="D800" s="13">
        <v>45291</v>
      </c>
      <c r="E800" t="s">
        <v>17</v>
      </c>
      <c r="F800">
        <v>0</v>
      </c>
      <c r="G800" t="s">
        <v>18</v>
      </c>
      <c r="H800">
        <v>1</v>
      </c>
      <c r="I800" t="s">
        <v>19</v>
      </c>
      <c r="J800">
        <v>269</v>
      </c>
      <c r="K800" t="s">
        <v>3589</v>
      </c>
      <c r="L800" s="13">
        <v>45166</v>
      </c>
      <c r="M800" t="s">
        <v>2953</v>
      </c>
      <c r="N800" t="s">
        <v>2954</v>
      </c>
      <c r="O800">
        <v>183.82</v>
      </c>
      <c r="P800" t="s">
        <v>52</v>
      </c>
    </row>
    <row r="801" spans="1:16" ht="15" customHeight="1" x14ac:dyDescent="0.4">
      <c r="A801" t="s">
        <v>15</v>
      </c>
      <c r="B801" t="s">
        <v>16</v>
      </c>
      <c r="C801" s="13">
        <v>44927</v>
      </c>
      <c r="D801" s="13">
        <v>45291</v>
      </c>
      <c r="E801" t="s">
        <v>17</v>
      </c>
      <c r="F801">
        <v>0</v>
      </c>
      <c r="G801" t="s">
        <v>18</v>
      </c>
      <c r="H801">
        <v>1</v>
      </c>
      <c r="I801" t="s">
        <v>19</v>
      </c>
      <c r="J801">
        <v>269</v>
      </c>
      <c r="K801" t="s">
        <v>3589</v>
      </c>
      <c r="L801" s="13">
        <v>45194</v>
      </c>
      <c r="M801" t="s">
        <v>2955</v>
      </c>
      <c r="N801" t="s">
        <v>2956</v>
      </c>
      <c r="O801">
        <v>206.19</v>
      </c>
      <c r="P801" t="s">
        <v>52</v>
      </c>
    </row>
    <row r="802" spans="1:16" ht="15" customHeight="1" x14ac:dyDescent="0.4">
      <c r="A802" t="s">
        <v>15</v>
      </c>
      <c r="B802" t="s">
        <v>16</v>
      </c>
      <c r="C802" s="13">
        <v>44927</v>
      </c>
      <c r="D802" s="13">
        <v>45291</v>
      </c>
      <c r="E802" t="s">
        <v>17</v>
      </c>
      <c r="F802">
        <v>0</v>
      </c>
      <c r="G802" t="s">
        <v>18</v>
      </c>
      <c r="H802">
        <v>1</v>
      </c>
      <c r="I802" t="s">
        <v>19</v>
      </c>
      <c r="J802">
        <v>269</v>
      </c>
      <c r="K802" t="s">
        <v>3589</v>
      </c>
      <c r="L802" s="13">
        <v>45222</v>
      </c>
      <c r="M802" t="s">
        <v>3512</v>
      </c>
      <c r="N802" t="s">
        <v>2957</v>
      </c>
      <c r="O802">
        <v>191.59</v>
      </c>
      <c r="P802" t="s">
        <v>52</v>
      </c>
    </row>
    <row r="803" spans="1:16" ht="15" customHeight="1" x14ac:dyDescent="0.4">
      <c r="A803" t="s">
        <v>15</v>
      </c>
      <c r="B803" t="s">
        <v>16</v>
      </c>
      <c r="C803" s="13">
        <v>44927</v>
      </c>
      <c r="D803" s="13">
        <v>45291</v>
      </c>
      <c r="E803" t="s">
        <v>17</v>
      </c>
      <c r="F803">
        <v>0</v>
      </c>
      <c r="G803" t="s">
        <v>18</v>
      </c>
      <c r="H803">
        <v>1</v>
      </c>
      <c r="I803" t="s">
        <v>19</v>
      </c>
      <c r="J803">
        <v>269</v>
      </c>
      <c r="K803" t="s">
        <v>3589</v>
      </c>
      <c r="L803" s="13">
        <v>45251</v>
      </c>
      <c r="M803" t="s">
        <v>3513</v>
      </c>
      <c r="N803" t="s">
        <v>2958</v>
      </c>
      <c r="O803">
        <v>192.32</v>
      </c>
      <c r="P803" t="s">
        <v>52</v>
      </c>
    </row>
    <row r="804" spans="1:16" ht="15" customHeight="1" x14ac:dyDescent="0.4">
      <c r="A804" t="s">
        <v>15</v>
      </c>
      <c r="B804" t="s">
        <v>16</v>
      </c>
      <c r="C804" s="13">
        <v>44927</v>
      </c>
      <c r="D804" s="13">
        <v>45291</v>
      </c>
      <c r="E804" t="s">
        <v>17</v>
      </c>
      <c r="F804">
        <v>0</v>
      </c>
      <c r="G804" t="s">
        <v>18</v>
      </c>
      <c r="H804">
        <v>1</v>
      </c>
      <c r="I804" t="s">
        <v>19</v>
      </c>
      <c r="J804">
        <v>269</v>
      </c>
      <c r="K804" t="s">
        <v>3589</v>
      </c>
      <c r="L804" s="13">
        <v>45281</v>
      </c>
      <c r="M804" t="s">
        <v>3516</v>
      </c>
      <c r="N804" t="s">
        <v>2924</v>
      </c>
      <c r="O804">
        <v>96.06</v>
      </c>
      <c r="P804" t="s">
        <v>52</v>
      </c>
    </row>
    <row r="805" spans="1:16" ht="15" customHeight="1" x14ac:dyDescent="0.4">
      <c r="A805" t="s">
        <v>15</v>
      </c>
      <c r="B805" t="s">
        <v>16</v>
      </c>
      <c r="C805" s="13">
        <v>44927</v>
      </c>
      <c r="D805" s="13">
        <v>45291</v>
      </c>
      <c r="E805" t="s">
        <v>17</v>
      </c>
      <c r="F805">
        <v>0</v>
      </c>
      <c r="G805" t="s">
        <v>18</v>
      </c>
      <c r="H805">
        <v>1</v>
      </c>
      <c r="I805" t="s">
        <v>19</v>
      </c>
      <c r="J805">
        <v>269</v>
      </c>
      <c r="K805" t="s">
        <v>3589</v>
      </c>
      <c r="L805" s="13">
        <v>45291</v>
      </c>
      <c r="M805" t="s">
        <v>77</v>
      </c>
      <c r="N805" t="s">
        <v>46</v>
      </c>
      <c r="O805">
        <v>-1895.91</v>
      </c>
      <c r="P805" t="s">
        <v>46</v>
      </c>
    </row>
    <row r="806" spans="1:16" ht="15" customHeight="1" x14ac:dyDescent="0.4">
      <c r="A806" t="s">
        <v>15</v>
      </c>
      <c r="B806" t="s">
        <v>16</v>
      </c>
      <c r="C806" s="13">
        <v>44927</v>
      </c>
      <c r="D806" s="13">
        <v>45291</v>
      </c>
      <c r="E806" t="s">
        <v>17</v>
      </c>
      <c r="F806">
        <v>0</v>
      </c>
      <c r="G806" t="s">
        <v>18</v>
      </c>
      <c r="H806">
        <v>1</v>
      </c>
      <c r="I806" t="s">
        <v>19</v>
      </c>
      <c r="J806">
        <v>281</v>
      </c>
      <c r="K806" t="s">
        <v>78</v>
      </c>
      <c r="L806" s="13">
        <v>45007</v>
      </c>
      <c r="M806" t="s">
        <v>2961</v>
      </c>
      <c r="N806" t="s">
        <v>2962</v>
      </c>
      <c r="O806">
        <v>6168.88</v>
      </c>
      <c r="P806" t="s">
        <v>81</v>
      </c>
    </row>
    <row r="807" spans="1:16" ht="15" customHeight="1" x14ac:dyDescent="0.4">
      <c r="A807" t="s">
        <v>15</v>
      </c>
      <c r="B807" t="s">
        <v>16</v>
      </c>
      <c r="C807" s="13">
        <v>44927</v>
      </c>
      <c r="D807" s="13">
        <v>45291</v>
      </c>
      <c r="E807" t="s">
        <v>17</v>
      </c>
      <c r="F807">
        <v>0</v>
      </c>
      <c r="G807" t="s">
        <v>18</v>
      </c>
      <c r="H807">
        <v>1</v>
      </c>
      <c r="I807" t="s">
        <v>19</v>
      </c>
      <c r="J807">
        <v>281</v>
      </c>
      <c r="K807" t="s">
        <v>78</v>
      </c>
      <c r="L807" s="13">
        <v>45174</v>
      </c>
      <c r="M807" t="s">
        <v>2963</v>
      </c>
      <c r="N807" t="s">
        <v>2964</v>
      </c>
      <c r="O807">
        <v>7122.94</v>
      </c>
      <c r="P807" t="s">
        <v>81</v>
      </c>
    </row>
    <row r="808" spans="1:16" ht="15" customHeight="1" x14ac:dyDescent="0.4">
      <c r="A808" t="s">
        <v>15</v>
      </c>
      <c r="B808" t="s">
        <v>16</v>
      </c>
      <c r="C808" s="13">
        <v>44927</v>
      </c>
      <c r="D808" s="13">
        <v>45291</v>
      </c>
      <c r="E808" t="s">
        <v>17</v>
      </c>
      <c r="F808">
        <v>0</v>
      </c>
      <c r="G808" t="s">
        <v>18</v>
      </c>
      <c r="H808">
        <v>1</v>
      </c>
      <c r="I808" t="s">
        <v>19</v>
      </c>
      <c r="J808">
        <v>281</v>
      </c>
      <c r="K808" t="s">
        <v>78</v>
      </c>
      <c r="L808" s="13">
        <v>45291</v>
      </c>
      <c r="M808" t="s">
        <v>85</v>
      </c>
      <c r="N808" t="s">
        <v>86</v>
      </c>
      <c r="O808">
        <v>-8279.14</v>
      </c>
      <c r="P808" t="s">
        <v>46</v>
      </c>
    </row>
    <row r="809" spans="1:16" ht="15" customHeight="1" x14ac:dyDescent="0.4">
      <c r="A809" t="s">
        <v>15</v>
      </c>
      <c r="B809" t="s">
        <v>16</v>
      </c>
      <c r="C809" s="13">
        <v>44927</v>
      </c>
      <c r="D809" s="13">
        <v>45291</v>
      </c>
      <c r="E809" t="s">
        <v>17</v>
      </c>
      <c r="F809">
        <v>0</v>
      </c>
      <c r="G809" t="s">
        <v>18</v>
      </c>
      <c r="H809">
        <v>1</v>
      </c>
      <c r="I809" t="s">
        <v>19</v>
      </c>
      <c r="J809">
        <v>281</v>
      </c>
      <c r="K809" t="s">
        <v>78</v>
      </c>
      <c r="L809" s="13">
        <v>45291</v>
      </c>
      <c r="M809" t="s">
        <v>87</v>
      </c>
      <c r="N809" t="s">
        <v>86</v>
      </c>
      <c r="O809">
        <v>-1770.87</v>
      </c>
      <c r="P809" t="s">
        <v>46</v>
      </c>
    </row>
    <row r="810" spans="1:16" ht="15" customHeight="1" x14ac:dyDescent="0.4">
      <c r="A810" t="s">
        <v>15</v>
      </c>
      <c r="B810" t="s">
        <v>16</v>
      </c>
      <c r="C810" s="13">
        <v>44927</v>
      </c>
      <c r="D810" s="13">
        <v>45291</v>
      </c>
      <c r="E810" t="s">
        <v>17</v>
      </c>
      <c r="F810">
        <v>0</v>
      </c>
      <c r="G810" t="s">
        <v>18</v>
      </c>
      <c r="H810">
        <v>1</v>
      </c>
      <c r="I810" t="s">
        <v>19</v>
      </c>
      <c r="J810">
        <v>281</v>
      </c>
      <c r="K810" t="s">
        <v>78</v>
      </c>
      <c r="L810" s="13">
        <v>45291</v>
      </c>
      <c r="M810" t="s">
        <v>3517</v>
      </c>
      <c r="N810" t="s">
        <v>46</v>
      </c>
      <c r="O810">
        <v>-419.09</v>
      </c>
      <c r="P810" t="s">
        <v>46</v>
      </c>
    </row>
    <row r="811" spans="1:16" ht="15" customHeight="1" x14ac:dyDescent="0.4">
      <c r="A811" t="s">
        <v>15</v>
      </c>
      <c r="B811" t="s">
        <v>16</v>
      </c>
      <c r="C811" s="13">
        <v>44927</v>
      </c>
      <c r="D811" s="13">
        <v>45291</v>
      </c>
      <c r="E811" t="s">
        <v>17</v>
      </c>
      <c r="F811">
        <v>0</v>
      </c>
      <c r="G811" t="s">
        <v>18</v>
      </c>
      <c r="H811">
        <v>1</v>
      </c>
      <c r="I811" t="s">
        <v>19</v>
      </c>
      <c r="J811">
        <v>281</v>
      </c>
      <c r="K811" t="s">
        <v>78</v>
      </c>
      <c r="L811" s="13">
        <v>45291</v>
      </c>
      <c r="M811" t="s">
        <v>88</v>
      </c>
      <c r="N811" t="s">
        <v>86</v>
      </c>
      <c r="O811">
        <v>-45.2</v>
      </c>
      <c r="P811" t="s">
        <v>46</v>
      </c>
    </row>
    <row r="812" spans="1:16" ht="15" customHeight="1" x14ac:dyDescent="0.4">
      <c r="A812" t="s">
        <v>15</v>
      </c>
      <c r="B812" t="s">
        <v>16</v>
      </c>
      <c r="C812" s="13">
        <v>44927</v>
      </c>
      <c r="D812" s="13">
        <v>45291</v>
      </c>
      <c r="E812" t="s">
        <v>17</v>
      </c>
      <c r="F812">
        <v>0</v>
      </c>
      <c r="G812" t="s">
        <v>18</v>
      </c>
      <c r="H812">
        <v>1</v>
      </c>
      <c r="I812" t="s">
        <v>19</v>
      </c>
      <c r="J812">
        <v>281</v>
      </c>
      <c r="K812" t="s">
        <v>78</v>
      </c>
      <c r="L812" s="13">
        <v>45291</v>
      </c>
      <c r="M812" t="s">
        <v>89</v>
      </c>
      <c r="N812" t="s">
        <v>86</v>
      </c>
      <c r="O812">
        <v>-1277.82</v>
      </c>
      <c r="P812" t="s">
        <v>46</v>
      </c>
    </row>
    <row r="813" spans="1:16" ht="15" customHeight="1" x14ac:dyDescent="0.4">
      <c r="A813" t="s">
        <v>15</v>
      </c>
      <c r="B813" t="s">
        <v>16</v>
      </c>
      <c r="C813" s="13">
        <v>44927</v>
      </c>
      <c r="D813" s="13">
        <v>45291</v>
      </c>
      <c r="E813" t="s">
        <v>17</v>
      </c>
      <c r="F813">
        <v>0</v>
      </c>
      <c r="G813" t="s">
        <v>18</v>
      </c>
      <c r="H813">
        <v>1</v>
      </c>
      <c r="I813" t="s">
        <v>19</v>
      </c>
      <c r="J813">
        <v>281</v>
      </c>
      <c r="K813" t="s">
        <v>78</v>
      </c>
      <c r="L813" s="13">
        <v>45291</v>
      </c>
      <c r="M813" t="s">
        <v>90</v>
      </c>
      <c r="N813" t="s">
        <v>86</v>
      </c>
      <c r="O813">
        <v>-1499.7</v>
      </c>
      <c r="P813" t="s">
        <v>46</v>
      </c>
    </row>
    <row r="814" spans="1:16" ht="15" customHeight="1" x14ac:dyDescent="0.4">
      <c r="A814" t="s">
        <v>15</v>
      </c>
      <c r="B814" t="s">
        <v>16</v>
      </c>
      <c r="C814" s="13">
        <v>44927</v>
      </c>
      <c r="D814" s="13">
        <v>45291</v>
      </c>
      <c r="E814" t="s">
        <v>17</v>
      </c>
      <c r="F814">
        <v>0</v>
      </c>
      <c r="G814" t="s">
        <v>18</v>
      </c>
      <c r="H814">
        <v>1</v>
      </c>
      <c r="I814" t="s">
        <v>19</v>
      </c>
      <c r="J814">
        <v>285</v>
      </c>
      <c r="K814" t="s">
        <v>91</v>
      </c>
      <c r="L814" s="13">
        <v>45007</v>
      </c>
      <c r="M814" t="s">
        <v>2959</v>
      </c>
      <c r="N814" t="s">
        <v>2960</v>
      </c>
      <c r="O814">
        <v>2520.3000000000002</v>
      </c>
      <c r="P814" t="s">
        <v>81</v>
      </c>
    </row>
    <row r="815" spans="1:16" ht="15" customHeight="1" x14ac:dyDescent="0.4">
      <c r="A815" t="s">
        <v>15</v>
      </c>
      <c r="B815" t="s">
        <v>16</v>
      </c>
      <c r="C815" s="13">
        <v>44927</v>
      </c>
      <c r="D815" s="13">
        <v>45291</v>
      </c>
      <c r="E815" t="s">
        <v>17</v>
      </c>
      <c r="F815">
        <v>0</v>
      </c>
      <c r="G815" t="s">
        <v>18</v>
      </c>
      <c r="H815">
        <v>1</v>
      </c>
      <c r="I815" t="s">
        <v>19</v>
      </c>
      <c r="J815">
        <v>285</v>
      </c>
      <c r="K815" t="s">
        <v>91</v>
      </c>
      <c r="L815" s="13">
        <v>45181</v>
      </c>
      <c r="M815" t="s">
        <v>3518</v>
      </c>
      <c r="N815" t="s">
        <v>2965</v>
      </c>
      <c r="O815">
        <v>1211.6099999999999</v>
      </c>
      <c r="P815" t="s">
        <v>81</v>
      </c>
    </row>
    <row r="816" spans="1:16" ht="15" customHeight="1" x14ac:dyDescent="0.4">
      <c r="A816" t="s">
        <v>15</v>
      </c>
      <c r="B816" t="s">
        <v>16</v>
      </c>
      <c r="C816" s="13">
        <v>44927</v>
      </c>
      <c r="D816" s="13">
        <v>45291</v>
      </c>
      <c r="E816" t="s">
        <v>17</v>
      </c>
      <c r="F816">
        <v>0</v>
      </c>
      <c r="G816" t="s">
        <v>18</v>
      </c>
      <c r="H816">
        <v>1</v>
      </c>
      <c r="I816" t="s">
        <v>19</v>
      </c>
      <c r="J816">
        <v>289</v>
      </c>
      <c r="K816" t="s">
        <v>96</v>
      </c>
      <c r="L816" s="13">
        <v>45291</v>
      </c>
      <c r="M816" t="s">
        <v>3519</v>
      </c>
      <c r="N816" t="s">
        <v>98</v>
      </c>
      <c r="O816">
        <v>22.62</v>
      </c>
      <c r="P816" t="s">
        <v>46</v>
      </c>
    </row>
    <row r="817" spans="1:16" ht="15" customHeight="1" x14ac:dyDescent="0.4">
      <c r="A817" t="s">
        <v>15</v>
      </c>
      <c r="B817" t="s">
        <v>16</v>
      </c>
      <c r="C817" s="13">
        <v>44927</v>
      </c>
      <c r="D817" s="13">
        <v>45291</v>
      </c>
      <c r="E817" t="s">
        <v>17</v>
      </c>
      <c r="F817">
        <v>0</v>
      </c>
      <c r="G817" t="s">
        <v>18</v>
      </c>
      <c r="H817">
        <v>1</v>
      </c>
      <c r="I817" t="s">
        <v>19</v>
      </c>
      <c r="J817">
        <v>289</v>
      </c>
      <c r="K817" t="s">
        <v>96</v>
      </c>
      <c r="L817" s="13">
        <v>45291</v>
      </c>
      <c r="M817" t="s">
        <v>3520</v>
      </c>
      <c r="N817" t="s">
        <v>86</v>
      </c>
      <c r="O817">
        <v>45.2</v>
      </c>
      <c r="P817" t="s">
        <v>46</v>
      </c>
    </row>
    <row r="818" spans="1:16" ht="15" customHeight="1" x14ac:dyDescent="0.4">
      <c r="A818" t="s">
        <v>15</v>
      </c>
      <c r="B818" t="s">
        <v>16</v>
      </c>
      <c r="C818" s="13">
        <v>44927</v>
      </c>
      <c r="D818" s="13">
        <v>45291</v>
      </c>
      <c r="E818" t="s">
        <v>17</v>
      </c>
      <c r="F818">
        <v>0</v>
      </c>
      <c r="G818" t="s">
        <v>18</v>
      </c>
      <c r="H818">
        <v>1</v>
      </c>
      <c r="I818" t="s">
        <v>19</v>
      </c>
      <c r="J818">
        <v>308</v>
      </c>
      <c r="K818" t="s">
        <v>100</v>
      </c>
      <c r="L818" s="13">
        <v>45036</v>
      </c>
      <c r="M818" t="s">
        <v>2966</v>
      </c>
      <c r="N818" t="s">
        <v>659</v>
      </c>
      <c r="O818">
        <v>93.6</v>
      </c>
      <c r="P818" t="s">
        <v>103</v>
      </c>
    </row>
    <row r="819" spans="1:16" ht="15" customHeight="1" x14ac:dyDescent="0.4">
      <c r="A819" t="s">
        <v>15</v>
      </c>
      <c r="B819" t="s">
        <v>16</v>
      </c>
      <c r="C819" s="13">
        <v>44927</v>
      </c>
      <c r="D819" s="13">
        <v>45291</v>
      </c>
      <c r="E819" t="s">
        <v>17</v>
      </c>
      <c r="F819">
        <v>0</v>
      </c>
      <c r="G819" t="s">
        <v>18</v>
      </c>
      <c r="H819">
        <v>1</v>
      </c>
      <c r="I819" t="s">
        <v>19</v>
      </c>
      <c r="J819">
        <v>321</v>
      </c>
      <c r="K819" t="s">
        <v>104</v>
      </c>
      <c r="L819" s="13">
        <v>44928</v>
      </c>
      <c r="M819" t="s">
        <v>2967</v>
      </c>
      <c r="N819" t="s">
        <v>106</v>
      </c>
      <c r="O819">
        <v>-0.11</v>
      </c>
      <c r="P819" t="s">
        <v>107</v>
      </c>
    </row>
    <row r="820" spans="1:16" ht="15" customHeight="1" x14ac:dyDescent="0.4">
      <c r="A820" t="s">
        <v>15</v>
      </c>
      <c r="B820" t="s">
        <v>16</v>
      </c>
      <c r="C820" s="13">
        <v>44927</v>
      </c>
      <c r="D820" s="13">
        <v>45291</v>
      </c>
      <c r="E820" t="s">
        <v>17</v>
      </c>
      <c r="F820">
        <v>0</v>
      </c>
      <c r="G820" t="s">
        <v>18</v>
      </c>
      <c r="H820">
        <v>1</v>
      </c>
      <c r="I820" t="s">
        <v>19</v>
      </c>
      <c r="J820">
        <v>321</v>
      </c>
      <c r="K820" t="s">
        <v>104</v>
      </c>
      <c r="L820" s="13">
        <v>44956</v>
      </c>
      <c r="M820" t="s">
        <v>2968</v>
      </c>
      <c r="N820" t="s">
        <v>2969</v>
      </c>
      <c r="O820">
        <v>2245.38</v>
      </c>
      <c r="P820" t="s">
        <v>34</v>
      </c>
    </row>
    <row r="821" spans="1:16" ht="15" customHeight="1" x14ac:dyDescent="0.4">
      <c r="A821" t="s">
        <v>15</v>
      </c>
      <c r="B821" t="s">
        <v>16</v>
      </c>
      <c r="C821" s="13">
        <v>44927</v>
      </c>
      <c r="D821" s="13">
        <v>45291</v>
      </c>
      <c r="E821" t="s">
        <v>17</v>
      </c>
      <c r="F821">
        <v>0</v>
      </c>
      <c r="G821" t="s">
        <v>18</v>
      </c>
      <c r="H821">
        <v>1</v>
      </c>
      <c r="I821" t="s">
        <v>19</v>
      </c>
      <c r="J821">
        <v>321</v>
      </c>
      <c r="K821" t="s">
        <v>104</v>
      </c>
      <c r="L821" s="13">
        <v>44963</v>
      </c>
      <c r="M821" t="s">
        <v>2970</v>
      </c>
      <c r="N821" t="s">
        <v>106</v>
      </c>
      <c r="O821">
        <v>0.49</v>
      </c>
      <c r="P821" t="s">
        <v>107</v>
      </c>
    </row>
    <row r="822" spans="1:16" ht="15" customHeight="1" x14ac:dyDescent="0.4">
      <c r="A822" t="s">
        <v>15</v>
      </c>
      <c r="B822" t="s">
        <v>16</v>
      </c>
      <c r="C822" s="13">
        <v>44927</v>
      </c>
      <c r="D822" s="13">
        <v>45291</v>
      </c>
      <c r="E822" t="s">
        <v>17</v>
      </c>
      <c r="F822">
        <v>0</v>
      </c>
      <c r="G822" t="s">
        <v>18</v>
      </c>
      <c r="H822">
        <v>1</v>
      </c>
      <c r="I822" t="s">
        <v>19</v>
      </c>
      <c r="J822">
        <v>321</v>
      </c>
      <c r="K822" t="s">
        <v>104</v>
      </c>
      <c r="L822" s="13">
        <v>44984</v>
      </c>
      <c r="M822" t="s">
        <v>2971</v>
      </c>
      <c r="N822" t="s">
        <v>2972</v>
      </c>
      <c r="O822">
        <v>942</v>
      </c>
      <c r="P822" t="s">
        <v>34</v>
      </c>
    </row>
    <row r="823" spans="1:16" ht="15" customHeight="1" x14ac:dyDescent="0.4">
      <c r="A823" t="s">
        <v>15</v>
      </c>
      <c r="B823" t="s">
        <v>16</v>
      </c>
      <c r="C823" s="13">
        <v>44927</v>
      </c>
      <c r="D823" s="13">
        <v>45291</v>
      </c>
      <c r="E823" t="s">
        <v>17</v>
      </c>
      <c r="F823">
        <v>0</v>
      </c>
      <c r="G823" t="s">
        <v>18</v>
      </c>
      <c r="H823">
        <v>1</v>
      </c>
      <c r="I823" t="s">
        <v>19</v>
      </c>
      <c r="J823">
        <v>321</v>
      </c>
      <c r="K823" t="s">
        <v>104</v>
      </c>
      <c r="L823" s="13">
        <v>44984</v>
      </c>
      <c r="M823" t="s">
        <v>2973</v>
      </c>
      <c r="N823" t="s">
        <v>2972</v>
      </c>
      <c r="O823">
        <v>1306.72</v>
      </c>
      <c r="P823" t="s">
        <v>34</v>
      </c>
    </row>
    <row r="824" spans="1:16" ht="15" customHeight="1" x14ac:dyDescent="0.4">
      <c r="A824" t="s">
        <v>15</v>
      </c>
      <c r="B824" t="s">
        <v>16</v>
      </c>
      <c r="C824" s="13">
        <v>44927</v>
      </c>
      <c r="D824" s="13">
        <v>45291</v>
      </c>
      <c r="E824" t="s">
        <v>17</v>
      </c>
      <c r="F824">
        <v>0</v>
      </c>
      <c r="G824" t="s">
        <v>18</v>
      </c>
      <c r="H824">
        <v>1</v>
      </c>
      <c r="I824" t="s">
        <v>19</v>
      </c>
      <c r="J824">
        <v>321</v>
      </c>
      <c r="K824" t="s">
        <v>104</v>
      </c>
      <c r="L824" s="13">
        <v>44985</v>
      </c>
      <c r="M824" t="s">
        <v>2974</v>
      </c>
      <c r="N824" t="s">
        <v>106</v>
      </c>
      <c r="O824">
        <v>0.15</v>
      </c>
      <c r="P824" t="s">
        <v>107</v>
      </c>
    </row>
    <row r="825" spans="1:16" ht="15" customHeight="1" x14ac:dyDescent="0.4">
      <c r="A825" t="s">
        <v>15</v>
      </c>
      <c r="B825" t="s">
        <v>16</v>
      </c>
      <c r="C825" s="13">
        <v>44927</v>
      </c>
      <c r="D825" s="13">
        <v>45291</v>
      </c>
      <c r="E825" t="s">
        <v>17</v>
      </c>
      <c r="F825">
        <v>0</v>
      </c>
      <c r="G825" t="s">
        <v>18</v>
      </c>
      <c r="H825">
        <v>1</v>
      </c>
      <c r="I825" t="s">
        <v>19</v>
      </c>
      <c r="J825">
        <v>321</v>
      </c>
      <c r="K825" t="s">
        <v>104</v>
      </c>
      <c r="L825" s="13">
        <v>45012</v>
      </c>
      <c r="M825" t="s">
        <v>2977</v>
      </c>
      <c r="N825" t="s">
        <v>2976</v>
      </c>
      <c r="O825">
        <v>1419.02</v>
      </c>
      <c r="P825" t="s">
        <v>34</v>
      </c>
    </row>
    <row r="826" spans="1:16" ht="15" customHeight="1" x14ac:dyDescent="0.4">
      <c r="A826" t="s">
        <v>15</v>
      </c>
      <c r="B826" t="s">
        <v>16</v>
      </c>
      <c r="C826" s="13">
        <v>44927</v>
      </c>
      <c r="D826" s="13">
        <v>45291</v>
      </c>
      <c r="E826" t="s">
        <v>17</v>
      </c>
      <c r="F826">
        <v>0</v>
      </c>
      <c r="G826" t="s">
        <v>18</v>
      </c>
      <c r="H826">
        <v>1</v>
      </c>
      <c r="I826" t="s">
        <v>19</v>
      </c>
      <c r="J826">
        <v>321</v>
      </c>
      <c r="K826" t="s">
        <v>104</v>
      </c>
      <c r="L826" s="13">
        <v>45012</v>
      </c>
      <c r="M826" t="s">
        <v>2975</v>
      </c>
      <c r="N826" t="s">
        <v>2976</v>
      </c>
      <c r="O826">
        <v>983.16</v>
      </c>
      <c r="P826" t="s">
        <v>34</v>
      </c>
    </row>
    <row r="827" spans="1:16" ht="15" customHeight="1" x14ac:dyDescent="0.4">
      <c r="A827" t="s">
        <v>15</v>
      </c>
      <c r="B827" t="s">
        <v>16</v>
      </c>
      <c r="C827" s="13">
        <v>44927</v>
      </c>
      <c r="D827" s="13">
        <v>45291</v>
      </c>
      <c r="E827" t="s">
        <v>17</v>
      </c>
      <c r="F827">
        <v>0</v>
      </c>
      <c r="G827" t="s">
        <v>18</v>
      </c>
      <c r="H827">
        <v>1</v>
      </c>
      <c r="I827" t="s">
        <v>19</v>
      </c>
      <c r="J827">
        <v>321</v>
      </c>
      <c r="K827" t="s">
        <v>104</v>
      </c>
      <c r="L827" s="13">
        <v>45016</v>
      </c>
      <c r="M827" t="s">
        <v>2978</v>
      </c>
      <c r="N827" t="s">
        <v>106</v>
      </c>
      <c r="O827">
        <v>-0.33</v>
      </c>
      <c r="P827" t="s">
        <v>107</v>
      </c>
    </row>
    <row r="828" spans="1:16" ht="15" customHeight="1" x14ac:dyDescent="0.4">
      <c r="A828" t="s">
        <v>15</v>
      </c>
      <c r="B828" t="s">
        <v>16</v>
      </c>
      <c r="C828" s="13">
        <v>44927</v>
      </c>
      <c r="D828" s="13">
        <v>45291</v>
      </c>
      <c r="E828" t="s">
        <v>17</v>
      </c>
      <c r="F828">
        <v>0</v>
      </c>
      <c r="G828" t="s">
        <v>18</v>
      </c>
      <c r="H828">
        <v>1</v>
      </c>
      <c r="I828" t="s">
        <v>19</v>
      </c>
      <c r="J828">
        <v>321</v>
      </c>
      <c r="K828" t="s">
        <v>104</v>
      </c>
      <c r="L828" s="13">
        <v>45041</v>
      </c>
      <c r="M828" t="s">
        <v>2979</v>
      </c>
      <c r="N828" t="s">
        <v>2980</v>
      </c>
      <c r="O828">
        <v>2472.7800000000002</v>
      </c>
      <c r="P828" t="s">
        <v>34</v>
      </c>
    </row>
    <row r="829" spans="1:16" ht="15" customHeight="1" x14ac:dyDescent="0.4">
      <c r="A829" t="s">
        <v>15</v>
      </c>
      <c r="B829" t="s">
        <v>16</v>
      </c>
      <c r="C829" s="13">
        <v>44927</v>
      </c>
      <c r="D829" s="13">
        <v>45291</v>
      </c>
      <c r="E829" t="s">
        <v>17</v>
      </c>
      <c r="F829">
        <v>0</v>
      </c>
      <c r="G829" t="s">
        <v>18</v>
      </c>
      <c r="H829">
        <v>1</v>
      </c>
      <c r="I829" t="s">
        <v>19</v>
      </c>
      <c r="J829">
        <v>321</v>
      </c>
      <c r="K829" t="s">
        <v>104</v>
      </c>
      <c r="L829" s="13">
        <v>45058</v>
      </c>
      <c r="M829" t="s">
        <v>2981</v>
      </c>
      <c r="N829" t="s">
        <v>106</v>
      </c>
      <c r="O829">
        <v>-0.31</v>
      </c>
      <c r="P829" t="s">
        <v>107</v>
      </c>
    </row>
    <row r="830" spans="1:16" ht="15" customHeight="1" x14ac:dyDescent="0.4">
      <c r="A830" t="s">
        <v>15</v>
      </c>
      <c r="B830" t="s">
        <v>16</v>
      </c>
      <c r="C830" s="13">
        <v>44927</v>
      </c>
      <c r="D830" s="13">
        <v>45291</v>
      </c>
      <c r="E830" t="s">
        <v>17</v>
      </c>
      <c r="F830">
        <v>0</v>
      </c>
      <c r="G830" t="s">
        <v>18</v>
      </c>
      <c r="H830">
        <v>1</v>
      </c>
      <c r="I830" t="s">
        <v>19</v>
      </c>
      <c r="J830">
        <v>321</v>
      </c>
      <c r="K830" t="s">
        <v>104</v>
      </c>
      <c r="L830" s="13">
        <v>45076</v>
      </c>
      <c r="M830" t="s">
        <v>2982</v>
      </c>
      <c r="N830" t="s">
        <v>2983</v>
      </c>
      <c r="O830">
        <v>2530.73</v>
      </c>
      <c r="P830" t="s">
        <v>34</v>
      </c>
    </row>
    <row r="831" spans="1:16" ht="15" customHeight="1" x14ac:dyDescent="0.4">
      <c r="A831" t="s">
        <v>15</v>
      </c>
      <c r="B831" t="s">
        <v>16</v>
      </c>
      <c r="C831" s="13">
        <v>44927</v>
      </c>
      <c r="D831" s="13">
        <v>45291</v>
      </c>
      <c r="E831" t="s">
        <v>17</v>
      </c>
      <c r="F831">
        <v>0</v>
      </c>
      <c r="G831" t="s">
        <v>18</v>
      </c>
      <c r="H831">
        <v>1</v>
      </c>
      <c r="I831" t="s">
        <v>19</v>
      </c>
      <c r="J831">
        <v>321</v>
      </c>
      <c r="K831" t="s">
        <v>104</v>
      </c>
      <c r="L831" s="13">
        <v>45077</v>
      </c>
      <c r="M831" t="s">
        <v>2984</v>
      </c>
      <c r="N831" t="s">
        <v>106</v>
      </c>
      <c r="O831">
        <v>-0.28000000000000003</v>
      </c>
      <c r="P831" t="s">
        <v>107</v>
      </c>
    </row>
    <row r="832" spans="1:16" ht="15" customHeight="1" x14ac:dyDescent="0.4">
      <c r="A832" t="s">
        <v>15</v>
      </c>
      <c r="B832" t="s">
        <v>16</v>
      </c>
      <c r="C832" s="13">
        <v>44927</v>
      </c>
      <c r="D832" s="13">
        <v>45291</v>
      </c>
      <c r="E832" t="s">
        <v>17</v>
      </c>
      <c r="F832">
        <v>0</v>
      </c>
      <c r="G832" t="s">
        <v>18</v>
      </c>
      <c r="H832">
        <v>1</v>
      </c>
      <c r="I832" t="s">
        <v>19</v>
      </c>
      <c r="J832">
        <v>321</v>
      </c>
      <c r="K832" t="s">
        <v>104</v>
      </c>
      <c r="L832" s="13">
        <v>45104</v>
      </c>
      <c r="M832" t="s">
        <v>2985</v>
      </c>
      <c r="N832" t="s">
        <v>2986</v>
      </c>
      <c r="O832">
        <v>2546.73</v>
      </c>
      <c r="P832" t="s">
        <v>34</v>
      </c>
    </row>
    <row r="833" spans="1:16" ht="15" customHeight="1" x14ac:dyDescent="0.4">
      <c r="A833" t="s">
        <v>15</v>
      </c>
      <c r="B833" t="s">
        <v>16</v>
      </c>
      <c r="C833" s="13">
        <v>44927</v>
      </c>
      <c r="D833" s="13">
        <v>45291</v>
      </c>
      <c r="E833" t="s">
        <v>17</v>
      </c>
      <c r="F833">
        <v>0</v>
      </c>
      <c r="G833" t="s">
        <v>18</v>
      </c>
      <c r="H833">
        <v>1</v>
      </c>
      <c r="I833" t="s">
        <v>19</v>
      </c>
      <c r="J833">
        <v>321</v>
      </c>
      <c r="K833" t="s">
        <v>104</v>
      </c>
      <c r="L833" s="13">
        <v>45107</v>
      </c>
      <c r="M833" t="s">
        <v>2987</v>
      </c>
      <c r="N833" t="s">
        <v>106</v>
      </c>
      <c r="O833">
        <v>0.45</v>
      </c>
      <c r="P833" t="s">
        <v>107</v>
      </c>
    </row>
    <row r="834" spans="1:16" ht="15" customHeight="1" x14ac:dyDescent="0.4">
      <c r="A834" t="s">
        <v>15</v>
      </c>
      <c r="B834" t="s">
        <v>16</v>
      </c>
      <c r="C834" s="13">
        <v>44927</v>
      </c>
      <c r="D834" s="13">
        <v>45291</v>
      </c>
      <c r="E834" t="s">
        <v>17</v>
      </c>
      <c r="F834">
        <v>0</v>
      </c>
      <c r="G834" t="s">
        <v>18</v>
      </c>
      <c r="H834">
        <v>1</v>
      </c>
      <c r="I834" t="s">
        <v>19</v>
      </c>
      <c r="J834">
        <v>321</v>
      </c>
      <c r="K834" t="s">
        <v>104</v>
      </c>
      <c r="L834" s="13">
        <v>45134</v>
      </c>
      <c r="M834" t="s">
        <v>2988</v>
      </c>
      <c r="N834" t="s">
        <v>2989</v>
      </c>
      <c r="O834">
        <v>2418.33</v>
      </c>
      <c r="P834" t="s">
        <v>34</v>
      </c>
    </row>
    <row r="835" spans="1:16" ht="15" customHeight="1" x14ac:dyDescent="0.4">
      <c r="A835" t="s">
        <v>15</v>
      </c>
      <c r="B835" t="s">
        <v>16</v>
      </c>
      <c r="C835" s="13">
        <v>44927</v>
      </c>
      <c r="D835" s="13">
        <v>45291</v>
      </c>
      <c r="E835" t="s">
        <v>17</v>
      </c>
      <c r="F835">
        <v>0</v>
      </c>
      <c r="G835" t="s">
        <v>18</v>
      </c>
      <c r="H835">
        <v>1</v>
      </c>
      <c r="I835" t="s">
        <v>19</v>
      </c>
      <c r="J835">
        <v>321</v>
      </c>
      <c r="K835" t="s">
        <v>104</v>
      </c>
      <c r="L835" s="13">
        <v>45138</v>
      </c>
      <c r="M835" t="s">
        <v>2990</v>
      </c>
      <c r="N835" t="s">
        <v>106</v>
      </c>
      <c r="O835">
        <v>-0.4</v>
      </c>
      <c r="P835" t="s">
        <v>107</v>
      </c>
    </row>
    <row r="836" spans="1:16" ht="15" customHeight="1" x14ac:dyDescent="0.4">
      <c r="A836" t="s">
        <v>15</v>
      </c>
      <c r="B836" t="s">
        <v>16</v>
      </c>
      <c r="C836" s="13">
        <v>44927</v>
      </c>
      <c r="D836" s="13">
        <v>45291</v>
      </c>
      <c r="E836" t="s">
        <v>17</v>
      </c>
      <c r="F836">
        <v>0</v>
      </c>
      <c r="G836" t="s">
        <v>18</v>
      </c>
      <c r="H836">
        <v>1</v>
      </c>
      <c r="I836" t="s">
        <v>19</v>
      </c>
      <c r="J836">
        <v>321</v>
      </c>
      <c r="K836" t="s">
        <v>104</v>
      </c>
      <c r="L836" s="13">
        <v>45163</v>
      </c>
      <c r="M836" t="s">
        <v>2991</v>
      </c>
      <c r="N836" t="s">
        <v>2992</v>
      </c>
      <c r="O836">
        <v>2530.73</v>
      </c>
      <c r="P836" t="s">
        <v>34</v>
      </c>
    </row>
    <row r="837" spans="1:16" ht="15" customHeight="1" x14ac:dyDescent="0.4">
      <c r="A837" t="s">
        <v>15</v>
      </c>
      <c r="B837" t="s">
        <v>16</v>
      </c>
      <c r="C837" s="13">
        <v>44927</v>
      </c>
      <c r="D837" s="13">
        <v>45291</v>
      </c>
      <c r="E837" t="s">
        <v>17</v>
      </c>
      <c r="F837">
        <v>0</v>
      </c>
      <c r="G837" t="s">
        <v>18</v>
      </c>
      <c r="H837">
        <v>1</v>
      </c>
      <c r="I837" t="s">
        <v>19</v>
      </c>
      <c r="J837">
        <v>321</v>
      </c>
      <c r="K837" t="s">
        <v>104</v>
      </c>
      <c r="L837" s="13">
        <v>45169</v>
      </c>
      <c r="M837" t="s">
        <v>2993</v>
      </c>
      <c r="N837" t="s">
        <v>106</v>
      </c>
      <c r="O837">
        <v>-0.28000000000000003</v>
      </c>
      <c r="P837" t="s">
        <v>107</v>
      </c>
    </row>
    <row r="838" spans="1:16" ht="15" customHeight="1" x14ac:dyDescent="0.4">
      <c r="A838" t="s">
        <v>15</v>
      </c>
      <c r="B838" t="s">
        <v>16</v>
      </c>
      <c r="C838" s="13">
        <v>44927</v>
      </c>
      <c r="D838" s="13">
        <v>45291</v>
      </c>
      <c r="E838" t="s">
        <v>17</v>
      </c>
      <c r="F838">
        <v>0</v>
      </c>
      <c r="G838" t="s">
        <v>18</v>
      </c>
      <c r="H838">
        <v>1</v>
      </c>
      <c r="I838" t="s">
        <v>19</v>
      </c>
      <c r="J838">
        <v>321</v>
      </c>
      <c r="K838" t="s">
        <v>104</v>
      </c>
      <c r="L838" s="13">
        <v>45195</v>
      </c>
      <c r="M838" t="s">
        <v>2994</v>
      </c>
      <c r="N838" t="s">
        <v>2995</v>
      </c>
      <c r="O838">
        <v>2530.73</v>
      </c>
      <c r="P838" t="s">
        <v>34</v>
      </c>
    </row>
    <row r="839" spans="1:16" ht="15" customHeight="1" x14ac:dyDescent="0.4">
      <c r="A839" t="s">
        <v>15</v>
      </c>
      <c r="B839" t="s">
        <v>16</v>
      </c>
      <c r="C839" s="13">
        <v>44927</v>
      </c>
      <c r="D839" s="13">
        <v>45291</v>
      </c>
      <c r="E839" t="s">
        <v>17</v>
      </c>
      <c r="F839">
        <v>0</v>
      </c>
      <c r="G839" t="s">
        <v>18</v>
      </c>
      <c r="H839">
        <v>1</v>
      </c>
      <c r="I839" t="s">
        <v>19</v>
      </c>
      <c r="J839">
        <v>321</v>
      </c>
      <c r="K839" t="s">
        <v>104</v>
      </c>
      <c r="L839" s="13">
        <v>45199</v>
      </c>
      <c r="M839" t="s">
        <v>2996</v>
      </c>
      <c r="N839" t="s">
        <v>106</v>
      </c>
      <c r="O839">
        <v>-0.28000000000000003</v>
      </c>
      <c r="P839" t="s">
        <v>107</v>
      </c>
    </row>
    <row r="840" spans="1:16" ht="15" customHeight="1" x14ac:dyDescent="0.4">
      <c r="A840" t="s">
        <v>15</v>
      </c>
      <c r="B840" t="s">
        <v>16</v>
      </c>
      <c r="C840" s="13">
        <v>44927</v>
      </c>
      <c r="D840" s="13">
        <v>45291</v>
      </c>
      <c r="E840" t="s">
        <v>17</v>
      </c>
      <c r="F840">
        <v>0</v>
      </c>
      <c r="G840" t="s">
        <v>18</v>
      </c>
      <c r="H840">
        <v>1</v>
      </c>
      <c r="I840" t="s">
        <v>19</v>
      </c>
      <c r="J840">
        <v>321</v>
      </c>
      <c r="K840" t="s">
        <v>104</v>
      </c>
      <c r="L840" s="13">
        <v>45225</v>
      </c>
      <c r="M840" t="s">
        <v>2997</v>
      </c>
      <c r="N840" t="s">
        <v>2998</v>
      </c>
      <c r="O840">
        <v>2530.73</v>
      </c>
      <c r="P840" t="s">
        <v>34</v>
      </c>
    </row>
    <row r="841" spans="1:16" ht="15" customHeight="1" x14ac:dyDescent="0.4">
      <c r="A841" t="s">
        <v>15</v>
      </c>
      <c r="B841" t="s">
        <v>16</v>
      </c>
      <c r="C841" s="13">
        <v>44927</v>
      </c>
      <c r="D841" s="13">
        <v>45291</v>
      </c>
      <c r="E841" t="s">
        <v>17</v>
      </c>
      <c r="F841">
        <v>0</v>
      </c>
      <c r="G841" t="s">
        <v>18</v>
      </c>
      <c r="H841">
        <v>1</v>
      </c>
      <c r="I841" t="s">
        <v>19</v>
      </c>
      <c r="J841">
        <v>321</v>
      </c>
      <c r="K841" t="s">
        <v>104</v>
      </c>
      <c r="L841" s="13">
        <v>45230</v>
      </c>
      <c r="M841" t="s">
        <v>2999</v>
      </c>
      <c r="N841" t="s">
        <v>106</v>
      </c>
      <c r="O841">
        <v>0.37</v>
      </c>
      <c r="P841" t="s">
        <v>107</v>
      </c>
    </row>
    <row r="842" spans="1:16" ht="15" customHeight="1" x14ac:dyDescent="0.4">
      <c r="A842" t="s">
        <v>15</v>
      </c>
      <c r="B842" t="s">
        <v>16</v>
      </c>
      <c r="C842" s="13">
        <v>44927</v>
      </c>
      <c r="D842" s="13">
        <v>45291</v>
      </c>
      <c r="E842" t="s">
        <v>17</v>
      </c>
      <c r="F842">
        <v>0</v>
      </c>
      <c r="G842" t="s">
        <v>18</v>
      </c>
      <c r="H842">
        <v>1</v>
      </c>
      <c r="I842" t="s">
        <v>19</v>
      </c>
      <c r="J842">
        <v>321</v>
      </c>
      <c r="K842" t="s">
        <v>104</v>
      </c>
      <c r="L842" s="13">
        <v>45254</v>
      </c>
      <c r="M842" t="s">
        <v>3000</v>
      </c>
      <c r="N842" t="s">
        <v>3001</v>
      </c>
      <c r="O842">
        <v>2530.73</v>
      </c>
      <c r="P842" t="s">
        <v>34</v>
      </c>
    </row>
    <row r="843" spans="1:16" ht="15" customHeight="1" x14ac:dyDescent="0.4">
      <c r="A843" t="s">
        <v>15</v>
      </c>
      <c r="B843" t="s">
        <v>16</v>
      </c>
      <c r="C843" s="13">
        <v>44927</v>
      </c>
      <c r="D843" s="13">
        <v>45291</v>
      </c>
      <c r="E843" t="s">
        <v>17</v>
      </c>
      <c r="F843">
        <v>0</v>
      </c>
      <c r="G843" t="s">
        <v>18</v>
      </c>
      <c r="H843">
        <v>1</v>
      </c>
      <c r="I843" t="s">
        <v>19</v>
      </c>
      <c r="J843">
        <v>321</v>
      </c>
      <c r="K843" t="s">
        <v>104</v>
      </c>
      <c r="L843" s="13">
        <v>45260</v>
      </c>
      <c r="M843" t="s">
        <v>3002</v>
      </c>
      <c r="N843" t="s">
        <v>106</v>
      </c>
      <c r="O843">
        <v>0.37</v>
      </c>
      <c r="P843" t="s">
        <v>107</v>
      </c>
    </row>
    <row r="844" spans="1:16" ht="15" customHeight="1" x14ac:dyDescent="0.4">
      <c r="A844" t="s">
        <v>15</v>
      </c>
      <c r="B844" t="s">
        <v>16</v>
      </c>
      <c r="C844" s="13">
        <v>44927</v>
      </c>
      <c r="D844" s="13">
        <v>45291</v>
      </c>
      <c r="E844" t="s">
        <v>17</v>
      </c>
      <c r="F844">
        <v>0</v>
      </c>
      <c r="G844" t="s">
        <v>18</v>
      </c>
      <c r="H844">
        <v>1</v>
      </c>
      <c r="I844" t="s">
        <v>19</v>
      </c>
      <c r="J844">
        <v>321</v>
      </c>
      <c r="K844" t="s">
        <v>104</v>
      </c>
      <c r="L844" s="13">
        <v>45281</v>
      </c>
      <c r="M844" t="s">
        <v>3003</v>
      </c>
      <c r="N844" t="s">
        <v>3004</v>
      </c>
      <c r="O844">
        <v>4926.6099999999997</v>
      </c>
      <c r="P844" t="s">
        <v>34</v>
      </c>
    </row>
    <row r="845" spans="1:16" ht="15" customHeight="1" x14ac:dyDescent="0.4">
      <c r="A845" t="s">
        <v>15</v>
      </c>
      <c r="B845" t="s">
        <v>16</v>
      </c>
      <c r="C845" s="13">
        <v>44927</v>
      </c>
      <c r="D845" s="13">
        <v>45291</v>
      </c>
      <c r="E845" t="s">
        <v>17</v>
      </c>
      <c r="F845">
        <v>0</v>
      </c>
      <c r="G845" t="s">
        <v>18</v>
      </c>
      <c r="H845">
        <v>1</v>
      </c>
      <c r="I845" t="s">
        <v>19</v>
      </c>
      <c r="J845">
        <v>321</v>
      </c>
      <c r="K845" t="s">
        <v>104</v>
      </c>
      <c r="L845" s="13">
        <v>45291</v>
      </c>
      <c r="M845" t="s">
        <v>3005</v>
      </c>
      <c r="N845" t="s">
        <v>106</v>
      </c>
      <c r="O845">
        <v>-0.33</v>
      </c>
      <c r="P845" t="s">
        <v>107</v>
      </c>
    </row>
    <row r="846" spans="1:16" ht="15" customHeight="1" x14ac:dyDescent="0.4">
      <c r="A846" t="s">
        <v>15</v>
      </c>
      <c r="B846" t="s">
        <v>16</v>
      </c>
      <c r="C846" s="13">
        <v>44927</v>
      </c>
      <c r="D846" s="13">
        <v>45291</v>
      </c>
      <c r="E846" t="s">
        <v>17</v>
      </c>
      <c r="F846">
        <v>0</v>
      </c>
      <c r="G846" t="s">
        <v>18</v>
      </c>
      <c r="H846">
        <v>1</v>
      </c>
      <c r="I846" t="s">
        <v>19</v>
      </c>
      <c r="J846">
        <v>322</v>
      </c>
      <c r="K846" t="s">
        <v>143</v>
      </c>
      <c r="L846" s="13">
        <v>44928</v>
      </c>
      <c r="M846" t="s">
        <v>3006</v>
      </c>
      <c r="N846" t="s">
        <v>3007</v>
      </c>
      <c r="O846">
        <v>-0.83</v>
      </c>
      <c r="P846" t="s">
        <v>146</v>
      </c>
    </row>
    <row r="847" spans="1:16" ht="15" customHeight="1" x14ac:dyDescent="0.4">
      <c r="A847" t="s">
        <v>15</v>
      </c>
      <c r="B847" t="s">
        <v>16</v>
      </c>
      <c r="C847" s="13">
        <v>44927</v>
      </c>
      <c r="D847" s="13">
        <v>45291</v>
      </c>
      <c r="E847" t="s">
        <v>17</v>
      </c>
      <c r="F847">
        <v>0</v>
      </c>
      <c r="G847" t="s">
        <v>18</v>
      </c>
      <c r="H847">
        <v>1</v>
      </c>
      <c r="I847" t="s">
        <v>19</v>
      </c>
      <c r="J847">
        <v>322</v>
      </c>
      <c r="K847" t="s">
        <v>143</v>
      </c>
      <c r="L847" s="13">
        <v>44956</v>
      </c>
      <c r="M847" t="s">
        <v>3008</v>
      </c>
      <c r="N847" t="s">
        <v>2969</v>
      </c>
      <c r="O847">
        <v>551.21</v>
      </c>
      <c r="P847" t="s">
        <v>34</v>
      </c>
    </row>
    <row r="848" spans="1:16" ht="15" customHeight="1" x14ac:dyDescent="0.4">
      <c r="A848" t="s">
        <v>15</v>
      </c>
      <c r="B848" t="s">
        <v>16</v>
      </c>
      <c r="C848" s="13">
        <v>44927</v>
      </c>
      <c r="D848" s="13">
        <v>45291</v>
      </c>
      <c r="E848" t="s">
        <v>17</v>
      </c>
      <c r="F848">
        <v>0</v>
      </c>
      <c r="G848" t="s">
        <v>18</v>
      </c>
      <c r="H848">
        <v>1</v>
      </c>
      <c r="I848" t="s">
        <v>19</v>
      </c>
      <c r="J848">
        <v>322</v>
      </c>
      <c r="K848" t="s">
        <v>143</v>
      </c>
      <c r="L848" s="13">
        <v>44963</v>
      </c>
      <c r="M848" t="s">
        <v>3009</v>
      </c>
      <c r="N848" t="s">
        <v>3010</v>
      </c>
      <c r="O848">
        <v>-0.73</v>
      </c>
      <c r="P848" t="s">
        <v>146</v>
      </c>
    </row>
    <row r="849" spans="1:16" ht="15" customHeight="1" x14ac:dyDescent="0.4">
      <c r="A849" t="s">
        <v>15</v>
      </c>
      <c r="B849" t="s">
        <v>16</v>
      </c>
      <c r="C849" s="13">
        <v>44927</v>
      </c>
      <c r="D849" s="13">
        <v>45291</v>
      </c>
      <c r="E849" t="s">
        <v>17</v>
      </c>
      <c r="F849">
        <v>0</v>
      </c>
      <c r="G849" t="s">
        <v>18</v>
      </c>
      <c r="H849">
        <v>1</v>
      </c>
      <c r="I849" t="s">
        <v>19</v>
      </c>
      <c r="J849">
        <v>322</v>
      </c>
      <c r="K849" t="s">
        <v>143</v>
      </c>
      <c r="L849" s="13">
        <v>44984</v>
      </c>
      <c r="M849" t="s">
        <v>3011</v>
      </c>
      <c r="N849" t="s">
        <v>2972</v>
      </c>
      <c r="O849">
        <v>242.88</v>
      </c>
      <c r="P849" t="s">
        <v>34</v>
      </c>
    </row>
    <row r="850" spans="1:16" ht="15" customHeight="1" x14ac:dyDescent="0.4">
      <c r="A850" t="s">
        <v>15</v>
      </c>
      <c r="B850" t="s">
        <v>16</v>
      </c>
      <c r="C850" s="13">
        <v>44927</v>
      </c>
      <c r="D850" s="13">
        <v>45291</v>
      </c>
      <c r="E850" t="s">
        <v>17</v>
      </c>
      <c r="F850">
        <v>0</v>
      </c>
      <c r="G850" t="s">
        <v>18</v>
      </c>
      <c r="H850">
        <v>1</v>
      </c>
      <c r="I850" t="s">
        <v>19</v>
      </c>
      <c r="J850">
        <v>322</v>
      </c>
      <c r="K850" t="s">
        <v>143</v>
      </c>
      <c r="L850" s="13">
        <v>44985</v>
      </c>
      <c r="M850" t="s">
        <v>3012</v>
      </c>
      <c r="N850" t="s">
        <v>3013</v>
      </c>
      <c r="O850">
        <v>-0.94</v>
      </c>
      <c r="P850" t="s">
        <v>146</v>
      </c>
    </row>
    <row r="851" spans="1:16" ht="15" customHeight="1" x14ac:dyDescent="0.4">
      <c r="A851" t="s">
        <v>15</v>
      </c>
      <c r="B851" t="s">
        <v>16</v>
      </c>
      <c r="C851" s="13">
        <v>44927</v>
      </c>
      <c r="D851" s="13">
        <v>45291</v>
      </c>
      <c r="E851" t="s">
        <v>17</v>
      </c>
      <c r="F851">
        <v>0</v>
      </c>
      <c r="G851" t="s">
        <v>18</v>
      </c>
      <c r="H851">
        <v>1</v>
      </c>
      <c r="I851" t="s">
        <v>19</v>
      </c>
      <c r="J851">
        <v>322</v>
      </c>
      <c r="K851" t="s">
        <v>143</v>
      </c>
      <c r="L851" s="13">
        <v>45012</v>
      </c>
      <c r="M851" t="s">
        <v>3014</v>
      </c>
      <c r="N851" t="s">
        <v>2976</v>
      </c>
      <c r="O851">
        <v>355.76</v>
      </c>
      <c r="P851" t="s">
        <v>34</v>
      </c>
    </row>
    <row r="852" spans="1:16" ht="15" customHeight="1" x14ac:dyDescent="0.4">
      <c r="A852" t="s">
        <v>15</v>
      </c>
      <c r="B852" t="s">
        <v>16</v>
      </c>
      <c r="C852" s="13">
        <v>44927</v>
      </c>
      <c r="D852" s="13">
        <v>45291</v>
      </c>
      <c r="E852" t="s">
        <v>17</v>
      </c>
      <c r="F852">
        <v>0</v>
      </c>
      <c r="G852" t="s">
        <v>18</v>
      </c>
      <c r="H852">
        <v>1</v>
      </c>
      <c r="I852" t="s">
        <v>19</v>
      </c>
      <c r="J852">
        <v>322</v>
      </c>
      <c r="K852" t="s">
        <v>143</v>
      </c>
      <c r="L852" s="13">
        <v>45016</v>
      </c>
      <c r="M852" t="s">
        <v>3015</v>
      </c>
      <c r="N852" t="s">
        <v>3016</v>
      </c>
      <c r="O852">
        <v>-1.5</v>
      </c>
      <c r="P852" t="s">
        <v>146</v>
      </c>
    </row>
    <row r="853" spans="1:16" ht="15" customHeight="1" x14ac:dyDescent="0.4">
      <c r="A853" t="s">
        <v>15</v>
      </c>
      <c r="B853" t="s">
        <v>16</v>
      </c>
      <c r="C853" s="13">
        <v>44927</v>
      </c>
      <c r="D853" s="13">
        <v>45291</v>
      </c>
      <c r="E853" t="s">
        <v>17</v>
      </c>
      <c r="F853">
        <v>0</v>
      </c>
      <c r="G853" t="s">
        <v>18</v>
      </c>
      <c r="H853">
        <v>1</v>
      </c>
      <c r="I853" t="s">
        <v>19</v>
      </c>
      <c r="J853">
        <v>322</v>
      </c>
      <c r="K853" t="s">
        <v>143</v>
      </c>
      <c r="L853" s="13">
        <v>45041</v>
      </c>
      <c r="M853" t="s">
        <v>3017</v>
      </c>
      <c r="N853" t="s">
        <v>2980</v>
      </c>
      <c r="O853">
        <v>605.16999999999996</v>
      </c>
      <c r="P853" t="s">
        <v>34</v>
      </c>
    </row>
    <row r="854" spans="1:16" ht="15" customHeight="1" x14ac:dyDescent="0.4">
      <c r="A854" t="s">
        <v>15</v>
      </c>
      <c r="B854" t="s">
        <v>16</v>
      </c>
      <c r="C854" s="13">
        <v>44927</v>
      </c>
      <c r="D854" s="13">
        <v>45291</v>
      </c>
      <c r="E854" t="s">
        <v>17</v>
      </c>
      <c r="F854">
        <v>0</v>
      </c>
      <c r="G854" t="s">
        <v>18</v>
      </c>
      <c r="H854">
        <v>1</v>
      </c>
      <c r="I854" t="s">
        <v>19</v>
      </c>
      <c r="J854">
        <v>322</v>
      </c>
      <c r="K854" t="s">
        <v>143</v>
      </c>
      <c r="L854" s="13">
        <v>45058</v>
      </c>
      <c r="M854" t="s">
        <v>3018</v>
      </c>
      <c r="N854" t="s">
        <v>3019</v>
      </c>
      <c r="O854">
        <v>-1.1599999999999999</v>
      </c>
      <c r="P854" t="s">
        <v>146</v>
      </c>
    </row>
    <row r="855" spans="1:16" ht="15" customHeight="1" x14ac:dyDescent="0.4">
      <c r="A855" t="s">
        <v>15</v>
      </c>
      <c r="B855" t="s">
        <v>16</v>
      </c>
      <c r="C855" s="13">
        <v>44927</v>
      </c>
      <c r="D855" s="13">
        <v>45291</v>
      </c>
      <c r="E855" t="s">
        <v>17</v>
      </c>
      <c r="F855">
        <v>0</v>
      </c>
      <c r="G855" t="s">
        <v>18</v>
      </c>
      <c r="H855">
        <v>1</v>
      </c>
      <c r="I855" t="s">
        <v>19</v>
      </c>
      <c r="J855">
        <v>322</v>
      </c>
      <c r="K855" t="s">
        <v>143</v>
      </c>
      <c r="L855" s="13">
        <v>45076</v>
      </c>
      <c r="M855" t="s">
        <v>3020</v>
      </c>
      <c r="N855" t="s">
        <v>2983</v>
      </c>
      <c r="O855">
        <v>620.36</v>
      </c>
      <c r="P855" t="s">
        <v>34</v>
      </c>
    </row>
    <row r="856" spans="1:16" ht="15" customHeight="1" x14ac:dyDescent="0.4">
      <c r="A856" t="s">
        <v>15</v>
      </c>
      <c r="B856" t="s">
        <v>16</v>
      </c>
      <c r="C856" s="13">
        <v>44927</v>
      </c>
      <c r="D856" s="13">
        <v>45291</v>
      </c>
      <c r="E856" t="s">
        <v>17</v>
      </c>
      <c r="F856">
        <v>0</v>
      </c>
      <c r="G856" t="s">
        <v>18</v>
      </c>
      <c r="H856">
        <v>1</v>
      </c>
      <c r="I856" t="s">
        <v>19</v>
      </c>
      <c r="J856">
        <v>322</v>
      </c>
      <c r="K856" t="s">
        <v>143</v>
      </c>
      <c r="L856" s="13">
        <v>45077</v>
      </c>
      <c r="M856" t="s">
        <v>3021</v>
      </c>
      <c r="N856" t="s">
        <v>3022</v>
      </c>
      <c r="O856">
        <v>0.86</v>
      </c>
      <c r="P856" t="s">
        <v>146</v>
      </c>
    </row>
    <row r="857" spans="1:16" ht="15" customHeight="1" x14ac:dyDescent="0.4">
      <c r="A857" t="s">
        <v>15</v>
      </c>
      <c r="B857" t="s">
        <v>16</v>
      </c>
      <c r="C857" s="13">
        <v>44927</v>
      </c>
      <c r="D857" s="13">
        <v>45291</v>
      </c>
      <c r="E857" t="s">
        <v>17</v>
      </c>
      <c r="F857">
        <v>0</v>
      </c>
      <c r="G857" t="s">
        <v>18</v>
      </c>
      <c r="H857">
        <v>1</v>
      </c>
      <c r="I857" t="s">
        <v>19</v>
      </c>
      <c r="J857">
        <v>322</v>
      </c>
      <c r="K857" t="s">
        <v>143</v>
      </c>
      <c r="L857" s="13">
        <v>45104</v>
      </c>
      <c r="M857" t="s">
        <v>3023</v>
      </c>
      <c r="N857" t="s">
        <v>2986</v>
      </c>
      <c r="O857">
        <v>631.49</v>
      </c>
      <c r="P857" t="s">
        <v>34</v>
      </c>
    </row>
    <row r="858" spans="1:16" ht="15" customHeight="1" x14ac:dyDescent="0.4">
      <c r="A858" t="s">
        <v>15</v>
      </c>
      <c r="B858" t="s">
        <v>16</v>
      </c>
      <c r="C858" s="13">
        <v>44927</v>
      </c>
      <c r="D858" s="13">
        <v>45291</v>
      </c>
      <c r="E858" t="s">
        <v>17</v>
      </c>
      <c r="F858">
        <v>0</v>
      </c>
      <c r="G858" t="s">
        <v>18</v>
      </c>
      <c r="H858">
        <v>1</v>
      </c>
      <c r="I858" t="s">
        <v>19</v>
      </c>
      <c r="J858">
        <v>322</v>
      </c>
      <c r="K858" t="s">
        <v>143</v>
      </c>
      <c r="L858" s="13">
        <v>45107</v>
      </c>
      <c r="M858" t="s">
        <v>3024</v>
      </c>
      <c r="N858" t="s">
        <v>3025</v>
      </c>
      <c r="O858">
        <v>1.03</v>
      </c>
      <c r="P858" t="s">
        <v>146</v>
      </c>
    </row>
    <row r="859" spans="1:16" ht="15" customHeight="1" x14ac:dyDescent="0.4">
      <c r="A859" t="s">
        <v>15</v>
      </c>
      <c r="B859" t="s">
        <v>16</v>
      </c>
      <c r="C859" s="13">
        <v>44927</v>
      </c>
      <c r="D859" s="13">
        <v>45291</v>
      </c>
      <c r="E859" t="s">
        <v>17</v>
      </c>
      <c r="F859">
        <v>0</v>
      </c>
      <c r="G859" t="s">
        <v>18</v>
      </c>
      <c r="H859">
        <v>1</v>
      </c>
      <c r="I859" t="s">
        <v>19</v>
      </c>
      <c r="J859">
        <v>322</v>
      </c>
      <c r="K859" t="s">
        <v>143</v>
      </c>
      <c r="L859" s="13">
        <v>45134</v>
      </c>
      <c r="M859" t="s">
        <v>3026</v>
      </c>
      <c r="N859" t="s">
        <v>2989</v>
      </c>
      <c r="O859">
        <v>594.6</v>
      </c>
      <c r="P859" t="s">
        <v>34</v>
      </c>
    </row>
    <row r="860" spans="1:16" ht="15" customHeight="1" x14ac:dyDescent="0.4">
      <c r="A860" t="s">
        <v>15</v>
      </c>
      <c r="B860" t="s">
        <v>16</v>
      </c>
      <c r="C860" s="13">
        <v>44927</v>
      </c>
      <c r="D860" s="13">
        <v>45291</v>
      </c>
      <c r="E860" t="s">
        <v>17</v>
      </c>
      <c r="F860">
        <v>0</v>
      </c>
      <c r="G860" t="s">
        <v>18</v>
      </c>
      <c r="H860">
        <v>1</v>
      </c>
      <c r="I860" t="s">
        <v>19</v>
      </c>
      <c r="J860">
        <v>322</v>
      </c>
      <c r="K860" t="s">
        <v>143</v>
      </c>
      <c r="L860" s="13">
        <v>45138</v>
      </c>
      <c r="M860" t="s">
        <v>3027</v>
      </c>
      <c r="N860" t="s">
        <v>3028</v>
      </c>
      <c r="O860">
        <v>-1.37</v>
      </c>
      <c r="P860" t="s">
        <v>146</v>
      </c>
    </row>
    <row r="861" spans="1:16" ht="15" customHeight="1" x14ac:dyDescent="0.4">
      <c r="A861" t="s">
        <v>15</v>
      </c>
      <c r="B861" t="s">
        <v>16</v>
      </c>
      <c r="C861" s="13">
        <v>44927</v>
      </c>
      <c r="D861" s="13">
        <v>45291</v>
      </c>
      <c r="E861" t="s">
        <v>17</v>
      </c>
      <c r="F861">
        <v>0</v>
      </c>
      <c r="G861" t="s">
        <v>18</v>
      </c>
      <c r="H861">
        <v>1</v>
      </c>
      <c r="I861" t="s">
        <v>19</v>
      </c>
      <c r="J861">
        <v>322</v>
      </c>
      <c r="K861" t="s">
        <v>143</v>
      </c>
      <c r="L861" s="13">
        <v>45163</v>
      </c>
      <c r="M861" t="s">
        <v>3029</v>
      </c>
      <c r="N861" t="s">
        <v>2992</v>
      </c>
      <c r="O861">
        <v>619.78</v>
      </c>
      <c r="P861" t="s">
        <v>34</v>
      </c>
    </row>
    <row r="862" spans="1:16" ht="15" customHeight="1" x14ac:dyDescent="0.4">
      <c r="A862" t="s">
        <v>15</v>
      </c>
      <c r="B862" t="s">
        <v>16</v>
      </c>
      <c r="C862" s="13">
        <v>44927</v>
      </c>
      <c r="D862" s="13">
        <v>45291</v>
      </c>
      <c r="E862" t="s">
        <v>17</v>
      </c>
      <c r="F862">
        <v>0</v>
      </c>
      <c r="G862" t="s">
        <v>18</v>
      </c>
      <c r="H862">
        <v>1</v>
      </c>
      <c r="I862" t="s">
        <v>19</v>
      </c>
      <c r="J862">
        <v>322</v>
      </c>
      <c r="K862" t="s">
        <v>143</v>
      </c>
      <c r="L862" s="13">
        <v>45169</v>
      </c>
      <c r="M862" t="s">
        <v>3030</v>
      </c>
      <c r="N862" t="s">
        <v>3031</v>
      </c>
      <c r="O862">
        <v>0.44</v>
      </c>
      <c r="P862" t="s">
        <v>146</v>
      </c>
    </row>
    <row r="863" spans="1:16" ht="15" customHeight="1" x14ac:dyDescent="0.4">
      <c r="A863" t="s">
        <v>15</v>
      </c>
      <c r="B863" t="s">
        <v>16</v>
      </c>
      <c r="C863" s="13">
        <v>44927</v>
      </c>
      <c r="D863" s="13">
        <v>45291</v>
      </c>
      <c r="E863" t="s">
        <v>17</v>
      </c>
      <c r="F863">
        <v>0</v>
      </c>
      <c r="G863" t="s">
        <v>18</v>
      </c>
      <c r="H863">
        <v>1</v>
      </c>
      <c r="I863" t="s">
        <v>19</v>
      </c>
      <c r="J863">
        <v>322</v>
      </c>
      <c r="K863" t="s">
        <v>143</v>
      </c>
      <c r="L863" s="13">
        <v>45195</v>
      </c>
      <c r="M863" t="s">
        <v>3032</v>
      </c>
      <c r="N863" t="s">
        <v>2995</v>
      </c>
      <c r="O863">
        <v>621.32000000000005</v>
      </c>
      <c r="P863" t="s">
        <v>34</v>
      </c>
    </row>
    <row r="864" spans="1:16" ht="15" customHeight="1" x14ac:dyDescent="0.4">
      <c r="A864" t="s">
        <v>15</v>
      </c>
      <c r="B864" t="s">
        <v>16</v>
      </c>
      <c r="C864" s="13">
        <v>44927</v>
      </c>
      <c r="D864" s="13">
        <v>45291</v>
      </c>
      <c r="E864" t="s">
        <v>17</v>
      </c>
      <c r="F864">
        <v>0</v>
      </c>
      <c r="G864" t="s">
        <v>18</v>
      </c>
      <c r="H864">
        <v>1</v>
      </c>
      <c r="I864" t="s">
        <v>19</v>
      </c>
      <c r="J864">
        <v>322</v>
      </c>
      <c r="K864" t="s">
        <v>143</v>
      </c>
      <c r="L864" s="13">
        <v>45199</v>
      </c>
      <c r="M864" t="s">
        <v>3033</v>
      </c>
      <c r="N864" t="s">
        <v>3034</v>
      </c>
      <c r="O864">
        <v>0.9</v>
      </c>
      <c r="P864" t="s">
        <v>146</v>
      </c>
    </row>
    <row r="865" spans="1:16" ht="15" customHeight="1" x14ac:dyDescent="0.4">
      <c r="A865" t="s">
        <v>15</v>
      </c>
      <c r="B865" t="s">
        <v>16</v>
      </c>
      <c r="C865" s="13">
        <v>44927</v>
      </c>
      <c r="D865" s="13">
        <v>45291</v>
      </c>
      <c r="E865" t="s">
        <v>17</v>
      </c>
      <c r="F865">
        <v>0</v>
      </c>
      <c r="G865" t="s">
        <v>18</v>
      </c>
      <c r="H865">
        <v>1</v>
      </c>
      <c r="I865" t="s">
        <v>19</v>
      </c>
      <c r="J865">
        <v>322</v>
      </c>
      <c r="K865" t="s">
        <v>143</v>
      </c>
      <c r="L865" s="13">
        <v>45225</v>
      </c>
      <c r="M865" t="s">
        <v>3035</v>
      </c>
      <c r="N865" t="s">
        <v>2998</v>
      </c>
      <c r="O865">
        <v>620.49</v>
      </c>
      <c r="P865" t="s">
        <v>34</v>
      </c>
    </row>
    <row r="866" spans="1:16" ht="15" customHeight="1" x14ac:dyDescent="0.4">
      <c r="A866" t="s">
        <v>15</v>
      </c>
      <c r="B866" t="s">
        <v>16</v>
      </c>
      <c r="C866" s="13">
        <v>44927</v>
      </c>
      <c r="D866" s="13">
        <v>45291</v>
      </c>
      <c r="E866" t="s">
        <v>17</v>
      </c>
      <c r="F866">
        <v>0</v>
      </c>
      <c r="G866" t="s">
        <v>18</v>
      </c>
      <c r="H866">
        <v>1</v>
      </c>
      <c r="I866" t="s">
        <v>19</v>
      </c>
      <c r="J866">
        <v>322</v>
      </c>
      <c r="K866" t="s">
        <v>143</v>
      </c>
      <c r="L866" s="13">
        <v>45230</v>
      </c>
      <c r="M866" t="s">
        <v>3036</v>
      </c>
      <c r="N866" t="s">
        <v>3037</v>
      </c>
      <c r="O866">
        <v>0.73</v>
      </c>
      <c r="P866" t="s">
        <v>146</v>
      </c>
    </row>
    <row r="867" spans="1:16" ht="15" customHeight="1" x14ac:dyDescent="0.4">
      <c r="A867" t="s">
        <v>15</v>
      </c>
      <c r="B867" t="s">
        <v>16</v>
      </c>
      <c r="C867" s="13">
        <v>44927</v>
      </c>
      <c r="D867" s="13">
        <v>45291</v>
      </c>
      <c r="E867" t="s">
        <v>17</v>
      </c>
      <c r="F867">
        <v>0</v>
      </c>
      <c r="G867" t="s">
        <v>18</v>
      </c>
      <c r="H867">
        <v>1</v>
      </c>
      <c r="I867" t="s">
        <v>19</v>
      </c>
      <c r="J867">
        <v>322</v>
      </c>
      <c r="K867" t="s">
        <v>143</v>
      </c>
      <c r="L867" s="13">
        <v>45254</v>
      </c>
      <c r="M867" t="s">
        <v>3038</v>
      </c>
      <c r="N867" t="s">
        <v>3001</v>
      </c>
      <c r="O867">
        <v>619.66999999999996</v>
      </c>
      <c r="P867" t="s">
        <v>34</v>
      </c>
    </row>
    <row r="868" spans="1:16" ht="15" customHeight="1" x14ac:dyDescent="0.4">
      <c r="A868" t="s">
        <v>15</v>
      </c>
      <c r="B868" t="s">
        <v>16</v>
      </c>
      <c r="C868" s="13">
        <v>44927</v>
      </c>
      <c r="D868" s="13">
        <v>45291</v>
      </c>
      <c r="E868" t="s">
        <v>17</v>
      </c>
      <c r="F868">
        <v>0</v>
      </c>
      <c r="G868" t="s">
        <v>18</v>
      </c>
      <c r="H868">
        <v>1</v>
      </c>
      <c r="I868" t="s">
        <v>19</v>
      </c>
      <c r="J868">
        <v>322</v>
      </c>
      <c r="K868" t="s">
        <v>143</v>
      </c>
      <c r="L868" s="13">
        <v>45260</v>
      </c>
      <c r="M868" t="s">
        <v>3039</v>
      </c>
      <c r="N868" t="s">
        <v>3040</v>
      </c>
      <c r="O868">
        <v>0.55000000000000004</v>
      </c>
      <c r="P868" t="s">
        <v>146</v>
      </c>
    </row>
    <row r="869" spans="1:16" ht="15" customHeight="1" x14ac:dyDescent="0.4">
      <c r="A869" t="s">
        <v>15</v>
      </c>
      <c r="B869" t="s">
        <v>16</v>
      </c>
      <c r="C869" s="13">
        <v>44927</v>
      </c>
      <c r="D869" s="13">
        <v>45291</v>
      </c>
      <c r="E869" t="s">
        <v>17</v>
      </c>
      <c r="F869">
        <v>0</v>
      </c>
      <c r="G869" t="s">
        <v>18</v>
      </c>
      <c r="H869">
        <v>1</v>
      </c>
      <c r="I869" t="s">
        <v>19</v>
      </c>
      <c r="J869">
        <v>322</v>
      </c>
      <c r="K869" t="s">
        <v>143</v>
      </c>
      <c r="L869" s="13">
        <v>45281</v>
      </c>
      <c r="M869" t="s">
        <v>3041</v>
      </c>
      <c r="N869" t="s">
        <v>3004</v>
      </c>
      <c r="O869">
        <v>2350.71</v>
      </c>
      <c r="P869" t="s">
        <v>34</v>
      </c>
    </row>
    <row r="870" spans="1:16" ht="15" customHeight="1" x14ac:dyDescent="0.4">
      <c r="A870" t="s">
        <v>15</v>
      </c>
      <c r="B870" t="s">
        <v>16</v>
      </c>
      <c r="C870" s="13">
        <v>44927</v>
      </c>
      <c r="D870" s="13">
        <v>45291</v>
      </c>
      <c r="E870" t="s">
        <v>17</v>
      </c>
      <c r="F870">
        <v>0</v>
      </c>
      <c r="G870" t="s">
        <v>18</v>
      </c>
      <c r="H870">
        <v>1</v>
      </c>
      <c r="I870" t="s">
        <v>19</v>
      </c>
      <c r="J870">
        <v>322</v>
      </c>
      <c r="K870" t="s">
        <v>143</v>
      </c>
      <c r="L870" s="13">
        <v>45291</v>
      </c>
      <c r="M870" t="s">
        <v>3042</v>
      </c>
      <c r="N870" t="s">
        <v>3043</v>
      </c>
      <c r="O870">
        <v>0.24</v>
      </c>
      <c r="P870" t="s">
        <v>146</v>
      </c>
    </row>
    <row r="871" spans="1:16" ht="15" customHeight="1" x14ac:dyDescent="0.4">
      <c r="A871" t="s">
        <v>15</v>
      </c>
      <c r="B871" t="s">
        <v>16</v>
      </c>
      <c r="C871" s="13">
        <v>44927</v>
      </c>
      <c r="D871" s="13">
        <v>45291</v>
      </c>
      <c r="E871" t="s">
        <v>17</v>
      </c>
      <c r="F871">
        <v>0</v>
      </c>
      <c r="G871" t="s">
        <v>18</v>
      </c>
      <c r="H871">
        <v>1</v>
      </c>
      <c r="I871" t="s">
        <v>19</v>
      </c>
      <c r="J871">
        <v>323</v>
      </c>
      <c r="K871" t="s">
        <v>181</v>
      </c>
      <c r="L871" s="13">
        <v>44928</v>
      </c>
      <c r="M871" t="s">
        <v>3044</v>
      </c>
      <c r="N871" t="s">
        <v>106</v>
      </c>
      <c r="O871">
        <v>0.01</v>
      </c>
      <c r="P871" t="s">
        <v>184</v>
      </c>
    </row>
    <row r="872" spans="1:16" ht="15" customHeight="1" x14ac:dyDescent="0.4">
      <c r="A872" t="s">
        <v>15</v>
      </c>
      <c r="B872" t="s">
        <v>16</v>
      </c>
      <c r="C872" s="13">
        <v>44927</v>
      </c>
      <c r="D872" s="13">
        <v>45291</v>
      </c>
      <c r="E872" t="s">
        <v>17</v>
      </c>
      <c r="F872">
        <v>0</v>
      </c>
      <c r="G872" t="s">
        <v>18</v>
      </c>
      <c r="H872">
        <v>1</v>
      </c>
      <c r="I872" t="s">
        <v>19</v>
      </c>
      <c r="J872">
        <v>323</v>
      </c>
      <c r="K872" t="s">
        <v>181</v>
      </c>
      <c r="L872" s="13">
        <v>44956</v>
      </c>
      <c r="M872" t="s">
        <v>3045</v>
      </c>
      <c r="N872" t="s">
        <v>2969</v>
      </c>
      <c r="O872">
        <v>131.1</v>
      </c>
      <c r="P872" t="s">
        <v>34</v>
      </c>
    </row>
    <row r="873" spans="1:16" ht="15" customHeight="1" x14ac:dyDescent="0.4">
      <c r="A873" t="s">
        <v>15</v>
      </c>
      <c r="B873" t="s">
        <v>16</v>
      </c>
      <c r="C873" s="13">
        <v>44927</v>
      </c>
      <c r="D873" s="13">
        <v>45291</v>
      </c>
      <c r="E873" t="s">
        <v>17</v>
      </c>
      <c r="F873">
        <v>0</v>
      </c>
      <c r="G873" t="s">
        <v>18</v>
      </c>
      <c r="H873">
        <v>1</v>
      </c>
      <c r="I873" t="s">
        <v>19</v>
      </c>
      <c r="J873">
        <v>323</v>
      </c>
      <c r="K873" t="s">
        <v>181</v>
      </c>
      <c r="L873" s="13">
        <v>44984</v>
      </c>
      <c r="M873" t="s">
        <v>3046</v>
      </c>
      <c r="N873" t="s">
        <v>2972</v>
      </c>
      <c r="O873">
        <v>57.7</v>
      </c>
      <c r="P873" t="s">
        <v>34</v>
      </c>
    </row>
    <row r="874" spans="1:16" ht="15" customHeight="1" x14ac:dyDescent="0.4">
      <c r="A874" t="s">
        <v>15</v>
      </c>
      <c r="B874" t="s">
        <v>16</v>
      </c>
      <c r="C874" s="13">
        <v>44927</v>
      </c>
      <c r="D874" s="13">
        <v>45291</v>
      </c>
      <c r="E874" t="s">
        <v>17</v>
      </c>
      <c r="F874">
        <v>0</v>
      </c>
      <c r="G874" t="s">
        <v>18</v>
      </c>
      <c r="H874">
        <v>1</v>
      </c>
      <c r="I874" t="s">
        <v>19</v>
      </c>
      <c r="J874">
        <v>323</v>
      </c>
      <c r="K874" t="s">
        <v>181</v>
      </c>
      <c r="L874" s="13">
        <v>45012</v>
      </c>
      <c r="M874" t="s">
        <v>3047</v>
      </c>
      <c r="N874" t="s">
        <v>2976</v>
      </c>
      <c r="O874">
        <v>84.57</v>
      </c>
      <c r="P874" t="s">
        <v>34</v>
      </c>
    </row>
    <row r="875" spans="1:16" ht="15" customHeight="1" x14ac:dyDescent="0.4">
      <c r="A875" t="s">
        <v>15</v>
      </c>
      <c r="B875" t="s">
        <v>16</v>
      </c>
      <c r="C875" s="13">
        <v>44927</v>
      </c>
      <c r="D875" s="13">
        <v>45291</v>
      </c>
      <c r="E875" t="s">
        <v>17</v>
      </c>
      <c r="F875">
        <v>0</v>
      </c>
      <c r="G875" t="s">
        <v>18</v>
      </c>
      <c r="H875">
        <v>1</v>
      </c>
      <c r="I875" t="s">
        <v>19</v>
      </c>
      <c r="J875">
        <v>323</v>
      </c>
      <c r="K875" t="s">
        <v>181</v>
      </c>
      <c r="L875" s="13">
        <v>45041</v>
      </c>
      <c r="M875" t="s">
        <v>3048</v>
      </c>
      <c r="N875" t="s">
        <v>2980</v>
      </c>
      <c r="O875">
        <v>143.94999999999999</v>
      </c>
      <c r="P875" t="s">
        <v>34</v>
      </c>
    </row>
    <row r="876" spans="1:16" ht="15" customHeight="1" x14ac:dyDescent="0.4">
      <c r="A876" t="s">
        <v>15</v>
      </c>
      <c r="B876" t="s">
        <v>16</v>
      </c>
      <c r="C876" s="13">
        <v>44927</v>
      </c>
      <c r="D876" s="13">
        <v>45291</v>
      </c>
      <c r="E876" t="s">
        <v>17</v>
      </c>
      <c r="F876">
        <v>0</v>
      </c>
      <c r="G876" t="s">
        <v>18</v>
      </c>
      <c r="H876">
        <v>1</v>
      </c>
      <c r="I876" t="s">
        <v>19</v>
      </c>
      <c r="J876">
        <v>323</v>
      </c>
      <c r="K876" t="s">
        <v>181</v>
      </c>
      <c r="L876" s="13">
        <v>45058</v>
      </c>
      <c r="M876" t="s">
        <v>3049</v>
      </c>
      <c r="N876" t="s">
        <v>106</v>
      </c>
      <c r="O876">
        <v>-0.02</v>
      </c>
      <c r="P876" t="s">
        <v>184</v>
      </c>
    </row>
    <row r="877" spans="1:16" ht="15" customHeight="1" x14ac:dyDescent="0.4">
      <c r="A877" t="s">
        <v>15</v>
      </c>
      <c r="B877" t="s">
        <v>16</v>
      </c>
      <c r="C877" s="13">
        <v>44927</v>
      </c>
      <c r="D877" s="13">
        <v>45291</v>
      </c>
      <c r="E877" t="s">
        <v>17</v>
      </c>
      <c r="F877">
        <v>0</v>
      </c>
      <c r="G877" t="s">
        <v>18</v>
      </c>
      <c r="H877">
        <v>1</v>
      </c>
      <c r="I877" t="s">
        <v>19</v>
      </c>
      <c r="J877">
        <v>323</v>
      </c>
      <c r="K877" t="s">
        <v>181</v>
      </c>
      <c r="L877" s="13">
        <v>45076</v>
      </c>
      <c r="M877" t="s">
        <v>3050</v>
      </c>
      <c r="N877" t="s">
        <v>2983</v>
      </c>
      <c r="O877">
        <v>147.56</v>
      </c>
      <c r="P877" t="s">
        <v>34</v>
      </c>
    </row>
    <row r="878" spans="1:16" ht="15" customHeight="1" x14ac:dyDescent="0.4">
      <c r="A878" t="s">
        <v>15</v>
      </c>
      <c r="B878" t="s">
        <v>16</v>
      </c>
      <c r="C878" s="13">
        <v>44927</v>
      </c>
      <c r="D878" s="13">
        <v>45291</v>
      </c>
      <c r="E878" t="s">
        <v>17</v>
      </c>
      <c r="F878">
        <v>0</v>
      </c>
      <c r="G878" t="s">
        <v>18</v>
      </c>
      <c r="H878">
        <v>1</v>
      </c>
      <c r="I878" t="s">
        <v>19</v>
      </c>
      <c r="J878">
        <v>323</v>
      </c>
      <c r="K878" t="s">
        <v>181</v>
      </c>
      <c r="L878" s="13">
        <v>45104</v>
      </c>
      <c r="M878" t="s">
        <v>3051</v>
      </c>
      <c r="N878" t="s">
        <v>2986</v>
      </c>
      <c r="O878">
        <v>150.15</v>
      </c>
      <c r="P878" t="s">
        <v>34</v>
      </c>
    </row>
    <row r="879" spans="1:16" ht="15" customHeight="1" x14ac:dyDescent="0.4">
      <c r="A879" t="s">
        <v>15</v>
      </c>
      <c r="B879" t="s">
        <v>16</v>
      </c>
      <c r="C879" s="13">
        <v>44927</v>
      </c>
      <c r="D879" s="13">
        <v>45291</v>
      </c>
      <c r="E879" t="s">
        <v>17</v>
      </c>
      <c r="F879">
        <v>0</v>
      </c>
      <c r="G879" t="s">
        <v>18</v>
      </c>
      <c r="H879">
        <v>1</v>
      </c>
      <c r="I879" t="s">
        <v>19</v>
      </c>
      <c r="J879">
        <v>323</v>
      </c>
      <c r="K879" t="s">
        <v>181</v>
      </c>
      <c r="L879" s="13">
        <v>45134</v>
      </c>
      <c r="M879" t="s">
        <v>3052</v>
      </c>
      <c r="N879" t="s">
        <v>2989</v>
      </c>
      <c r="O879">
        <v>141.41999999999999</v>
      </c>
      <c r="P879" t="s">
        <v>34</v>
      </c>
    </row>
    <row r="880" spans="1:16" ht="15" customHeight="1" x14ac:dyDescent="0.4">
      <c r="A880" t="s">
        <v>15</v>
      </c>
      <c r="B880" t="s">
        <v>16</v>
      </c>
      <c r="C880" s="13">
        <v>44927</v>
      </c>
      <c r="D880" s="13">
        <v>45291</v>
      </c>
      <c r="E880" t="s">
        <v>17</v>
      </c>
      <c r="F880">
        <v>0</v>
      </c>
      <c r="G880" t="s">
        <v>18</v>
      </c>
      <c r="H880">
        <v>1</v>
      </c>
      <c r="I880" t="s">
        <v>19</v>
      </c>
      <c r="J880">
        <v>323</v>
      </c>
      <c r="K880" t="s">
        <v>181</v>
      </c>
      <c r="L880" s="13">
        <v>45138</v>
      </c>
      <c r="M880" t="s">
        <v>3053</v>
      </c>
      <c r="N880" t="s">
        <v>106</v>
      </c>
      <c r="O880">
        <v>-0.01</v>
      </c>
      <c r="P880" t="s">
        <v>184</v>
      </c>
    </row>
    <row r="881" spans="1:16" ht="15" customHeight="1" x14ac:dyDescent="0.4">
      <c r="A881" t="s">
        <v>15</v>
      </c>
      <c r="B881" t="s">
        <v>16</v>
      </c>
      <c r="C881" s="13">
        <v>44927</v>
      </c>
      <c r="D881" s="13">
        <v>45291</v>
      </c>
      <c r="E881" t="s">
        <v>17</v>
      </c>
      <c r="F881">
        <v>0</v>
      </c>
      <c r="G881" t="s">
        <v>18</v>
      </c>
      <c r="H881">
        <v>1</v>
      </c>
      <c r="I881" t="s">
        <v>19</v>
      </c>
      <c r="J881">
        <v>323</v>
      </c>
      <c r="K881" t="s">
        <v>181</v>
      </c>
      <c r="L881" s="13">
        <v>45163</v>
      </c>
      <c r="M881" t="s">
        <v>3054</v>
      </c>
      <c r="N881" t="s">
        <v>2992</v>
      </c>
      <c r="O881">
        <v>147.43</v>
      </c>
      <c r="P881" t="s">
        <v>34</v>
      </c>
    </row>
    <row r="882" spans="1:16" ht="15" customHeight="1" x14ac:dyDescent="0.4">
      <c r="A882" t="s">
        <v>15</v>
      </c>
      <c r="B882" t="s">
        <v>16</v>
      </c>
      <c r="C882" s="13">
        <v>44927</v>
      </c>
      <c r="D882" s="13">
        <v>45291</v>
      </c>
      <c r="E882" t="s">
        <v>17</v>
      </c>
      <c r="F882">
        <v>0</v>
      </c>
      <c r="G882" t="s">
        <v>18</v>
      </c>
      <c r="H882">
        <v>1</v>
      </c>
      <c r="I882" t="s">
        <v>19</v>
      </c>
      <c r="J882">
        <v>323</v>
      </c>
      <c r="K882" t="s">
        <v>181</v>
      </c>
      <c r="L882" s="13">
        <v>45195</v>
      </c>
      <c r="M882" t="s">
        <v>3055</v>
      </c>
      <c r="N882" t="s">
        <v>2995</v>
      </c>
      <c r="O882">
        <v>147.79</v>
      </c>
      <c r="P882" t="s">
        <v>34</v>
      </c>
    </row>
    <row r="883" spans="1:16" ht="15" customHeight="1" x14ac:dyDescent="0.4">
      <c r="A883" t="s">
        <v>15</v>
      </c>
      <c r="B883" t="s">
        <v>16</v>
      </c>
      <c r="C883" s="13">
        <v>44927</v>
      </c>
      <c r="D883" s="13">
        <v>45291</v>
      </c>
      <c r="E883" t="s">
        <v>17</v>
      </c>
      <c r="F883">
        <v>0</v>
      </c>
      <c r="G883" t="s">
        <v>18</v>
      </c>
      <c r="H883">
        <v>1</v>
      </c>
      <c r="I883" t="s">
        <v>19</v>
      </c>
      <c r="J883">
        <v>323</v>
      </c>
      <c r="K883" t="s">
        <v>181</v>
      </c>
      <c r="L883" s="13">
        <v>45225</v>
      </c>
      <c r="M883" t="s">
        <v>3056</v>
      </c>
      <c r="N883" t="s">
        <v>2998</v>
      </c>
      <c r="O883">
        <v>147.59</v>
      </c>
      <c r="P883" t="s">
        <v>34</v>
      </c>
    </row>
    <row r="884" spans="1:16" ht="15" customHeight="1" x14ac:dyDescent="0.4">
      <c r="A884" t="s">
        <v>15</v>
      </c>
      <c r="B884" t="s">
        <v>16</v>
      </c>
      <c r="C884" s="13">
        <v>44927</v>
      </c>
      <c r="D884" s="13">
        <v>45291</v>
      </c>
      <c r="E884" t="s">
        <v>17</v>
      </c>
      <c r="F884">
        <v>0</v>
      </c>
      <c r="G884" t="s">
        <v>18</v>
      </c>
      <c r="H884">
        <v>1</v>
      </c>
      <c r="I884" t="s">
        <v>19</v>
      </c>
      <c r="J884">
        <v>323</v>
      </c>
      <c r="K884" t="s">
        <v>181</v>
      </c>
      <c r="L884" s="13">
        <v>45254</v>
      </c>
      <c r="M884" t="s">
        <v>3057</v>
      </c>
      <c r="N884" t="s">
        <v>3001</v>
      </c>
      <c r="O884">
        <v>147.4</v>
      </c>
      <c r="P884" t="s">
        <v>34</v>
      </c>
    </row>
    <row r="885" spans="1:16" ht="15" customHeight="1" x14ac:dyDescent="0.4">
      <c r="A885" t="s">
        <v>15</v>
      </c>
      <c r="B885" t="s">
        <v>16</v>
      </c>
      <c r="C885" s="13">
        <v>44927</v>
      </c>
      <c r="D885" s="13">
        <v>45291</v>
      </c>
      <c r="E885" t="s">
        <v>17</v>
      </c>
      <c r="F885">
        <v>0</v>
      </c>
      <c r="G885" t="s">
        <v>18</v>
      </c>
      <c r="H885">
        <v>1</v>
      </c>
      <c r="I885" t="s">
        <v>19</v>
      </c>
      <c r="J885">
        <v>323</v>
      </c>
      <c r="K885" t="s">
        <v>181</v>
      </c>
      <c r="L885" s="13">
        <v>45281</v>
      </c>
      <c r="M885" t="s">
        <v>3058</v>
      </c>
      <c r="N885" t="s">
        <v>3004</v>
      </c>
      <c r="O885">
        <v>552.48</v>
      </c>
      <c r="P885" t="s">
        <v>34</v>
      </c>
    </row>
    <row r="886" spans="1:16" ht="15" customHeight="1" x14ac:dyDescent="0.4">
      <c r="A886" t="s">
        <v>15</v>
      </c>
      <c r="B886" t="s">
        <v>16</v>
      </c>
      <c r="C886" s="13">
        <v>44927</v>
      </c>
      <c r="D886" s="13">
        <v>45291</v>
      </c>
      <c r="E886" t="s">
        <v>17</v>
      </c>
      <c r="F886">
        <v>0</v>
      </c>
      <c r="G886" t="s">
        <v>18</v>
      </c>
      <c r="H886">
        <v>1</v>
      </c>
      <c r="I886" t="s">
        <v>19</v>
      </c>
      <c r="J886">
        <v>323</v>
      </c>
      <c r="K886" t="s">
        <v>181</v>
      </c>
      <c r="L886" s="13">
        <v>45291</v>
      </c>
      <c r="M886" t="s">
        <v>3059</v>
      </c>
      <c r="N886" t="s">
        <v>106</v>
      </c>
      <c r="O886">
        <v>-0.01</v>
      </c>
      <c r="P886" t="s">
        <v>184</v>
      </c>
    </row>
    <row r="887" spans="1:16" ht="15" customHeight="1" x14ac:dyDescent="0.4">
      <c r="A887" t="s">
        <v>15</v>
      </c>
      <c r="B887" t="s">
        <v>16</v>
      </c>
      <c r="C887" s="13">
        <v>44927</v>
      </c>
      <c r="D887" s="13">
        <v>45291</v>
      </c>
      <c r="E887" t="s">
        <v>17</v>
      </c>
      <c r="F887">
        <v>0</v>
      </c>
      <c r="G887" t="s">
        <v>18</v>
      </c>
      <c r="H887">
        <v>1</v>
      </c>
      <c r="I887" t="s">
        <v>19</v>
      </c>
      <c r="J887">
        <v>326</v>
      </c>
      <c r="K887" t="s">
        <v>199</v>
      </c>
      <c r="L887" s="13">
        <v>45291</v>
      </c>
      <c r="M887" t="s">
        <v>3060</v>
      </c>
      <c r="N887" t="s">
        <v>753</v>
      </c>
      <c r="O887">
        <v>2890</v>
      </c>
      <c r="P887" t="s">
        <v>202</v>
      </c>
    </row>
    <row r="888" spans="1:16" ht="15" customHeight="1" x14ac:dyDescent="0.4">
      <c r="A888" t="s">
        <v>15</v>
      </c>
      <c r="B888" t="s">
        <v>16</v>
      </c>
      <c r="C888" s="13">
        <v>44927</v>
      </c>
      <c r="D888" s="13">
        <v>45291</v>
      </c>
      <c r="E888" t="s">
        <v>17</v>
      </c>
      <c r="F888">
        <v>0</v>
      </c>
      <c r="G888" t="s">
        <v>18</v>
      </c>
      <c r="H888">
        <v>1</v>
      </c>
      <c r="I888" t="s">
        <v>19</v>
      </c>
      <c r="J888">
        <v>327</v>
      </c>
      <c r="K888" t="s">
        <v>754</v>
      </c>
      <c r="L888" s="13">
        <v>44957</v>
      </c>
      <c r="M888" t="s">
        <v>3061</v>
      </c>
      <c r="N888" t="s">
        <v>106</v>
      </c>
      <c r="O888">
        <v>45.06</v>
      </c>
      <c r="P888" t="s">
        <v>756</v>
      </c>
    </row>
    <row r="889" spans="1:16" ht="15" customHeight="1" x14ac:dyDescent="0.4">
      <c r="A889" t="s">
        <v>15</v>
      </c>
      <c r="B889" t="s">
        <v>16</v>
      </c>
      <c r="C889" s="13">
        <v>44927</v>
      </c>
      <c r="D889" s="13">
        <v>45291</v>
      </c>
      <c r="E889" t="s">
        <v>17</v>
      </c>
      <c r="F889">
        <v>0</v>
      </c>
      <c r="G889" t="s">
        <v>18</v>
      </c>
      <c r="H889">
        <v>1</v>
      </c>
      <c r="I889" t="s">
        <v>19</v>
      </c>
      <c r="J889">
        <v>327</v>
      </c>
      <c r="K889" t="s">
        <v>754</v>
      </c>
      <c r="L889" s="13">
        <v>45291</v>
      </c>
      <c r="M889" t="s">
        <v>3062</v>
      </c>
      <c r="N889" t="s">
        <v>106</v>
      </c>
      <c r="O889">
        <v>44.44</v>
      </c>
      <c r="P889" t="s">
        <v>756</v>
      </c>
    </row>
    <row r="890" spans="1:16" ht="15" customHeight="1" x14ac:dyDescent="0.4">
      <c r="A890" t="s">
        <v>15</v>
      </c>
      <c r="B890" t="s">
        <v>16</v>
      </c>
      <c r="C890" s="13">
        <v>44927</v>
      </c>
      <c r="D890" s="13">
        <v>45291</v>
      </c>
      <c r="E890" t="s">
        <v>17</v>
      </c>
      <c r="F890">
        <v>0</v>
      </c>
      <c r="G890" t="s">
        <v>18</v>
      </c>
      <c r="H890">
        <v>1</v>
      </c>
      <c r="I890" t="s">
        <v>19</v>
      </c>
      <c r="J890">
        <v>328</v>
      </c>
      <c r="K890" t="s">
        <v>1154</v>
      </c>
      <c r="L890" s="13">
        <v>45069</v>
      </c>
      <c r="M890" t="s">
        <v>3063</v>
      </c>
      <c r="N890" t="s">
        <v>3064</v>
      </c>
      <c r="O890">
        <v>348</v>
      </c>
      <c r="P890" t="s">
        <v>1157</v>
      </c>
    </row>
    <row r="891" spans="1:16" ht="15" customHeight="1" x14ac:dyDescent="0.4">
      <c r="A891" t="s">
        <v>15</v>
      </c>
      <c r="B891" t="s">
        <v>16</v>
      </c>
      <c r="C891" s="13">
        <v>44927</v>
      </c>
      <c r="D891" s="13">
        <v>45291</v>
      </c>
      <c r="E891" t="s">
        <v>17</v>
      </c>
      <c r="F891">
        <v>0</v>
      </c>
      <c r="G891" t="s">
        <v>18</v>
      </c>
      <c r="H891">
        <v>1</v>
      </c>
      <c r="I891" t="s">
        <v>19</v>
      </c>
      <c r="J891">
        <v>337</v>
      </c>
      <c r="K891" t="s">
        <v>203</v>
      </c>
      <c r="L891" s="13">
        <v>44956</v>
      </c>
      <c r="M891" t="s">
        <v>3065</v>
      </c>
      <c r="N891" t="s">
        <v>2969</v>
      </c>
      <c r="O891">
        <v>38.380000000000003</v>
      </c>
      <c r="P891" t="s">
        <v>34</v>
      </c>
    </row>
    <row r="892" spans="1:16" ht="15" customHeight="1" x14ac:dyDescent="0.4">
      <c r="A892" t="s">
        <v>15</v>
      </c>
      <c r="B892" t="s">
        <v>16</v>
      </c>
      <c r="C892" s="13">
        <v>44927</v>
      </c>
      <c r="D892" s="13">
        <v>45291</v>
      </c>
      <c r="E892" t="s">
        <v>17</v>
      </c>
      <c r="F892">
        <v>0</v>
      </c>
      <c r="G892" t="s">
        <v>18</v>
      </c>
      <c r="H892">
        <v>1</v>
      </c>
      <c r="I892" t="s">
        <v>19</v>
      </c>
      <c r="J892">
        <v>337</v>
      </c>
      <c r="K892" t="s">
        <v>203</v>
      </c>
      <c r="L892" s="13">
        <v>44956</v>
      </c>
      <c r="M892" t="s">
        <v>3066</v>
      </c>
      <c r="N892" t="s">
        <v>2969</v>
      </c>
      <c r="O892">
        <v>19.53</v>
      </c>
      <c r="P892" t="s">
        <v>34</v>
      </c>
    </row>
    <row r="893" spans="1:16" ht="15" customHeight="1" x14ac:dyDescent="0.4">
      <c r="A893" t="s">
        <v>15</v>
      </c>
      <c r="B893" t="s">
        <v>16</v>
      </c>
      <c r="C893" s="13">
        <v>44927</v>
      </c>
      <c r="D893" s="13">
        <v>45291</v>
      </c>
      <c r="E893" t="s">
        <v>17</v>
      </c>
      <c r="F893">
        <v>0</v>
      </c>
      <c r="G893" t="s">
        <v>18</v>
      </c>
      <c r="H893">
        <v>1</v>
      </c>
      <c r="I893" t="s">
        <v>19</v>
      </c>
      <c r="J893">
        <v>337</v>
      </c>
      <c r="K893" t="s">
        <v>203</v>
      </c>
      <c r="L893" s="13">
        <v>44963</v>
      </c>
      <c r="M893" t="s">
        <v>3068</v>
      </c>
      <c r="N893" t="s">
        <v>106</v>
      </c>
      <c r="O893">
        <v>0.01</v>
      </c>
      <c r="P893" t="s">
        <v>205</v>
      </c>
    </row>
    <row r="894" spans="1:16" ht="15" customHeight="1" x14ac:dyDescent="0.4">
      <c r="A894" t="s">
        <v>15</v>
      </c>
      <c r="B894" t="s">
        <v>16</v>
      </c>
      <c r="C894" s="13">
        <v>44927</v>
      </c>
      <c r="D894" s="13">
        <v>45291</v>
      </c>
      <c r="E894" t="s">
        <v>17</v>
      </c>
      <c r="F894">
        <v>0</v>
      </c>
      <c r="G894" t="s">
        <v>18</v>
      </c>
      <c r="H894">
        <v>1</v>
      </c>
      <c r="I894" t="s">
        <v>19</v>
      </c>
      <c r="J894">
        <v>337</v>
      </c>
      <c r="K894" t="s">
        <v>203</v>
      </c>
      <c r="L894" s="13">
        <v>44963</v>
      </c>
      <c r="M894" t="s">
        <v>3067</v>
      </c>
      <c r="N894" t="s">
        <v>106</v>
      </c>
      <c r="O894">
        <v>0.01</v>
      </c>
      <c r="P894" t="s">
        <v>1160</v>
      </c>
    </row>
    <row r="895" spans="1:16" ht="15" customHeight="1" x14ac:dyDescent="0.4">
      <c r="A895" t="s">
        <v>15</v>
      </c>
      <c r="B895" t="s">
        <v>16</v>
      </c>
      <c r="C895" s="13">
        <v>44927</v>
      </c>
      <c r="D895" s="13">
        <v>45291</v>
      </c>
      <c r="E895" t="s">
        <v>17</v>
      </c>
      <c r="F895">
        <v>0</v>
      </c>
      <c r="G895" t="s">
        <v>18</v>
      </c>
      <c r="H895">
        <v>1</v>
      </c>
      <c r="I895" t="s">
        <v>19</v>
      </c>
      <c r="J895">
        <v>337</v>
      </c>
      <c r="K895" t="s">
        <v>203</v>
      </c>
      <c r="L895" s="13">
        <v>44984</v>
      </c>
      <c r="M895" t="s">
        <v>3070</v>
      </c>
      <c r="N895" t="s">
        <v>2972</v>
      </c>
      <c r="O895">
        <v>8.1999999999999993</v>
      </c>
      <c r="P895" t="s">
        <v>34</v>
      </c>
    </row>
    <row r="896" spans="1:16" ht="15" customHeight="1" x14ac:dyDescent="0.4">
      <c r="A896" t="s">
        <v>15</v>
      </c>
      <c r="B896" t="s">
        <v>16</v>
      </c>
      <c r="C896" s="13">
        <v>44927</v>
      </c>
      <c r="D896" s="13">
        <v>45291</v>
      </c>
      <c r="E896" t="s">
        <v>17</v>
      </c>
      <c r="F896">
        <v>0</v>
      </c>
      <c r="G896" t="s">
        <v>18</v>
      </c>
      <c r="H896">
        <v>1</v>
      </c>
      <c r="I896" t="s">
        <v>19</v>
      </c>
      <c r="J896">
        <v>337</v>
      </c>
      <c r="K896" t="s">
        <v>203</v>
      </c>
      <c r="L896" s="13">
        <v>44984</v>
      </c>
      <c r="M896" t="s">
        <v>3069</v>
      </c>
      <c r="N896" t="s">
        <v>2972</v>
      </c>
      <c r="O896">
        <v>38.380000000000003</v>
      </c>
      <c r="P896" t="s">
        <v>34</v>
      </c>
    </row>
    <row r="897" spans="1:16" ht="15" customHeight="1" x14ac:dyDescent="0.4">
      <c r="A897" t="s">
        <v>15</v>
      </c>
      <c r="B897" t="s">
        <v>16</v>
      </c>
      <c r="C897" s="13">
        <v>44927</v>
      </c>
      <c r="D897" s="13">
        <v>45291</v>
      </c>
      <c r="E897" t="s">
        <v>17</v>
      </c>
      <c r="F897">
        <v>0</v>
      </c>
      <c r="G897" t="s">
        <v>18</v>
      </c>
      <c r="H897">
        <v>1</v>
      </c>
      <c r="I897" t="s">
        <v>19</v>
      </c>
      <c r="J897">
        <v>337</v>
      </c>
      <c r="K897" t="s">
        <v>203</v>
      </c>
      <c r="L897" s="13">
        <v>44985</v>
      </c>
      <c r="M897" t="s">
        <v>3072</v>
      </c>
      <c r="N897" t="s">
        <v>106</v>
      </c>
      <c r="O897">
        <v>-0.01</v>
      </c>
      <c r="P897" t="s">
        <v>205</v>
      </c>
    </row>
    <row r="898" spans="1:16" ht="15" customHeight="1" x14ac:dyDescent="0.4">
      <c r="A898" t="s">
        <v>15</v>
      </c>
      <c r="B898" t="s">
        <v>16</v>
      </c>
      <c r="C898" s="13">
        <v>44927</v>
      </c>
      <c r="D898" s="13">
        <v>45291</v>
      </c>
      <c r="E898" t="s">
        <v>17</v>
      </c>
      <c r="F898">
        <v>0</v>
      </c>
      <c r="G898" t="s">
        <v>18</v>
      </c>
      <c r="H898">
        <v>1</v>
      </c>
      <c r="I898" t="s">
        <v>19</v>
      </c>
      <c r="J898">
        <v>337</v>
      </c>
      <c r="K898" t="s">
        <v>203</v>
      </c>
      <c r="L898" s="13">
        <v>44985</v>
      </c>
      <c r="M898" t="s">
        <v>3071</v>
      </c>
      <c r="N898" t="s">
        <v>106</v>
      </c>
      <c r="O898">
        <v>0.01</v>
      </c>
      <c r="P898" t="s">
        <v>1160</v>
      </c>
    </row>
    <row r="899" spans="1:16" ht="15" customHeight="1" x14ac:dyDescent="0.4">
      <c r="A899" t="s">
        <v>15</v>
      </c>
      <c r="B899" t="s">
        <v>16</v>
      </c>
      <c r="C899" s="13">
        <v>44927</v>
      </c>
      <c r="D899" s="13">
        <v>45291</v>
      </c>
      <c r="E899" t="s">
        <v>17</v>
      </c>
      <c r="F899">
        <v>0</v>
      </c>
      <c r="G899" t="s">
        <v>18</v>
      </c>
      <c r="H899">
        <v>1</v>
      </c>
      <c r="I899" t="s">
        <v>19</v>
      </c>
      <c r="J899">
        <v>337</v>
      </c>
      <c r="K899" t="s">
        <v>203</v>
      </c>
      <c r="L899" s="13">
        <v>45012</v>
      </c>
      <c r="M899" t="s">
        <v>3073</v>
      </c>
      <c r="N899" t="s">
        <v>2976</v>
      </c>
      <c r="O899">
        <v>38.380000000000003</v>
      </c>
      <c r="P899" t="s">
        <v>34</v>
      </c>
    </row>
    <row r="900" spans="1:16" ht="15" customHeight="1" x14ac:dyDescent="0.4">
      <c r="A900" t="s">
        <v>15</v>
      </c>
      <c r="B900" t="s">
        <v>16</v>
      </c>
      <c r="C900" s="13">
        <v>44927</v>
      </c>
      <c r="D900" s="13">
        <v>45291</v>
      </c>
      <c r="E900" t="s">
        <v>17</v>
      </c>
      <c r="F900">
        <v>0</v>
      </c>
      <c r="G900" t="s">
        <v>18</v>
      </c>
      <c r="H900">
        <v>1</v>
      </c>
      <c r="I900" t="s">
        <v>19</v>
      </c>
      <c r="J900">
        <v>337</v>
      </c>
      <c r="K900" t="s">
        <v>203</v>
      </c>
      <c r="L900" s="13">
        <v>45012</v>
      </c>
      <c r="M900" t="s">
        <v>3074</v>
      </c>
      <c r="N900" t="s">
        <v>2976</v>
      </c>
      <c r="O900">
        <v>12.35</v>
      </c>
      <c r="P900" t="s">
        <v>34</v>
      </c>
    </row>
    <row r="901" spans="1:16" ht="15" customHeight="1" x14ac:dyDescent="0.4">
      <c r="A901" t="s">
        <v>15</v>
      </c>
      <c r="B901" t="s">
        <v>16</v>
      </c>
      <c r="C901" s="13">
        <v>44927</v>
      </c>
      <c r="D901" s="13">
        <v>45291</v>
      </c>
      <c r="E901" t="s">
        <v>17</v>
      </c>
      <c r="F901">
        <v>0</v>
      </c>
      <c r="G901" t="s">
        <v>18</v>
      </c>
      <c r="H901">
        <v>1</v>
      </c>
      <c r="I901" t="s">
        <v>19</v>
      </c>
      <c r="J901">
        <v>337</v>
      </c>
      <c r="K901" t="s">
        <v>203</v>
      </c>
      <c r="L901" s="13">
        <v>45016</v>
      </c>
      <c r="M901" t="s">
        <v>3076</v>
      </c>
      <c r="N901" t="s">
        <v>106</v>
      </c>
      <c r="O901">
        <v>-0.01</v>
      </c>
      <c r="P901" t="s">
        <v>205</v>
      </c>
    </row>
    <row r="902" spans="1:16" ht="15" customHeight="1" x14ac:dyDescent="0.4">
      <c r="A902" t="s">
        <v>15</v>
      </c>
      <c r="B902" t="s">
        <v>16</v>
      </c>
      <c r="C902" s="13">
        <v>44927</v>
      </c>
      <c r="D902" s="13">
        <v>45291</v>
      </c>
      <c r="E902" t="s">
        <v>17</v>
      </c>
      <c r="F902">
        <v>0</v>
      </c>
      <c r="G902" t="s">
        <v>18</v>
      </c>
      <c r="H902">
        <v>1</v>
      </c>
      <c r="I902" t="s">
        <v>19</v>
      </c>
      <c r="J902">
        <v>337</v>
      </c>
      <c r="K902" t="s">
        <v>203</v>
      </c>
      <c r="L902" s="13">
        <v>45016</v>
      </c>
      <c r="M902" t="s">
        <v>3075</v>
      </c>
      <c r="N902" t="s">
        <v>106</v>
      </c>
      <c r="O902">
        <v>0.01</v>
      </c>
      <c r="P902" t="s">
        <v>1160</v>
      </c>
    </row>
    <row r="903" spans="1:16" ht="15" customHeight="1" x14ac:dyDescent="0.4">
      <c r="A903" t="s">
        <v>15</v>
      </c>
      <c r="B903" t="s">
        <v>16</v>
      </c>
      <c r="C903" s="13">
        <v>44927</v>
      </c>
      <c r="D903" s="13">
        <v>45291</v>
      </c>
      <c r="E903" t="s">
        <v>17</v>
      </c>
      <c r="F903">
        <v>0</v>
      </c>
      <c r="G903" t="s">
        <v>18</v>
      </c>
      <c r="H903">
        <v>1</v>
      </c>
      <c r="I903" t="s">
        <v>19</v>
      </c>
      <c r="J903">
        <v>337</v>
      </c>
      <c r="K903" t="s">
        <v>203</v>
      </c>
      <c r="L903" s="13">
        <v>45041</v>
      </c>
      <c r="M903" t="s">
        <v>3078</v>
      </c>
      <c r="N903" t="s">
        <v>2980</v>
      </c>
      <c r="O903">
        <v>21.51</v>
      </c>
      <c r="P903" t="s">
        <v>34</v>
      </c>
    </row>
    <row r="904" spans="1:16" ht="15" customHeight="1" x14ac:dyDescent="0.4">
      <c r="A904" t="s">
        <v>15</v>
      </c>
      <c r="B904" t="s">
        <v>16</v>
      </c>
      <c r="C904" s="13">
        <v>44927</v>
      </c>
      <c r="D904" s="13">
        <v>45291</v>
      </c>
      <c r="E904" t="s">
        <v>17</v>
      </c>
      <c r="F904">
        <v>0</v>
      </c>
      <c r="G904" t="s">
        <v>18</v>
      </c>
      <c r="H904">
        <v>1</v>
      </c>
      <c r="I904" t="s">
        <v>19</v>
      </c>
      <c r="J904">
        <v>337</v>
      </c>
      <c r="K904" t="s">
        <v>203</v>
      </c>
      <c r="L904" s="13">
        <v>45041</v>
      </c>
      <c r="M904" t="s">
        <v>3077</v>
      </c>
      <c r="N904" t="s">
        <v>2980</v>
      </c>
      <c r="O904">
        <v>38.380000000000003</v>
      </c>
      <c r="P904" t="s">
        <v>34</v>
      </c>
    </row>
    <row r="905" spans="1:16" ht="15" customHeight="1" x14ac:dyDescent="0.4">
      <c r="A905" t="s">
        <v>15</v>
      </c>
      <c r="B905" t="s">
        <v>16</v>
      </c>
      <c r="C905" s="13">
        <v>44927</v>
      </c>
      <c r="D905" s="13">
        <v>45291</v>
      </c>
      <c r="E905" t="s">
        <v>17</v>
      </c>
      <c r="F905">
        <v>0</v>
      </c>
      <c r="G905" t="s">
        <v>18</v>
      </c>
      <c r="H905">
        <v>1</v>
      </c>
      <c r="I905" t="s">
        <v>19</v>
      </c>
      <c r="J905">
        <v>337</v>
      </c>
      <c r="K905" t="s">
        <v>203</v>
      </c>
      <c r="L905" s="13">
        <v>45058</v>
      </c>
      <c r="M905" t="s">
        <v>3080</v>
      </c>
      <c r="N905" t="s">
        <v>106</v>
      </c>
      <c r="O905">
        <v>0.01</v>
      </c>
      <c r="P905" t="s">
        <v>205</v>
      </c>
    </row>
    <row r="906" spans="1:16" ht="15" customHeight="1" x14ac:dyDescent="0.4">
      <c r="A906" t="s">
        <v>15</v>
      </c>
      <c r="B906" t="s">
        <v>16</v>
      </c>
      <c r="C906" s="13">
        <v>44927</v>
      </c>
      <c r="D906" s="13">
        <v>45291</v>
      </c>
      <c r="E906" t="s">
        <v>17</v>
      </c>
      <c r="F906">
        <v>0</v>
      </c>
      <c r="G906" t="s">
        <v>18</v>
      </c>
      <c r="H906">
        <v>1</v>
      </c>
      <c r="I906" t="s">
        <v>19</v>
      </c>
      <c r="J906">
        <v>337</v>
      </c>
      <c r="K906" t="s">
        <v>203</v>
      </c>
      <c r="L906" s="13">
        <v>45058</v>
      </c>
      <c r="M906" t="s">
        <v>3079</v>
      </c>
      <c r="N906" t="s">
        <v>106</v>
      </c>
      <c r="O906">
        <v>0.01</v>
      </c>
      <c r="P906" t="s">
        <v>1160</v>
      </c>
    </row>
    <row r="907" spans="1:16" ht="15" customHeight="1" x14ac:dyDescent="0.4">
      <c r="A907" t="s">
        <v>15</v>
      </c>
      <c r="B907" t="s">
        <v>16</v>
      </c>
      <c r="C907" s="13">
        <v>44927</v>
      </c>
      <c r="D907" s="13">
        <v>45291</v>
      </c>
      <c r="E907" t="s">
        <v>17</v>
      </c>
      <c r="F907">
        <v>0</v>
      </c>
      <c r="G907" t="s">
        <v>18</v>
      </c>
      <c r="H907">
        <v>1</v>
      </c>
      <c r="I907" t="s">
        <v>19</v>
      </c>
      <c r="J907">
        <v>337</v>
      </c>
      <c r="K907" t="s">
        <v>203</v>
      </c>
      <c r="L907" s="13">
        <v>45076</v>
      </c>
      <c r="M907" t="s">
        <v>3081</v>
      </c>
      <c r="N907" t="s">
        <v>2983</v>
      </c>
      <c r="O907">
        <v>38.380000000000003</v>
      </c>
      <c r="P907" t="s">
        <v>34</v>
      </c>
    </row>
    <row r="908" spans="1:16" ht="15" customHeight="1" x14ac:dyDescent="0.4">
      <c r="A908" t="s">
        <v>15</v>
      </c>
      <c r="B908" t="s">
        <v>16</v>
      </c>
      <c r="C908" s="13">
        <v>44927</v>
      </c>
      <c r="D908" s="13">
        <v>45291</v>
      </c>
      <c r="E908" t="s">
        <v>17</v>
      </c>
      <c r="F908">
        <v>0</v>
      </c>
      <c r="G908" t="s">
        <v>18</v>
      </c>
      <c r="H908">
        <v>1</v>
      </c>
      <c r="I908" t="s">
        <v>19</v>
      </c>
      <c r="J908">
        <v>337</v>
      </c>
      <c r="K908" t="s">
        <v>203</v>
      </c>
      <c r="L908" s="13">
        <v>45076</v>
      </c>
      <c r="M908" t="s">
        <v>3082</v>
      </c>
      <c r="N908" t="s">
        <v>2983</v>
      </c>
      <c r="O908">
        <v>22.02</v>
      </c>
      <c r="P908" t="s">
        <v>34</v>
      </c>
    </row>
    <row r="909" spans="1:16" ht="15" customHeight="1" x14ac:dyDescent="0.4">
      <c r="A909" t="s">
        <v>15</v>
      </c>
      <c r="B909" t="s">
        <v>16</v>
      </c>
      <c r="C909" s="13">
        <v>44927</v>
      </c>
      <c r="D909" s="13">
        <v>45291</v>
      </c>
      <c r="E909" t="s">
        <v>17</v>
      </c>
      <c r="F909">
        <v>0</v>
      </c>
      <c r="G909" t="s">
        <v>18</v>
      </c>
      <c r="H909">
        <v>1</v>
      </c>
      <c r="I909" t="s">
        <v>19</v>
      </c>
      <c r="J909">
        <v>337</v>
      </c>
      <c r="K909" t="s">
        <v>203</v>
      </c>
      <c r="L909" s="13">
        <v>45077</v>
      </c>
      <c r="M909" t="s">
        <v>3083</v>
      </c>
      <c r="N909" t="s">
        <v>106</v>
      </c>
      <c r="O909">
        <v>-0.01</v>
      </c>
      <c r="P909" t="s">
        <v>205</v>
      </c>
    </row>
    <row r="910" spans="1:16" ht="15" customHeight="1" x14ac:dyDescent="0.4">
      <c r="A910" t="s">
        <v>15</v>
      </c>
      <c r="B910" t="s">
        <v>16</v>
      </c>
      <c r="C910" s="13">
        <v>44927</v>
      </c>
      <c r="D910" s="13">
        <v>45291</v>
      </c>
      <c r="E910" t="s">
        <v>17</v>
      </c>
      <c r="F910">
        <v>0</v>
      </c>
      <c r="G910" t="s">
        <v>18</v>
      </c>
      <c r="H910">
        <v>1</v>
      </c>
      <c r="I910" t="s">
        <v>19</v>
      </c>
      <c r="J910">
        <v>337</v>
      </c>
      <c r="K910" t="s">
        <v>203</v>
      </c>
      <c r="L910" s="13">
        <v>45077</v>
      </c>
      <c r="M910" t="s">
        <v>3084</v>
      </c>
      <c r="N910" t="s">
        <v>106</v>
      </c>
      <c r="O910">
        <v>0.01</v>
      </c>
      <c r="P910" t="s">
        <v>1160</v>
      </c>
    </row>
    <row r="911" spans="1:16" ht="15" customHeight="1" x14ac:dyDescent="0.4">
      <c r="A911" t="s">
        <v>15</v>
      </c>
      <c r="B911" t="s">
        <v>16</v>
      </c>
      <c r="C911" s="13">
        <v>44927</v>
      </c>
      <c r="D911" s="13">
        <v>45291</v>
      </c>
      <c r="E911" t="s">
        <v>17</v>
      </c>
      <c r="F911">
        <v>0</v>
      </c>
      <c r="G911" t="s">
        <v>18</v>
      </c>
      <c r="H911">
        <v>1</v>
      </c>
      <c r="I911" t="s">
        <v>19</v>
      </c>
      <c r="J911">
        <v>337</v>
      </c>
      <c r="K911" t="s">
        <v>203</v>
      </c>
      <c r="L911" s="13">
        <v>45104</v>
      </c>
      <c r="M911" t="s">
        <v>3085</v>
      </c>
      <c r="N911" t="s">
        <v>2986</v>
      </c>
      <c r="O911">
        <v>22.16</v>
      </c>
      <c r="P911" t="s">
        <v>34</v>
      </c>
    </row>
    <row r="912" spans="1:16" ht="15" customHeight="1" x14ac:dyDescent="0.4">
      <c r="A912" t="s">
        <v>15</v>
      </c>
      <c r="B912" t="s">
        <v>16</v>
      </c>
      <c r="C912" s="13">
        <v>44927</v>
      </c>
      <c r="D912" s="13">
        <v>45291</v>
      </c>
      <c r="E912" t="s">
        <v>17</v>
      </c>
      <c r="F912">
        <v>0</v>
      </c>
      <c r="G912" t="s">
        <v>18</v>
      </c>
      <c r="H912">
        <v>1</v>
      </c>
      <c r="I912" t="s">
        <v>19</v>
      </c>
      <c r="J912">
        <v>337</v>
      </c>
      <c r="K912" t="s">
        <v>203</v>
      </c>
      <c r="L912" s="13">
        <v>45104</v>
      </c>
      <c r="M912" t="s">
        <v>3086</v>
      </c>
      <c r="N912" t="s">
        <v>2986</v>
      </c>
      <c r="O912">
        <v>38.380000000000003</v>
      </c>
      <c r="P912" t="s">
        <v>34</v>
      </c>
    </row>
    <row r="913" spans="1:16" ht="15" customHeight="1" x14ac:dyDescent="0.4">
      <c r="A913" t="s">
        <v>15</v>
      </c>
      <c r="B913" t="s">
        <v>16</v>
      </c>
      <c r="C913" s="13">
        <v>44927</v>
      </c>
      <c r="D913" s="13">
        <v>45291</v>
      </c>
      <c r="E913" t="s">
        <v>17</v>
      </c>
      <c r="F913">
        <v>0</v>
      </c>
      <c r="G913" t="s">
        <v>18</v>
      </c>
      <c r="H913">
        <v>1</v>
      </c>
      <c r="I913" t="s">
        <v>19</v>
      </c>
      <c r="J913">
        <v>337</v>
      </c>
      <c r="K913" t="s">
        <v>203</v>
      </c>
      <c r="L913" s="13">
        <v>45107</v>
      </c>
      <c r="M913" t="s">
        <v>3087</v>
      </c>
      <c r="N913" t="s">
        <v>106</v>
      </c>
      <c r="O913">
        <v>0.01</v>
      </c>
      <c r="P913" t="s">
        <v>1160</v>
      </c>
    </row>
    <row r="914" spans="1:16" ht="15" customHeight="1" x14ac:dyDescent="0.4">
      <c r="A914" t="s">
        <v>15</v>
      </c>
      <c r="B914" t="s">
        <v>16</v>
      </c>
      <c r="C914" s="13">
        <v>44927</v>
      </c>
      <c r="D914" s="13">
        <v>45291</v>
      </c>
      <c r="E914" t="s">
        <v>17</v>
      </c>
      <c r="F914">
        <v>0</v>
      </c>
      <c r="G914" t="s">
        <v>18</v>
      </c>
      <c r="H914">
        <v>1</v>
      </c>
      <c r="I914" t="s">
        <v>19</v>
      </c>
      <c r="J914">
        <v>337</v>
      </c>
      <c r="K914" t="s">
        <v>203</v>
      </c>
      <c r="L914" s="13">
        <v>45107</v>
      </c>
      <c r="M914" t="s">
        <v>3088</v>
      </c>
      <c r="N914" t="s">
        <v>106</v>
      </c>
      <c r="O914">
        <v>-0.01</v>
      </c>
      <c r="P914" t="s">
        <v>205</v>
      </c>
    </row>
    <row r="915" spans="1:16" ht="15" customHeight="1" x14ac:dyDescent="0.4">
      <c r="A915" t="s">
        <v>15</v>
      </c>
      <c r="B915" t="s">
        <v>16</v>
      </c>
      <c r="C915" s="13">
        <v>44927</v>
      </c>
      <c r="D915" s="13">
        <v>45291</v>
      </c>
      <c r="E915" t="s">
        <v>17</v>
      </c>
      <c r="F915">
        <v>0</v>
      </c>
      <c r="G915" t="s">
        <v>18</v>
      </c>
      <c r="H915">
        <v>1</v>
      </c>
      <c r="I915" t="s">
        <v>19</v>
      </c>
      <c r="J915">
        <v>337</v>
      </c>
      <c r="K915" t="s">
        <v>203</v>
      </c>
      <c r="L915" s="13">
        <v>45134</v>
      </c>
      <c r="M915" t="s">
        <v>3090</v>
      </c>
      <c r="N915" t="s">
        <v>2989</v>
      </c>
      <c r="O915">
        <v>21.04</v>
      </c>
      <c r="P915" t="s">
        <v>34</v>
      </c>
    </row>
    <row r="916" spans="1:16" ht="15" customHeight="1" x14ac:dyDescent="0.4">
      <c r="A916" t="s">
        <v>15</v>
      </c>
      <c r="B916" t="s">
        <v>16</v>
      </c>
      <c r="C916" s="13">
        <v>44927</v>
      </c>
      <c r="D916" s="13">
        <v>45291</v>
      </c>
      <c r="E916" t="s">
        <v>17</v>
      </c>
      <c r="F916">
        <v>0</v>
      </c>
      <c r="G916" t="s">
        <v>18</v>
      </c>
      <c r="H916">
        <v>1</v>
      </c>
      <c r="I916" t="s">
        <v>19</v>
      </c>
      <c r="J916">
        <v>337</v>
      </c>
      <c r="K916" t="s">
        <v>203</v>
      </c>
      <c r="L916" s="13">
        <v>45134</v>
      </c>
      <c r="M916" t="s">
        <v>3089</v>
      </c>
      <c r="N916" t="s">
        <v>2989</v>
      </c>
      <c r="O916">
        <v>38.380000000000003</v>
      </c>
      <c r="P916" t="s">
        <v>34</v>
      </c>
    </row>
    <row r="917" spans="1:16" ht="15" customHeight="1" x14ac:dyDescent="0.4">
      <c r="A917" t="s">
        <v>15</v>
      </c>
      <c r="B917" t="s">
        <v>16</v>
      </c>
      <c r="C917" s="13">
        <v>44927</v>
      </c>
      <c r="D917" s="13">
        <v>45291</v>
      </c>
      <c r="E917" t="s">
        <v>17</v>
      </c>
      <c r="F917">
        <v>0</v>
      </c>
      <c r="G917" t="s">
        <v>18</v>
      </c>
      <c r="H917">
        <v>1</v>
      </c>
      <c r="I917" t="s">
        <v>19</v>
      </c>
      <c r="J917">
        <v>337</v>
      </c>
      <c r="K917" t="s">
        <v>203</v>
      </c>
      <c r="L917" s="13">
        <v>45138</v>
      </c>
      <c r="M917" t="s">
        <v>3091</v>
      </c>
      <c r="N917" t="s">
        <v>106</v>
      </c>
      <c r="O917">
        <v>0.01</v>
      </c>
      <c r="P917" t="s">
        <v>1160</v>
      </c>
    </row>
    <row r="918" spans="1:16" ht="15" customHeight="1" x14ac:dyDescent="0.4">
      <c r="A918" t="s">
        <v>15</v>
      </c>
      <c r="B918" t="s">
        <v>16</v>
      </c>
      <c r="C918" s="13">
        <v>44927</v>
      </c>
      <c r="D918" s="13">
        <v>45291</v>
      </c>
      <c r="E918" t="s">
        <v>17</v>
      </c>
      <c r="F918">
        <v>0</v>
      </c>
      <c r="G918" t="s">
        <v>18</v>
      </c>
      <c r="H918">
        <v>1</v>
      </c>
      <c r="I918" t="s">
        <v>19</v>
      </c>
      <c r="J918">
        <v>337</v>
      </c>
      <c r="K918" t="s">
        <v>203</v>
      </c>
      <c r="L918" s="13">
        <v>45163</v>
      </c>
      <c r="M918" t="s">
        <v>3092</v>
      </c>
      <c r="N918" t="s">
        <v>2992</v>
      </c>
      <c r="O918">
        <v>38.380000000000003</v>
      </c>
      <c r="P918" t="s">
        <v>34</v>
      </c>
    </row>
    <row r="919" spans="1:16" ht="15" customHeight="1" x14ac:dyDescent="0.4">
      <c r="A919" t="s">
        <v>15</v>
      </c>
      <c r="B919" t="s">
        <v>16</v>
      </c>
      <c r="C919" s="13">
        <v>44927</v>
      </c>
      <c r="D919" s="13">
        <v>45291</v>
      </c>
      <c r="E919" t="s">
        <v>17</v>
      </c>
      <c r="F919">
        <v>0</v>
      </c>
      <c r="G919" t="s">
        <v>18</v>
      </c>
      <c r="H919">
        <v>1</v>
      </c>
      <c r="I919" t="s">
        <v>19</v>
      </c>
      <c r="J919">
        <v>337</v>
      </c>
      <c r="K919" t="s">
        <v>203</v>
      </c>
      <c r="L919" s="13">
        <v>45163</v>
      </c>
      <c r="M919" t="s">
        <v>3093</v>
      </c>
      <c r="N919" t="s">
        <v>2992</v>
      </c>
      <c r="O919">
        <v>22.02</v>
      </c>
      <c r="P919" t="s">
        <v>34</v>
      </c>
    </row>
    <row r="920" spans="1:16" ht="15" customHeight="1" x14ac:dyDescent="0.4">
      <c r="A920" t="s">
        <v>15</v>
      </c>
      <c r="B920" t="s">
        <v>16</v>
      </c>
      <c r="C920" s="13">
        <v>44927</v>
      </c>
      <c r="D920" s="13">
        <v>45291</v>
      </c>
      <c r="E920" t="s">
        <v>17</v>
      </c>
      <c r="F920">
        <v>0</v>
      </c>
      <c r="G920" t="s">
        <v>18</v>
      </c>
      <c r="H920">
        <v>1</v>
      </c>
      <c r="I920" t="s">
        <v>19</v>
      </c>
      <c r="J920">
        <v>337</v>
      </c>
      <c r="K920" t="s">
        <v>203</v>
      </c>
      <c r="L920" s="13">
        <v>45169</v>
      </c>
      <c r="M920" t="s">
        <v>3094</v>
      </c>
      <c r="N920" t="s">
        <v>106</v>
      </c>
      <c r="O920">
        <v>-0.01</v>
      </c>
      <c r="P920" t="s">
        <v>205</v>
      </c>
    </row>
    <row r="921" spans="1:16" ht="15" customHeight="1" x14ac:dyDescent="0.4">
      <c r="A921" t="s">
        <v>15</v>
      </c>
      <c r="B921" t="s">
        <v>16</v>
      </c>
      <c r="C921" s="13">
        <v>44927</v>
      </c>
      <c r="D921" s="13">
        <v>45291</v>
      </c>
      <c r="E921" t="s">
        <v>17</v>
      </c>
      <c r="F921">
        <v>0</v>
      </c>
      <c r="G921" t="s">
        <v>18</v>
      </c>
      <c r="H921">
        <v>1</v>
      </c>
      <c r="I921" t="s">
        <v>19</v>
      </c>
      <c r="J921">
        <v>337</v>
      </c>
      <c r="K921" t="s">
        <v>203</v>
      </c>
      <c r="L921" s="13">
        <v>45169</v>
      </c>
      <c r="M921" t="s">
        <v>3095</v>
      </c>
      <c r="N921" t="s">
        <v>106</v>
      </c>
      <c r="O921">
        <v>0.01</v>
      </c>
      <c r="P921" t="s">
        <v>1160</v>
      </c>
    </row>
    <row r="922" spans="1:16" ht="15" customHeight="1" x14ac:dyDescent="0.4">
      <c r="A922" t="s">
        <v>15</v>
      </c>
      <c r="B922" t="s">
        <v>16</v>
      </c>
      <c r="C922" s="13">
        <v>44927</v>
      </c>
      <c r="D922" s="13">
        <v>45291</v>
      </c>
      <c r="E922" t="s">
        <v>17</v>
      </c>
      <c r="F922">
        <v>0</v>
      </c>
      <c r="G922" t="s">
        <v>18</v>
      </c>
      <c r="H922">
        <v>1</v>
      </c>
      <c r="I922" t="s">
        <v>19</v>
      </c>
      <c r="J922">
        <v>337</v>
      </c>
      <c r="K922" t="s">
        <v>203</v>
      </c>
      <c r="L922" s="13">
        <v>45195</v>
      </c>
      <c r="M922" t="s">
        <v>3097</v>
      </c>
      <c r="N922" t="s">
        <v>2995</v>
      </c>
      <c r="O922">
        <v>38.380000000000003</v>
      </c>
      <c r="P922" t="s">
        <v>34</v>
      </c>
    </row>
    <row r="923" spans="1:16" ht="15" customHeight="1" x14ac:dyDescent="0.4">
      <c r="A923" t="s">
        <v>15</v>
      </c>
      <c r="B923" t="s">
        <v>16</v>
      </c>
      <c r="C923" s="13">
        <v>44927</v>
      </c>
      <c r="D923" s="13">
        <v>45291</v>
      </c>
      <c r="E923" t="s">
        <v>17</v>
      </c>
      <c r="F923">
        <v>0</v>
      </c>
      <c r="G923" t="s">
        <v>18</v>
      </c>
      <c r="H923">
        <v>1</v>
      </c>
      <c r="I923" t="s">
        <v>19</v>
      </c>
      <c r="J923">
        <v>337</v>
      </c>
      <c r="K923" t="s">
        <v>203</v>
      </c>
      <c r="L923" s="13">
        <v>45195</v>
      </c>
      <c r="M923" t="s">
        <v>3096</v>
      </c>
      <c r="N923" t="s">
        <v>2995</v>
      </c>
      <c r="O923">
        <v>22.02</v>
      </c>
      <c r="P923" t="s">
        <v>34</v>
      </c>
    </row>
    <row r="924" spans="1:16" ht="15" customHeight="1" x14ac:dyDescent="0.4">
      <c r="A924" t="s">
        <v>15</v>
      </c>
      <c r="B924" t="s">
        <v>16</v>
      </c>
      <c r="C924" s="13">
        <v>44927</v>
      </c>
      <c r="D924" s="13">
        <v>45291</v>
      </c>
      <c r="E924" t="s">
        <v>17</v>
      </c>
      <c r="F924">
        <v>0</v>
      </c>
      <c r="G924" t="s">
        <v>18</v>
      </c>
      <c r="H924">
        <v>1</v>
      </c>
      <c r="I924" t="s">
        <v>19</v>
      </c>
      <c r="J924">
        <v>337</v>
      </c>
      <c r="K924" t="s">
        <v>203</v>
      </c>
      <c r="L924" s="13">
        <v>45199</v>
      </c>
      <c r="M924" t="s">
        <v>3098</v>
      </c>
      <c r="N924" t="s">
        <v>106</v>
      </c>
      <c r="O924">
        <v>-0.01</v>
      </c>
      <c r="P924" t="s">
        <v>205</v>
      </c>
    </row>
    <row r="925" spans="1:16" ht="15" customHeight="1" x14ac:dyDescent="0.4">
      <c r="A925" t="s">
        <v>15</v>
      </c>
      <c r="B925" t="s">
        <v>16</v>
      </c>
      <c r="C925" s="13">
        <v>44927</v>
      </c>
      <c r="D925" s="13">
        <v>45291</v>
      </c>
      <c r="E925" t="s">
        <v>17</v>
      </c>
      <c r="F925">
        <v>0</v>
      </c>
      <c r="G925" t="s">
        <v>18</v>
      </c>
      <c r="H925">
        <v>1</v>
      </c>
      <c r="I925" t="s">
        <v>19</v>
      </c>
      <c r="J925">
        <v>337</v>
      </c>
      <c r="K925" t="s">
        <v>203</v>
      </c>
      <c r="L925" s="13">
        <v>45199</v>
      </c>
      <c r="M925" t="s">
        <v>3099</v>
      </c>
      <c r="N925" t="s">
        <v>106</v>
      </c>
      <c r="O925">
        <v>0.01</v>
      </c>
      <c r="P925" t="s">
        <v>1160</v>
      </c>
    </row>
    <row r="926" spans="1:16" ht="15" customHeight="1" x14ac:dyDescent="0.4">
      <c r="A926" t="s">
        <v>15</v>
      </c>
      <c r="B926" t="s">
        <v>16</v>
      </c>
      <c r="C926" s="13">
        <v>44927</v>
      </c>
      <c r="D926" s="13">
        <v>45291</v>
      </c>
      <c r="E926" t="s">
        <v>17</v>
      </c>
      <c r="F926">
        <v>0</v>
      </c>
      <c r="G926" t="s">
        <v>18</v>
      </c>
      <c r="H926">
        <v>1</v>
      </c>
      <c r="I926" t="s">
        <v>19</v>
      </c>
      <c r="J926">
        <v>337</v>
      </c>
      <c r="K926" t="s">
        <v>203</v>
      </c>
      <c r="L926" s="13">
        <v>45225</v>
      </c>
      <c r="M926" t="s">
        <v>3100</v>
      </c>
      <c r="N926" t="s">
        <v>2998</v>
      </c>
      <c r="O926">
        <v>22.02</v>
      </c>
      <c r="P926" t="s">
        <v>34</v>
      </c>
    </row>
    <row r="927" spans="1:16" ht="15" customHeight="1" x14ac:dyDescent="0.4">
      <c r="A927" t="s">
        <v>15</v>
      </c>
      <c r="B927" t="s">
        <v>16</v>
      </c>
      <c r="C927" s="13">
        <v>44927</v>
      </c>
      <c r="D927" s="13">
        <v>45291</v>
      </c>
      <c r="E927" t="s">
        <v>17</v>
      </c>
      <c r="F927">
        <v>0</v>
      </c>
      <c r="G927" t="s">
        <v>18</v>
      </c>
      <c r="H927">
        <v>1</v>
      </c>
      <c r="I927" t="s">
        <v>19</v>
      </c>
      <c r="J927">
        <v>337</v>
      </c>
      <c r="K927" t="s">
        <v>203</v>
      </c>
      <c r="L927" s="13">
        <v>45225</v>
      </c>
      <c r="M927" t="s">
        <v>3101</v>
      </c>
      <c r="N927" t="s">
        <v>2998</v>
      </c>
      <c r="O927">
        <v>38.380000000000003</v>
      </c>
      <c r="P927" t="s">
        <v>34</v>
      </c>
    </row>
    <row r="928" spans="1:16" ht="15" customHeight="1" x14ac:dyDescent="0.4">
      <c r="A928" t="s">
        <v>15</v>
      </c>
      <c r="B928" t="s">
        <v>16</v>
      </c>
      <c r="C928" s="13">
        <v>44927</v>
      </c>
      <c r="D928" s="13">
        <v>45291</v>
      </c>
      <c r="E928" t="s">
        <v>17</v>
      </c>
      <c r="F928">
        <v>0</v>
      </c>
      <c r="G928" t="s">
        <v>18</v>
      </c>
      <c r="H928">
        <v>1</v>
      </c>
      <c r="I928" t="s">
        <v>19</v>
      </c>
      <c r="J928">
        <v>337</v>
      </c>
      <c r="K928" t="s">
        <v>203</v>
      </c>
      <c r="L928" s="13">
        <v>45230</v>
      </c>
      <c r="M928" t="s">
        <v>3102</v>
      </c>
      <c r="N928" t="s">
        <v>106</v>
      </c>
      <c r="O928">
        <v>0.01</v>
      </c>
      <c r="P928" t="s">
        <v>1160</v>
      </c>
    </row>
    <row r="929" spans="1:16" ht="15" customHeight="1" x14ac:dyDescent="0.4">
      <c r="A929" t="s">
        <v>15</v>
      </c>
      <c r="B929" t="s">
        <v>16</v>
      </c>
      <c r="C929" s="13">
        <v>44927</v>
      </c>
      <c r="D929" s="13">
        <v>45291</v>
      </c>
      <c r="E929" t="s">
        <v>17</v>
      </c>
      <c r="F929">
        <v>0</v>
      </c>
      <c r="G929" t="s">
        <v>18</v>
      </c>
      <c r="H929">
        <v>1</v>
      </c>
      <c r="I929" t="s">
        <v>19</v>
      </c>
      <c r="J929">
        <v>337</v>
      </c>
      <c r="K929" t="s">
        <v>203</v>
      </c>
      <c r="L929" s="13">
        <v>45230</v>
      </c>
      <c r="M929" t="s">
        <v>3103</v>
      </c>
      <c r="N929" t="s">
        <v>106</v>
      </c>
      <c r="O929">
        <v>-0.01</v>
      </c>
      <c r="P929" t="s">
        <v>205</v>
      </c>
    </row>
    <row r="930" spans="1:16" ht="15" customHeight="1" x14ac:dyDescent="0.4">
      <c r="A930" t="s">
        <v>15</v>
      </c>
      <c r="B930" t="s">
        <v>16</v>
      </c>
      <c r="C930" s="13">
        <v>44927</v>
      </c>
      <c r="D930" s="13">
        <v>45291</v>
      </c>
      <c r="E930" t="s">
        <v>17</v>
      </c>
      <c r="F930">
        <v>0</v>
      </c>
      <c r="G930" t="s">
        <v>18</v>
      </c>
      <c r="H930">
        <v>1</v>
      </c>
      <c r="I930" t="s">
        <v>19</v>
      </c>
      <c r="J930">
        <v>337</v>
      </c>
      <c r="K930" t="s">
        <v>203</v>
      </c>
      <c r="L930" s="13">
        <v>45254</v>
      </c>
      <c r="M930" t="s">
        <v>3104</v>
      </c>
      <c r="N930" t="s">
        <v>3001</v>
      </c>
      <c r="O930">
        <v>22.02</v>
      </c>
      <c r="P930" t="s">
        <v>34</v>
      </c>
    </row>
    <row r="931" spans="1:16" ht="15" customHeight="1" x14ac:dyDescent="0.4">
      <c r="A931" t="s">
        <v>15</v>
      </c>
      <c r="B931" t="s">
        <v>16</v>
      </c>
      <c r="C931" s="13">
        <v>44927</v>
      </c>
      <c r="D931" s="13">
        <v>45291</v>
      </c>
      <c r="E931" t="s">
        <v>17</v>
      </c>
      <c r="F931">
        <v>0</v>
      </c>
      <c r="G931" t="s">
        <v>18</v>
      </c>
      <c r="H931">
        <v>1</v>
      </c>
      <c r="I931" t="s">
        <v>19</v>
      </c>
      <c r="J931">
        <v>337</v>
      </c>
      <c r="K931" t="s">
        <v>203</v>
      </c>
      <c r="L931" s="13">
        <v>45254</v>
      </c>
      <c r="M931" t="s">
        <v>3105</v>
      </c>
      <c r="N931" t="s">
        <v>3001</v>
      </c>
      <c r="O931">
        <v>38.380000000000003</v>
      </c>
      <c r="P931" t="s">
        <v>34</v>
      </c>
    </row>
    <row r="932" spans="1:16" ht="15" customHeight="1" x14ac:dyDescent="0.4">
      <c r="A932" t="s">
        <v>15</v>
      </c>
      <c r="B932" t="s">
        <v>16</v>
      </c>
      <c r="C932" s="13">
        <v>44927</v>
      </c>
      <c r="D932" s="13">
        <v>45291</v>
      </c>
      <c r="E932" t="s">
        <v>17</v>
      </c>
      <c r="F932">
        <v>0</v>
      </c>
      <c r="G932" t="s">
        <v>18</v>
      </c>
      <c r="H932">
        <v>1</v>
      </c>
      <c r="I932" t="s">
        <v>19</v>
      </c>
      <c r="J932">
        <v>337</v>
      </c>
      <c r="K932" t="s">
        <v>203</v>
      </c>
      <c r="L932" s="13">
        <v>45260</v>
      </c>
      <c r="M932" t="s">
        <v>3106</v>
      </c>
      <c r="N932" t="s">
        <v>106</v>
      </c>
      <c r="O932">
        <v>-0.01</v>
      </c>
      <c r="P932" t="s">
        <v>205</v>
      </c>
    </row>
    <row r="933" spans="1:16" ht="15" customHeight="1" x14ac:dyDescent="0.4">
      <c r="A933" t="s">
        <v>15</v>
      </c>
      <c r="B933" t="s">
        <v>16</v>
      </c>
      <c r="C933" s="13">
        <v>44927</v>
      </c>
      <c r="D933" s="13">
        <v>45291</v>
      </c>
      <c r="E933" t="s">
        <v>17</v>
      </c>
      <c r="F933">
        <v>0</v>
      </c>
      <c r="G933" t="s">
        <v>18</v>
      </c>
      <c r="H933">
        <v>1</v>
      </c>
      <c r="I933" t="s">
        <v>19</v>
      </c>
      <c r="J933">
        <v>337</v>
      </c>
      <c r="K933" t="s">
        <v>203</v>
      </c>
      <c r="L933" s="13">
        <v>45260</v>
      </c>
      <c r="M933" t="s">
        <v>3107</v>
      </c>
      <c r="N933" t="s">
        <v>106</v>
      </c>
      <c r="O933">
        <v>0.01</v>
      </c>
      <c r="P933" t="s">
        <v>1160</v>
      </c>
    </row>
    <row r="934" spans="1:16" ht="15" customHeight="1" x14ac:dyDescent="0.4">
      <c r="A934" t="s">
        <v>15</v>
      </c>
      <c r="B934" t="s">
        <v>16</v>
      </c>
      <c r="C934" s="13">
        <v>44927</v>
      </c>
      <c r="D934" s="13">
        <v>45291</v>
      </c>
      <c r="E934" t="s">
        <v>17</v>
      </c>
      <c r="F934">
        <v>0</v>
      </c>
      <c r="G934" t="s">
        <v>18</v>
      </c>
      <c r="H934">
        <v>1</v>
      </c>
      <c r="I934" t="s">
        <v>19</v>
      </c>
      <c r="J934">
        <v>337</v>
      </c>
      <c r="K934" t="s">
        <v>203</v>
      </c>
      <c r="L934" s="13">
        <v>45281</v>
      </c>
      <c r="M934" t="s">
        <v>3109</v>
      </c>
      <c r="N934" t="s">
        <v>3004</v>
      </c>
      <c r="O934">
        <v>38.380000000000003</v>
      </c>
      <c r="P934" t="s">
        <v>34</v>
      </c>
    </row>
    <row r="935" spans="1:16" ht="15" customHeight="1" x14ac:dyDescent="0.4">
      <c r="A935" t="s">
        <v>15</v>
      </c>
      <c r="B935" t="s">
        <v>16</v>
      </c>
      <c r="C935" s="13">
        <v>44927</v>
      </c>
      <c r="D935" s="13">
        <v>45291</v>
      </c>
      <c r="E935" t="s">
        <v>17</v>
      </c>
      <c r="F935">
        <v>0</v>
      </c>
      <c r="G935" t="s">
        <v>18</v>
      </c>
      <c r="H935">
        <v>1</v>
      </c>
      <c r="I935" t="s">
        <v>19</v>
      </c>
      <c r="J935">
        <v>337</v>
      </c>
      <c r="K935" t="s">
        <v>203</v>
      </c>
      <c r="L935" s="13">
        <v>45281</v>
      </c>
      <c r="M935" t="s">
        <v>3108</v>
      </c>
      <c r="N935" t="s">
        <v>3004</v>
      </c>
      <c r="O935">
        <v>42.86</v>
      </c>
      <c r="P935" t="s">
        <v>34</v>
      </c>
    </row>
    <row r="936" spans="1:16" ht="15" customHeight="1" x14ac:dyDescent="0.4">
      <c r="A936" t="s">
        <v>15</v>
      </c>
      <c r="B936" t="s">
        <v>16</v>
      </c>
      <c r="C936" s="13">
        <v>44927</v>
      </c>
      <c r="D936" s="13">
        <v>45291</v>
      </c>
      <c r="E936" t="s">
        <v>17</v>
      </c>
      <c r="F936">
        <v>0</v>
      </c>
      <c r="G936" t="s">
        <v>18</v>
      </c>
      <c r="H936">
        <v>1</v>
      </c>
      <c r="I936" t="s">
        <v>19</v>
      </c>
      <c r="J936">
        <v>337</v>
      </c>
      <c r="K936" t="s">
        <v>203</v>
      </c>
      <c r="L936" s="13">
        <v>45291</v>
      </c>
      <c r="M936" t="s">
        <v>3110</v>
      </c>
      <c r="N936" t="s">
        <v>106</v>
      </c>
      <c r="O936">
        <v>0.01</v>
      </c>
      <c r="P936" t="s">
        <v>1160</v>
      </c>
    </row>
    <row r="937" spans="1:16" ht="15" customHeight="1" x14ac:dyDescent="0.4">
      <c r="A937" t="s">
        <v>15</v>
      </c>
      <c r="B937" t="s">
        <v>16</v>
      </c>
      <c r="C937" s="13">
        <v>44927</v>
      </c>
      <c r="D937" s="13">
        <v>45291</v>
      </c>
      <c r="E937" t="s">
        <v>17</v>
      </c>
      <c r="F937">
        <v>0</v>
      </c>
      <c r="G937" t="s">
        <v>18</v>
      </c>
      <c r="H937">
        <v>1</v>
      </c>
      <c r="I937" t="s">
        <v>19</v>
      </c>
      <c r="J937">
        <v>349</v>
      </c>
      <c r="K937" t="s">
        <v>236</v>
      </c>
      <c r="L937" s="13">
        <v>44987</v>
      </c>
      <c r="M937" t="s">
        <v>3521</v>
      </c>
      <c r="N937" t="s">
        <v>3111</v>
      </c>
      <c r="O937">
        <v>18.87</v>
      </c>
      <c r="P937" t="s">
        <v>239</v>
      </c>
    </row>
    <row r="938" spans="1:16" ht="15" customHeight="1" x14ac:dyDescent="0.4">
      <c r="A938" t="s">
        <v>15</v>
      </c>
      <c r="B938" t="s">
        <v>16</v>
      </c>
      <c r="C938" s="13">
        <v>44927</v>
      </c>
      <c r="D938" s="13">
        <v>45291</v>
      </c>
      <c r="E938" t="s">
        <v>17</v>
      </c>
      <c r="F938">
        <v>0</v>
      </c>
      <c r="G938" t="s">
        <v>18</v>
      </c>
      <c r="H938">
        <v>1</v>
      </c>
      <c r="I938" t="s">
        <v>19</v>
      </c>
      <c r="J938">
        <v>349</v>
      </c>
      <c r="K938" t="s">
        <v>236</v>
      </c>
      <c r="L938" s="13">
        <v>45022</v>
      </c>
      <c r="M938" t="s">
        <v>3112</v>
      </c>
      <c r="N938" t="s">
        <v>3113</v>
      </c>
      <c r="O938">
        <v>20.49</v>
      </c>
      <c r="P938" t="s">
        <v>239</v>
      </c>
    </row>
    <row r="939" spans="1:16" ht="15" customHeight="1" x14ac:dyDescent="0.4">
      <c r="A939" t="s">
        <v>15</v>
      </c>
      <c r="B939" t="s">
        <v>16</v>
      </c>
      <c r="C939" s="13">
        <v>44927</v>
      </c>
      <c r="D939" s="13">
        <v>45291</v>
      </c>
      <c r="E939" t="s">
        <v>17</v>
      </c>
      <c r="F939">
        <v>0</v>
      </c>
      <c r="G939" t="s">
        <v>18</v>
      </c>
      <c r="H939">
        <v>1</v>
      </c>
      <c r="I939" t="s">
        <v>19</v>
      </c>
      <c r="J939">
        <v>349</v>
      </c>
      <c r="K939" t="s">
        <v>236</v>
      </c>
      <c r="L939" s="13">
        <v>45114</v>
      </c>
      <c r="M939" t="s">
        <v>3522</v>
      </c>
      <c r="N939" t="s">
        <v>1923</v>
      </c>
      <c r="O939">
        <v>18.87</v>
      </c>
      <c r="P939" t="s">
        <v>239</v>
      </c>
    </row>
    <row r="940" spans="1:16" ht="15" customHeight="1" x14ac:dyDescent="0.4">
      <c r="A940" t="s">
        <v>15</v>
      </c>
      <c r="B940" t="s">
        <v>16</v>
      </c>
      <c r="C940" s="13">
        <v>44927</v>
      </c>
      <c r="D940" s="13">
        <v>45291</v>
      </c>
      <c r="E940" t="s">
        <v>17</v>
      </c>
      <c r="F940">
        <v>0</v>
      </c>
      <c r="G940" t="s">
        <v>18</v>
      </c>
      <c r="H940">
        <v>1</v>
      </c>
      <c r="I940" t="s">
        <v>19</v>
      </c>
      <c r="J940">
        <v>349</v>
      </c>
      <c r="K940" t="s">
        <v>236</v>
      </c>
      <c r="L940" s="13">
        <v>45174</v>
      </c>
      <c r="M940" t="s">
        <v>3523</v>
      </c>
      <c r="N940" t="s">
        <v>3114</v>
      </c>
      <c r="O940">
        <v>18.46</v>
      </c>
      <c r="P940" t="s">
        <v>239</v>
      </c>
    </row>
    <row r="941" spans="1:16" ht="15" customHeight="1" x14ac:dyDescent="0.4">
      <c r="A941" t="s">
        <v>15</v>
      </c>
      <c r="B941" t="s">
        <v>16</v>
      </c>
      <c r="C941" s="13">
        <v>44927</v>
      </c>
      <c r="D941" s="13">
        <v>45291</v>
      </c>
      <c r="E941" t="s">
        <v>17</v>
      </c>
      <c r="F941">
        <v>0</v>
      </c>
      <c r="G941" t="s">
        <v>18</v>
      </c>
      <c r="H941">
        <v>1</v>
      </c>
      <c r="I941" t="s">
        <v>19</v>
      </c>
      <c r="J941">
        <v>349</v>
      </c>
      <c r="K941" t="s">
        <v>236</v>
      </c>
      <c r="L941" s="13">
        <v>45222</v>
      </c>
      <c r="M941" t="s">
        <v>3115</v>
      </c>
      <c r="N941" t="s">
        <v>3116</v>
      </c>
      <c r="O941">
        <v>19.739999999999998</v>
      </c>
      <c r="P941" t="s">
        <v>239</v>
      </c>
    </row>
    <row r="942" spans="1:16" ht="15" customHeight="1" x14ac:dyDescent="0.4">
      <c r="A942" t="s">
        <v>15</v>
      </c>
      <c r="B942" t="s">
        <v>16</v>
      </c>
      <c r="C942" s="13">
        <v>44927</v>
      </c>
      <c r="D942" s="13">
        <v>45291</v>
      </c>
      <c r="E942" t="s">
        <v>17</v>
      </c>
      <c r="F942">
        <v>0</v>
      </c>
      <c r="G942" t="s">
        <v>18</v>
      </c>
      <c r="H942">
        <v>1</v>
      </c>
      <c r="I942" t="s">
        <v>19</v>
      </c>
      <c r="J942">
        <v>349</v>
      </c>
      <c r="K942" t="s">
        <v>236</v>
      </c>
      <c r="L942" s="13">
        <v>45267</v>
      </c>
      <c r="M942" t="s">
        <v>3117</v>
      </c>
      <c r="N942" t="s">
        <v>3113</v>
      </c>
      <c r="O942">
        <v>40.590000000000003</v>
      </c>
      <c r="P942" t="s">
        <v>239</v>
      </c>
    </row>
    <row r="943" spans="1:16" ht="15" customHeight="1" x14ac:dyDescent="0.4">
      <c r="A943" t="s">
        <v>15</v>
      </c>
      <c r="B943" t="s">
        <v>16</v>
      </c>
      <c r="C943" s="13">
        <v>44927</v>
      </c>
      <c r="D943" s="13">
        <v>45291</v>
      </c>
      <c r="E943" t="s">
        <v>17</v>
      </c>
      <c r="F943">
        <v>0</v>
      </c>
      <c r="G943" t="s">
        <v>18</v>
      </c>
      <c r="H943">
        <v>1</v>
      </c>
      <c r="I943" t="s">
        <v>19</v>
      </c>
      <c r="J943">
        <v>355</v>
      </c>
      <c r="K943" t="s">
        <v>250</v>
      </c>
      <c r="L943" s="13">
        <v>44929</v>
      </c>
      <c r="M943" t="s">
        <v>3142</v>
      </c>
      <c r="N943" t="s">
        <v>46</v>
      </c>
      <c r="O943">
        <v>20</v>
      </c>
      <c r="P943" t="s">
        <v>46</v>
      </c>
    </row>
    <row r="944" spans="1:16" ht="15" customHeight="1" x14ac:dyDescent="0.4">
      <c r="A944" t="s">
        <v>15</v>
      </c>
      <c r="B944" t="s">
        <v>16</v>
      </c>
      <c r="C944" s="13">
        <v>44927</v>
      </c>
      <c r="D944" s="13">
        <v>45291</v>
      </c>
      <c r="E944" t="s">
        <v>17</v>
      </c>
      <c r="F944">
        <v>0</v>
      </c>
      <c r="G944" t="s">
        <v>18</v>
      </c>
      <c r="H944">
        <v>1</v>
      </c>
      <c r="I944" t="s">
        <v>19</v>
      </c>
      <c r="J944">
        <v>355</v>
      </c>
      <c r="K944" t="s">
        <v>250</v>
      </c>
      <c r="L944" s="13">
        <v>44999</v>
      </c>
      <c r="M944" t="s">
        <v>3143</v>
      </c>
      <c r="N944" t="s">
        <v>46</v>
      </c>
      <c r="O944">
        <v>20</v>
      </c>
      <c r="P944" t="s">
        <v>46</v>
      </c>
    </row>
    <row r="945" spans="1:16" ht="15" customHeight="1" x14ac:dyDescent="0.4">
      <c r="A945" t="s">
        <v>15</v>
      </c>
      <c r="B945" t="s">
        <v>16</v>
      </c>
      <c r="C945" s="13">
        <v>44927</v>
      </c>
      <c r="D945" s="13">
        <v>45291</v>
      </c>
      <c r="E945" t="s">
        <v>17</v>
      </c>
      <c r="F945">
        <v>0</v>
      </c>
      <c r="G945" t="s">
        <v>18</v>
      </c>
      <c r="H945">
        <v>1</v>
      </c>
      <c r="I945" t="s">
        <v>19</v>
      </c>
      <c r="J945">
        <v>355</v>
      </c>
      <c r="K945" t="s">
        <v>250</v>
      </c>
      <c r="L945" s="13">
        <v>45020</v>
      </c>
      <c r="M945" t="s">
        <v>3144</v>
      </c>
      <c r="N945" t="s">
        <v>46</v>
      </c>
      <c r="O945">
        <v>20</v>
      </c>
      <c r="P945" t="s">
        <v>46</v>
      </c>
    </row>
    <row r="946" spans="1:16" ht="15" customHeight="1" x14ac:dyDescent="0.4">
      <c r="A946" t="s">
        <v>15</v>
      </c>
      <c r="B946" t="s">
        <v>16</v>
      </c>
      <c r="C946" s="13">
        <v>44927</v>
      </c>
      <c r="D946" s="13">
        <v>45291</v>
      </c>
      <c r="E946" t="s">
        <v>17</v>
      </c>
      <c r="F946">
        <v>0</v>
      </c>
      <c r="G946" t="s">
        <v>18</v>
      </c>
      <c r="H946">
        <v>1</v>
      </c>
      <c r="I946" t="s">
        <v>19</v>
      </c>
      <c r="J946">
        <v>355</v>
      </c>
      <c r="K946" t="s">
        <v>250</v>
      </c>
      <c r="L946" s="13">
        <v>45021</v>
      </c>
      <c r="M946" t="s">
        <v>251</v>
      </c>
      <c r="N946" t="s">
        <v>46</v>
      </c>
      <c r="O946">
        <v>28.8</v>
      </c>
      <c r="P946" t="s">
        <v>46</v>
      </c>
    </row>
    <row r="947" spans="1:16" ht="15" customHeight="1" x14ac:dyDescent="0.4">
      <c r="A947" t="s">
        <v>15</v>
      </c>
      <c r="B947" t="s">
        <v>16</v>
      </c>
      <c r="C947" s="13">
        <v>44927</v>
      </c>
      <c r="D947" s="13">
        <v>45291</v>
      </c>
      <c r="E947" t="s">
        <v>17</v>
      </c>
      <c r="F947">
        <v>0</v>
      </c>
      <c r="G947" t="s">
        <v>18</v>
      </c>
      <c r="H947">
        <v>1</v>
      </c>
      <c r="I947" t="s">
        <v>19</v>
      </c>
      <c r="J947">
        <v>355</v>
      </c>
      <c r="K947" t="s">
        <v>250</v>
      </c>
      <c r="L947" s="13">
        <v>45112</v>
      </c>
      <c r="M947" t="s">
        <v>251</v>
      </c>
      <c r="N947" t="s">
        <v>46</v>
      </c>
      <c r="O947">
        <v>28.8</v>
      </c>
      <c r="P947" t="s">
        <v>46</v>
      </c>
    </row>
    <row r="948" spans="1:16" ht="15" customHeight="1" x14ac:dyDescent="0.4">
      <c r="A948" t="s">
        <v>15</v>
      </c>
      <c r="B948" t="s">
        <v>16</v>
      </c>
      <c r="C948" s="13">
        <v>44927</v>
      </c>
      <c r="D948" s="13">
        <v>45291</v>
      </c>
      <c r="E948" t="s">
        <v>17</v>
      </c>
      <c r="F948">
        <v>0</v>
      </c>
      <c r="G948" t="s">
        <v>18</v>
      </c>
      <c r="H948">
        <v>1</v>
      </c>
      <c r="I948" t="s">
        <v>19</v>
      </c>
      <c r="J948">
        <v>355</v>
      </c>
      <c r="K948" t="s">
        <v>250</v>
      </c>
      <c r="L948" s="13">
        <v>45176</v>
      </c>
      <c r="M948" t="s">
        <v>3145</v>
      </c>
      <c r="N948" t="s">
        <v>46</v>
      </c>
      <c r="O948">
        <v>20</v>
      </c>
      <c r="P948" t="s">
        <v>46</v>
      </c>
    </row>
    <row r="949" spans="1:16" ht="15" customHeight="1" x14ac:dyDescent="0.4">
      <c r="A949" t="s">
        <v>15</v>
      </c>
      <c r="B949" t="s">
        <v>16</v>
      </c>
      <c r="C949" s="13">
        <v>44927</v>
      </c>
      <c r="D949" s="13">
        <v>45291</v>
      </c>
      <c r="E949" t="s">
        <v>17</v>
      </c>
      <c r="F949">
        <v>0</v>
      </c>
      <c r="G949" t="s">
        <v>18</v>
      </c>
      <c r="H949">
        <v>1</v>
      </c>
      <c r="I949" t="s">
        <v>19</v>
      </c>
      <c r="J949">
        <v>355</v>
      </c>
      <c r="K949" t="s">
        <v>250</v>
      </c>
      <c r="L949" s="13">
        <v>45203</v>
      </c>
      <c r="M949" t="s">
        <v>251</v>
      </c>
      <c r="N949" t="s">
        <v>46</v>
      </c>
      <c r="O949">
        <v>28.8</v>
      </c>
      <c r="P949" t="s">
        <v>46</v>
      </c>
    </row>
    <row r="950" spans="1:16" ht="15" customHeight="1" x14ac:dyDescent="0.4">
      <c r="A950" t="s">
        <v>15</v>
      </c>
      <c r="B950" t="s">
        <v>16</v>
      </c>
      <c r="C950" s="13">
        <v>44927</v>
      </c>
      <c r="D950" s="13">
        <v>45291</v>
      </c>
      <c r="E950" t="s">
        <v>17</v>
      </c>
      <c r="F950">
        <v>0</v>
      </c>
      <c r="G950" t="s">
        <v>18</v>
      </c>
      <c r="H950">
        <v>1</v>
      </c>
      <c r="I950" t="s">
        <v>19</v>
      </c>
      <c r="J950">
        <v>355</v>
      </c>
      <c r="K950" t="s">
        <v>250</v>
      </c>
      <c r="L950" s="13">
        <v>45237</v>
      </c>
      <c r="M950" t="s">
        <v>3146</v>
      </c>
      <c r="N950" t="s">
        <v>46</v>
      </c>
      <c r="O950">
        <v>20</v>
      </c>
      <c r="P950" t="s">
        <v>46</v>
      </c>
    </row>
    <row r="951" spans="1:16" ht="15" customHeight="1" x14ac:dyDescent="0.4">
      <c r="A951" t="s">
        <v>15</v>
      </c>
      <c r="B951" t="s">
        <v>16</v>
      </c>
      <c r="C951" s="13">
        <v>44927</v>
      </c>
      <c r="D951" s="13">
        <v>45291</v>
      </c>
      <c r="E951" t="s">
        <v>17</v>
      </c>
      <c r="F951">
        <v>0</v>
      </c>
      <c r="G951" t="s">
        <v>18</v>
      </c>
      <c r="H951">
        <v>1</v>
      </c>
      <c r="I951" t="s">
        <v>19</v>
      </c>
      <c r="J951">
        <v>355</v>
      </c>
      <c r="K951" t="s">
        <v>250</v>
      </c>
      <c r="L951" s="13">
        <v>45261</v>
      </c>
      <c r="M951" t="s">
        <v>3147</v>
      </c>
      <c r="N951" t="s">
        <v>46</v>
      </c>
      <c r="O951">
        <v>20</v>
      </c>
      <c r="P951" t="s">
        <v>46</v>
      </c>
    </row>
    <row r="952" spans="1:16" ht="15" customHeight="1" x14ac:dyDescent="0.4">
      <c r="A952" t="s">
        <v>15</v>
      </c>
      <c r="B952" t="s">
        <v>16</v>
      </c>
      <c r="C952" s="13">
        <v>44927</v>
      </c>
      <c r="D952" s="13">
        <v>45291</v>
      </c>
      <c r="E952" t="s">
        <v>17</v>
      </c>
      <c r="F952">
        <v>0</v>
      </c>
      <c r="G952" t="s">
        <v>18</v>
      </c>
      <c r="H952">
        <v>1</v>
      </c>
      <c r="I952" t="s">
        <v>19</v>
      </c>
      <c r="J952">
        <v>355</v>
      </c>
      <c r="K952" t="s">
        <v>250</v>
      </c>
      <c r="L952" s="13">
        <v>45266</v>
      </c>
      <c r="M952" t="s">
        <v>3147</v>
      </c>
      <c r="N952" t="s">
        <v>46</v>
      </c>
      <c r="O952">
        <v>20</v>
      </c>
      <c r="P952" t="s">
        <v>46</v>
      </c>
    </row>
    <row r="953" spans="1:16" ht="15" customHeight="1" x14ac:dyDescent="0.4">
      <c r="A953" t="s">
        <v>15</v>
      </c>
      <c r="B953" t="s">
        <v>16</v>
      </c>
      <c r="C953" s="13">
        <v>44927</v>
      </c>
      <c r="D953" s="13">
        <v>45291</v>
      </c>
      <c r="E953" t="s">
        <v>17</v>
      </c>
      <c r="F953">
        <v>0</v>
      </c>
      <c r="G953" t="s">
        <v>18</v>
      </c>
      <c r="H953">
        <v>1</v>
      </c>
      <c r="I953" t="s">
        <v>19</v>
      </c>
      <c r="J953">
        <v>355</v>
      </c>
      <c r="K953" t="s">
        <v>250</v>
      </c>
      <c r="L953" s="13">
        <v>45291</v>
      </c>
      <c r="M953" t="s">
        <v>251</v>
      </c>
      <c r="N953" t="s">
        <v>46</v>
      </c>
      <c r="O953">
        <v>28.8</v>
      </c>
      <c r="P953" t="s">
        <v>46</v>
      </c>
    </row>
    <row r="954" spans="1:16" ht="15" customHeight="1" x14ac:dyDescent="0.4">
      <c r="A954" t="s">
        <v>15</v>
      </c>
      <c r="B954" t="s">
        <v>16</v>
      </c>
      <c r="C954" s="13">
        <v>44927</v>
      </c>
      <c r="D954" s="13">
        <v>45291</v>
      </c>
      <c r="E954" t="s">
        <v>30</v>
      </c>
      <c r="F954">
        <v>0</v>
      </c>
      <c r="G954" t="s">
        <v>18</v>
      </c>
      <c r="H954">
        <v>1</v>
      </c>
      <c r="I954" t="s">
        <v>19</v>
      </c>
      <c r="J954">
        <v>403</v>
      </c>
      <c r="K954" t="s">
        <v>261</v>
      </c>
      <c r="L954" s="13">
        <v>45278</v>
      </c>
      <c r="M954" t="s">
        <v>3165</v>
      </c>
      <c r="N954" t="s">
        <v>3166</v>
      </c>
      <c r="O954">
        <v>96</v>
      </c>
      <c r="P954" t="s">
        <v>264</v>
      </c>
    </row>
    <row r="955" spans="1:16" ht="15" customHeight="1" x14ac:dyDescent="0.4">
      <c r="A955" t="s">
        <v>15</v>
      </c>
      <c r="B955" t="s">
        <v>16</v>
      </c>
      <c r="C955" s="13">
        <v>44927</v>
      </c>
      <c r="D955" s="13">
        <v>45291</v>
      </c>
      <c r="E955" t="s">
        <v>30</v>
      </c>
      <c r="F955">
        <v>0</v>
      </c>
      <c r="G955" t="s">
        <v>18</v>
      </c>
      <c r="H955">
        <v>1</v>
      </c>
      <c r="I955" t="s">
        <v>19</v>
      </c>
      <c r="J955">
        <v>403</v>
      </c>
      <c r="K955" t="s">
        <v>261</v>
      </c>
      <c r="L955" s="13">
        <v>45278</v>
      </c>
      <c r="M955" t="s">
        <v>3167</v>
      </c>
      <c r="N955" t="s">
        <v>3166</v>
      </c>
      <c r="O955">
        <v>96</v>
      </c>
      <c r="P955" t="s">
        <v>264</v>
      </c>
    </row>
    <row r="956" spans="1:16" ht="15" customHeight="1" x14ac:dyDescent="0.4">
      <c r="A956" t="s">
        <v>15</v>
      </c>
      <c r="B956" t="s">
        <v>16</v>
      </c>
      <c r="C956" s="13">
        <v>44927</v>
      </c>
      <c r="D956" s="13">
        <v>45291</v>
      </c>
      <c r="E956" t="s">
        <v>17</v>
      </c>
      <c r="F956">
        <v>0</v>
      </c>
      <c r="G956" t="s">
        <v>18</v>
      </c>
      <c r="H956">
        <v>1</v>
      </c>
      <c r="I956" t="s">
        <v>19</v>
      </c>
      <c r="J956">
        <v>441</v>
      </c>
      <c r="K956" t="s">
        <v>268</v>
      </c>
      <c r="L956" s="13">
        <v>44927</v>
      </c>
      <c r="M956" t="s">
        <v>3168</v>
      </c>
      <c r="N956" t="s">
        <v>3169</v>
      </c>
      <c r="O956">
        <v>10532.09</v>
      </c>
      <c r="P956" t="s">
        <v>271</v>
      </c>
    </row>
    <row r="957" spans="1:16" ht="15" customHeight="1" x14ac:dyDescent="0.4">
      <c r="A957" t="s">
        <v>15</v>
      </c>
      <c r="B957" t="s">
        <v>16</v>
      </c>
      <c r="C957" s="13">
        <v>44927</v>
      </c>
      <c r="D957" s="13">
        <v>45291</v>
      </c>
      <c r="E957" t="s">
        <v>17</v>
      </c>
      <c r="F957">
        <v>0</v>
      </c>
      <c r="G957" t="s">
        <v>18</v>
      </c>
      <c r="H957">
        <v>1</v>
      </c>
      <c r="I957" t="s">
        <v>19</v>
      </c>
      <c r="J957">
        <v>461</v>
      </c>
      <c r="K957" t="s">
        <v>272</v>
      </c>
      <c r="L957" s="13">
        <v>44927</v>
      </c>
      <c r="M957" t="s">
        <v>3172</v>
      </c>
      <c r="N957" t="s">
        <v>3173</v>
      </c>
      <c r="O957">
        <v>437.8</v>
      </c>
      <c r="P957" t="s">
        <v>3174</v>
      </c>
    </row>
    <row r="958" spans="1:16" ht="15" customHeight="1" x14ac:dyDescent="0.4">
      <c r="A958" t="s">
        <v>15</v>
      </c>
      <c r="B958" t="s">
        <v>16</v>
      </c>
      <c r="C958" s="13">
        <v>44927</v>
      </c>
      <c r="D958" s="13">
        <v>45291</v>
      </c>
      <c r="E958" t="s">
        <v>17</v>
      </c>
      <c r="F958">
        <v>0</v>
      </c>
      <c r="G958" t="s">
        <v>18</v>
      </c>
      <c r="H958">
        <v>1</v>
      </c>
      <c r="I958" t="s">
        <v>19</v>
      </c>
      <c r="J958">
        <v>461</v>
      </c>
      <c r="K958" t="s">
        <v>272</v>
      </c>
      <c r="L958" s="13">
        <v>44927</v>
      </c>
      <c r="M958" t="s">
        <v>3175</v>
      </c>
      <c r="N958" t="s">
        <v>3176</v>
      </c>
      <c r="O958">
        <v>212.95</v>
      </c>
      <c r="P958" t="s">
        <v>808</v>
      </c>
    </row>
    <row r="959" spans="1:16" ht="15" customHeight="1" x14ac:dyDescent="0.4">
      <c r="A959" t="s">
        <v>15</v>
      </c>
      <c r="B959" t="s">
        <v>16</v>
      </c>
      <c r="C959" s="13">
        <v>44927</v>
      </c>
      <c r="D959" s="13">
        <v>45291</v>
      </c>
      <c r="E959" t="s">
        <v>17</v>
      </c>
      <c r="F959">
        <v>0</v>
      </c>
      <c r="G959" t="s">
        <v>18</v>
      </c>
      <c r="H959">
        <v>1</v>
      </c>
      <c r="I959" t="s">
        <v>19</v>
      </c>
      <c r="J959">
        <v>461</v>
      </c>
      <c r="K959" t="s">
        <v>272</v>
      </c>
      <c r="L959" s="13">
        <v>45125</v>
      </c>
      <c r="M959" t="s">
        <v>3177</v>
      </c>
      <c r="N959" t="s">
        <v>3178</v>
      </c>
      <c r="O959">
        <v>629.30999999999995</v>
      </c>
      <c r="P959" t="s">
        <v>805</v>
      </c>
    </row>
    <row r="960" spans="1:16" ht="15" customHeight="1" x14ac:dyDescent="0.4">
      <c r="A960" t="s">
        <v>15</v>
      </c>
      <c r="B960" t="s">
        <v>16</v>
      </c>
      <c r="C960" s="13">
        <v>44927</v>
      </c>
      <c r="D960" s="13">
        <v>45291</v>
      </c>
      <c r="E960" t="s">
        <v>17</v>
      </c>
      <c r="F960">
        <v>0</v>
      </c>
      <c r="G960" t="s">
        <v>18</v>
      </c>
      <c r="H960">
        <v>1</v>
      </c>
      <c r="I960" t="s">
        <v>19</v>
      </c>
      <c r="J960">
        <v>461</v>
      </c>
      <c r="K960" t="s">
        <v>272</v>
      </c>
      <c r="L960" s="13">
        <v>45222</v>
      </c>
      <c r="M960" t="s">
        <v>3179</v>
      </c>
      <c r="N960" t="s">
        <v>3180</v>
      </c>
      <c r="O960">
        <v>1079.76</v>
      </c>
      <c r="P960" t="s">
        <v>805</v>
      </c>
    </row>
    <row r="961" spans="1:16" ht="15" customHeight="1" x14ac:dyDescent="0.4">
      <c r="A961" t="s">
        <v>15</v>
      </c>
      <c r="B961" t="s">
        <v>16</v>
      </c>
      <c r="C961" s="13">
        <v>44927</v>
      </c>
      <c r="D961" s="13">
        <v>45291</v>
      </c>
      <c r="E961" t="s">
        <v>17</v>
      </c>
      <c r="F961">
        <v>0</v>
      </c>
      <c r="G961" t="s">
        <v>18</v>
      </c>
      <c r="H961">
        <v>1</v>
      </c>
      <c r="I961" t="s">
        <v>19</v>
      </c>
      <c r="J961">
        <v>702</v>
      </c>
      <c r="K961" t="s">
        <v>275</v>
      </c>
      <c r="L961" s="13">
        <v>45061</v>
      </c>
      <c r="M961" t="s">
        <v>3524</v>
      </c>
      <c r="N961" t="s">
        <v>3525</v>
      </c>
      <c r="O961">
        <v>43.49</v>
      </c>
      <c r="P961" t="s">
        <v>368</v>
      </c>
    </row>
    <row r="962" spans="1:16" ht="15" customHeight="1" x14ac:dyDescent="0.4">
      <c r="A962" t="s">
        <v>15</v>
      </c>
      <c r="B962" t="s">
        <v>16</v>
      </c>
      <c r="C962" s="13">
        <v>44927</v>
      </c>
      <c r="D962" s="13">
        <v>45291</v>
      </c>
      <c r="E962" t="s">
        <v>17</v>
      </c>
      <c r="F962">
        <v>0</v>
      </c>
      <c r="G962" t="s">
        <v>18</v>
      </c>
      <c r="H962">
        <v>1</v>
      </c>
      <c r="I962" t="s">
        <v>19</v>
      </c>
      <c r="J962">
        <v>791</v>
      </c>
      <c r="K962" t="s">
        <v>277</v>
      </c>
      <c r="L962" s="13">
        <v>44927</v>
      </c>
      <c r="M962" t="s">
        <v>3187</v>
      </c>
      <c r="N962" t="s">
        <v>3188</v>
      </c>
      <c r="O962">
        <v>341.48</v>
      </c>
      <c r="P962" t="s">
        <v>280</v>
      </c>
    </row>
    <row r="963" spans="1:16" ht="15" customHeight="1" x14ac:dyDescent="0.4">
      <c r="A963" t="s">
        <v>15</v>
      </c>
      <c r="B963" t="s">
        <v>16</v>
      </c>
      <c r="C963" s="13">
        <v>44927</v>
      </c>
      <c r="D963" s="13">
        <v>45291</v>
      </c>
      <c r="E963" t="s">
        <v>17</v>
      </c>
      <c r="F963">
        <v>0</v>
      </c>
      <c r="G963" t="s">
        <v>18</v>
      </c>
      <c r="H963">
        <v>1</v>
      </c>
      <c r="I963" t="s">
        <v>19</v>
      </c>
      <c r="J963">
        <v>791</v>
      </c>
      <c r="K963" t="s">
        <v>277</v>
      </c>
      <c r="L963" s="13">
        <v>45009</v>
      </c>
      <c r="M963" t="s">
        <v>3189</v>
      </c>
      <c r="N963" t="s">
        <v>3190</v>
      </c>
      <c r="O963">
        <v>341.48</v>
      </c>
      <c r="P963" t="s">
        <v>280</v>
      </c>
    </row>
    <row r="964" spans="1:16" ht="15" customHeight="1" x14ac:dyDescent="0.4">
      <c r="A964" t="s">
        <v>15</v>
      </c>
      <c r="B964" t="s">
        <v>16</v>
      </c>
      <c r="C964" s="13">
        <v>44927</v>
      </c>
      <c r="D964" s="13">
        <v>45291</v>
      </c>
      <c r="E964" t="s">
        <v>17</v>
      </c>
      <c r="F964">
        <v>0</v>
      </c>
      <c r="G964" t="s">
        <v>18</v>
      </c>
      <c r="H964">
        <v>1</v>
      </c>
      <c r="I964" t="s">
        <v>19</v>
      </c>
      <c r="J964">
        <v>791</v>
      </c>
      <c r="K964" t="s">
        <v>277</v>
      </c>
      <c r="L964" s="13">
        <v>45108</v>
      </c>
      <c r="M964" t="s">
        <v>3526</v>
      </c>
      <c r="N964" t="s">
        <v>3527</v>
      </c>
      <c r="O964">
        <v>341.48</v>
      </c>
      <c r="P964" t="s">
        <v>280</v>
      </c>
    </row>
    <row r="965" spans="1:16" ht="15" customHeight="1" x14ac:dyDescent="0.4">
      <c r="A965" t="s">
        <v>15</v>
      </c>
      <c r="B965" t="s">
        <v>16</v>
      </c>
      <c r="C965" s="13">
        <v>44927</v>
      </c>
      <c r="D965" s="13">
        <v>45291</v>
      </c>
      <c r="E965" t="s">
        <v>17</v>
      </c>
      <c r="F965">
        <v>0</v>
      </c>
      <c r="G965" t="s">
        <v>18</v>
      </c>
      <c r="H965">
        <v>1</v>
      </c>
      <c r="I965" t="s">
        <v>19</v>
      </c>
      <c r="J965">
        <v>791</v>
      </c>
      <c r="K965" t="s">
        <v>277</v>
      </c>
      <c r="L965" s="13">
        <v>45189</v>
      </c>
      <c r="M965" t="s">
        <v>3191</v>
      </c>
      <c r="N965" t="s">
        <v>3192</v>
      </c>
      <c r="O965">
        <v>341.48</v>
      </c>
      <c r="P965" t="s">
        <v>280</v>
      </c>
    </row>
    <row r="966" spans="1:16" ht="15" customHeight="1" x14ac:dyDescent="0.4">
      <c r="A966" t="s">
        <v>15</v>
      </c>
      <c r="B966" t="s">
        <v>16</v>
      </c>
      <c r="C966" s="13">
        <v>44927</v>
      </c>
      <c r="D966" s="13">
        <v>45291</v>
      </c>
      <c r="E966" t="s">
        <v>17</v>
      </c>
      <c r="F966">
        <v>0</v>
      </c>
      <c r="G966" t="s">
        <v>18</v>
      </c>
      <c r="H966">
        <v>1</v>
      </c>
      <c r="I966" t="s">
        <v>19</v>
      </c>
      <c r="J966">
        <v>791</v>
      </c>
      <c r="K966" t="s">
        <v>277</v>
      </c>
      <c r="L966" s="13">
        <v>45291</v>
      </c>
      <c r="M966" t="s">
        <v>287</v>
      </c>
      <c r="N966" t="s">
        <v>288</v>
      </c>
      <c r="O966">
        <v>-455.26</v>
      </c>
      <c r="P966" t="s">
        <v>46</v>
      </c>
    </row>
    <row r="967" spans="1:16" ht="15" customHeight="1" x14ac:dyDescent="0.4">
      <c r="A967" t="s">
        <v>15</v>
      </c>
      <c r="B967" t="s">
        <v>16</v>
      </c>
      <c r="C967" s="13">
        <v>44927</v>
      </c>
      <c r="D967" s="13">
        <v>45291</v>
      </c>
      <c r="E967" t="s">
        <v>30</v>
      </c>
      <c r="F967">
        <v>0</v>
      </c>
      <c r="G967" t="s">
        <v>18</v>
      </c>
      <c r="H967">
        <v>1</v>
      </c>
      <c r="I967" t="s">
        <v>19</v>
      </c>
      <c r="J967">
        <v>793</v>
      </c>
      <c r="K967" t="s">
        <v>2786</v>
      </c>
      <c r="L967" s="13">
        <v>45064</v>
      </c>
      <c r="M967" t="s">
        <v>3193</v>
      </c>
      <c r="N967" t="s">
        <v>3194</v>
      </c>
      <c r="O967">
        <v>395.16</v>
      </c>
      <c r="P967" t="s">
        <v>280</v>
      </c>
    </row>
    <row r="968" spans="1:16" ht="15" customHeight="1" x14ac:dyDescent="0.4">
      <c r="A968" t="s">
        <v>15</v>
      </c>
      <c r="B968" t="s">
        <v>16</v>
      </c>
      <c r="C968" s="13">
        <v>44927</v>
      </c>
      <c r="D968" s="13">
        <v>45291</v>
      </c>
      <c r="E968" t="s">
        <v>17</v>
      </c>
      <c r="F968">
        <v>0</v>
      </c>
      <c r="G968" t="s">
        <v>18</v>
      </c>
      <c r="H968">
        <v>1</v>
      </c>
      <c r="I968" t="s">
        <v>19</v>
      </c>
      <c r="J968">
        <v>841</v>
      </c>
      <c r="K968" t="s">
        <v>289</v>
      </c>
      <c r="L968" s="13">
        <v>44952</v>
      </c>
      <c r="M968" t="s">
        <v>3528</v>
      </c>
      <c r="N968" t="s">
        <v>3195</v>
      </c>
      <c r="O968">
        <v>976.73</v>
      </c>
      <c r="P968" t="s">
        <v>292</v>
      </c>
    </row>
    <row r="969" spans="1:16" ht="15" customHeight="1" x14ac:dyDescent="0.4">
      <c r="A969" t="s">
        <v>15</v>
      </c>
      <c r="B969" t="s">
        <v>16</v>
      </c>
      <c r="C969" s="13">
        <v>44927</v>
      </c>
      <c r="D969" s="13">
        <v>45291</v>
      </c>
      <c r="E969" t="s">
        <v>17</v>
      </c>
      <c r="F969">
        <v>0</v>
      </c>
      <c r="G969" t="s">
        <v>18</v>
      </c>
      <c r="H969">
        <v>1</v>
      </c>
      <c r="I969" t="s">
        <v>19</v>
      </c>
      <c r="J969">
        <v>841</v>
      </c>
      <c r="K969" t="s">
        <v>289</v>
      </c>
      <c r="L969" s="13">
        <v>44984</v>
      </c>
      <c r="M969" t="s">
        <v>3529</v>
      </c>
      <c r="N969" t="s">
        <v>3196</v>
      </c>
      <c r="O969">
        <v>976.73</v>
      </c>
      <c r="P969" t="s">
        <v>292</v>
      </c>
    </row>
    <row r="970" spans="1:16" ht="15" customHeight="1" x14ac:dyDescent="0.4">
      <c r="A970" t="s">
        <v>15</v>
      </c>
      <c r="B970" t="s">
        <v>16</v>
      </c>
      <c r="C970" s="13">
        <v>44927</v>
      </c>
      <c r="D970" s="13">
        <v>45291</v>
      </c>
      <c r="E970" t="s">
        <v>17</v>
      </c>
      <c r="F970">
        <v>0</v>
      </c>
      <c r="G970" t="s">
        <v>18</v>
      </c>
      <c r="H970">
        <v>1</v>
      </c>
      <c r="I970" t="s">
        <v>19</v>
      </c>
      <c r="J970">
        <v>841</v>
      </c>
      <c r="K970" t="s">
        <v>289</v>
      </c>
      <c r="L970" s="13">
        <v>45016</v>
      </c>
      <c r="M970" t="s">
        <v>3197</v>
      </c>
      <c r="N970" t="s">
        <v>3198</v>
      </c>
      <c r="O970">
        <v>976.75</v>
      </c>
      <c r="P970" t="s">
        <v>292</v>
      </c>
    </row>
    <row r="971" spans="1:16" ht="15" customHeight="1" x14ac:dyDescent="0.4">
      <c r="A971" t="s">
        <v>15</v>
      </c>
      <c r="B971" t="s">
        <v>16</v>
      </c>
      <c r="C971" s="13">
        <v>44927</v>
      </c>
      <c r="D971" s="13">
        <v>45291</v>
      </c>
      <c r="E971" t="s">
        <v>17</v>
      </c>
      <c r="F971">
        <v>0</v>
      </c>
      <c r="G971" t="s">
        <v>18</v>
      </c>
      <c r="H971">
        <v>1</v>
      </c>
      <c r="I971" t="s">
        <v>19</v>
      </c>
      <c r="J971">
        <v>841</v>
      </c>
      <c r="K971" t="s">
        <v>289</v>
      </c>
      <c r="L971" s="13">
        <v>45046</v>
      </c>
      <c r="M971" t="s">
        <v>3530</v>
      </c>
      <c r="N971" t="s">
        <v>3201</v>
      </c>
      <c r="O971">
        <v>1015.8</v>
      </c>
      <c r="P971" t="s">
        <v>292</v>
      </c>
    </row>
    <row r="972" spans="1:16" ht="15" customHeight="1" x14ac:dyDescent="0.4">
      <c r="A972" t="s">
        <v>15</v>
      </c>
      <c r="B972" t="s">
        <v>16</v>
      </c>
      <c r="C972" s="13">
        <v>44927</v>
      </c>
      <c r="D972" s="13">
        <v>45291</v>
      </c>
      <c r="E972" t="s">
        <v>17</v>
      </c>
      <c r="F972">
        <v>0</v>
      </c>
      <c r="G972" t="s">
        <v>18</v>
      </c>
      <c r="H972">
        <v>1</v>
      </c>
      <c r="I972" t="s">
        <v>19</v>
      </c>
      <c r="J972">
        <v>841</v>
      </c>
      <c r="K972" t="s">
        <v>289</v>
      </c>
      <c r="L972" s="13">
        <v>45090</v>
      </c>
      <c r="M972" t="s">
        <v>3199</v>
      </c>
      <c r="N972" t="s">
        <v>3200</v>
      </c>
      <c r="O972">
        <v>1015.8</v>
      </c>
      <c r="P972" t="s">
        <v>292</v>
      </c>
    </row>
    <row r="973" spans="1:16" ht="15" customHeight="1" x14ac:dyDescent="0.4">
      <c r="A973" t="s">
        <v>15</v>
      </c>
      <c r="B973" t="s">
        <v>16</v>
      </c>
      <c r="C973" s="13">
        <v>44927</v>
      </c>
      <c r="D973" s="13">
        <v>45291</v>
      </c>
      <c r="E973" t="s">
        <v>17</v>
      </c>
      <c r="F973">
        <v>0</v>
      </c>
      <c r="G973" t="s">
        <v>18</v>
      </c>
      <c r="H973">
        <v>1</v>
      </c>
      <c r="I973" t="s">
        <v>19</v>
      </c>
      <c r="J973">
        <v>841</v>
      </c>
      <c r="K973" t="s">
        <v>289</v>
      </c>
      <c r="L973" s="13">
        <v>45126</v>
      </c>
      <c r="M973" t="s">
        <v>3202</v>
      </c>
      <c r="N973" t="s">
        <v>3203</v>
      </c>
      <c r="O973">
        <v>1015.8</v>
      </c>
      <c r="P973" t="s">
        <v>292</v>
      </c>
    </row>
    <row r="974" spans="1:16" ht="15" customHeight="1" x14ac:dyDescent="0.4">
      <c r="A974" t="s">
        <v>15</v>
      </c>
      <c r="B974" t="s">
        <v>16</v>
      </c>
      <c r="C974" s="13">
        <v>44927</v>
      </c>
      <c r="D974" s="13">
        <v>45291</v>
      </c>
      <c r="E974" t="s">
        <v>17</v>
      </c>
      <c r="F974">
        <v>0</v>
      </c>
      <c r="G974" t="s">
        <v>18</v>
      </c>
      <c r="H974">
        <v>1</v>
      </c>
      <c r="I974" t="s">
        <v>19</v>
      </c>
      <c r="J974">
        <v>841</v>
      </c>
      <c r="K974" t="s">
        <v>289</v>
      </c>
      <c r="L974" s="13">
        <v>45138</v>
      </c>
      <c r="M974" t="s">
        <v>3531</v>
      </c>
      <c r="N974" t="s">
        <v>3204</v>
      </c>
      <c r="O974">
        <v>1015.8</v>
      </c>
      <c r="P974" t="s">
        <v>292</v>
      </c>
    </row>
    <row r="975" spans="1:16" ht="15" customHeight="1" x14ac:dyDescent="0.4">
      <c r="A975" t="s">
        <v>15</v>
      </c>
      <c r="B975" t="s">
        <v>16</v>
      </c>
      <c r="C975" s="13">
        <v>44927</v>
      </c>
      <c r="D975" s="13">
        <v>45291</v>
      </c>
      <c r="E975" t="s">
        <v>17</v>
      </c>
      <c r="F975">
        <v>0</v>
      </c>
      <c r="G975" t="s">
        <v>18</v>
      </c>
      <c r="H975">
        <v>1</v>
      </c>
      <c r="I975" t="s">
        <v>19</v>
      </c>
      <c r="J975">
        <v>841</v>
      </c>
      <c r="K975" t="s">
        <v>289</v>
      </c>
      <c r="L975" s="13">
        <v>45195</v>
      </c>
      <c r="M975" t="s">
        <v>3205</v>
      </c>
      <c r="N975" t="s">
        <v>3206</v>
      </c>
      <c r="O975">
        <v>1015.8</v>
      </c>
      <c r="P975" t="s">
        <v>292</v>
      </c>
    </row>
    <row r="976" spans="1:16" ht="15" customHeight="1" x14ac:dyDescent="0.4">
      <c r="A976" t="s">
        <v>15</v>
      </c>
      <c r="B976" t="s">
        <v>16</v>
      </c>
      <c r="C976" s="13">
        <v>44927</v>
      </c>
      <c r="D976" s="13">
        <v>45291</v>
      </c>
      <c r="E976" t="s">
        <v>17</v>
      </c>
      <c r="F976">
        <v>0</v>
      </c>
      <c r="G976" t="s">
        <v>18</v>
      </c>
      <c r="H976">
        <v>1</v>
      </c>
      <c r="I976" t="s">
        <v>19</v>
      </c>
      <c r="J976">
        <v>841</v>
      </c>
      <c r="K976" t="s">
        <v>289</v>
      </c>
      <c r="L976" s="13">
        <v>45199</v>
      </c>
      <c r="M976" t="s">
        <v>3532</v>
      </c>
      <c r="N976" t="s">
        <v>3533</v>
      </c>
      <c r="O976">
        <v>1015.8</v>
      </c>
      <c r="P976" t="s">
        <v>292</v>
      </c>
    </row>
    <row r="977" spans="1:16" ht="15" customHeight="1" x14ac:dyDescent="0.4">
      <c r="A977" t="s">
        <v>15</v>
      </c>
      <c r="B977" t="s">
        <v>16</v>
      </c>
      <c r="C977" s="13">
        <v>44927</v>
      </c>
      <c r="D977" s="13">
        <v>45291</v>
      </c>
      <c r="E977" t="s">
        <v>17</v>
      </c>
      <c r="F977">
        <v>0</v>
      </c>
      <c r="G977" t="s">
        <v>18</v>
      </c>
      <c r="H977">
        <v>1</v>
      </c>
      <c r="I977" t="s">
        <v>19</v>
      </c>
      <c r="J977">
        <v>841</v>
      </c>
      <c r="K977" t="s">
        <v>289</v>
      </c>
      <c r="L977" s="13">
        <v>45222</v>
      </c>
      <c r="M977" t="s">
        <v>3207</v>
      </c>
      <c r="N977" t="s">
        <v>3208</v>
      </c>
      <c r="O977">
        <v>1015.8</v>
      </c>
      <c r="P977" t="s">
        <v>292</v>
      </c>
    </row>
    <row r="978" spans="1:16" ht="15" customHeight="1" x14ac:dyDescent="0.4">
      <c r="A978" t="s">
        <v>15</v>
      </c>
      <c r="B978" t="s">
        <v>16</v>
      </c>
      <c r="C978" s="13">
        <v>44927</v>
      </c>
      <c r="D978" s="13">
        <v>45291</v>
      </c>
      <c r="E978" t="s">
        <v>17</v>
      </c>
      <c r="F978">
        <v>0</v>
      </c>
      <c r="G978" t="s">
        <v>18</v>
      </c>
      <c r="H978">
        <v>1</v>
      </c>
      <c r="I978" t="s">
        <v>19</v>
      </c>
      <c r="J978">
        <v>841</v>
      </c>
      <c r="K978" t="s">
        <v>289</v>
      </c>
      <c r="L978" s="13">
        <v>45260</v>
      </c>
      <c r="M978" t="s">
        <v>3534</v>
      </c>
      <c r="N978" t="s">
        <v>3535</v>
      </c>
      <c r="O978">
        <v>1015.8</v>
      </c>
      <c r="P978" t="s">
        <v>292</v>
      </c>
    </row>
    <row r="979" spans="1:16" ht="15" customHeight="1" x14ac:dyDescent="0.4">
      <c r="A979" t="s">
        <v>15</v>
      </c>
      <c r="B979" t="s">
        <v>16</v>
      </c>
      <c r="C979" s="13">
        <v>44927</v>
      </c>
      <c r="D979" s="13">
        <v>45291</v>
      </c>
      <c r="E979" t="s">
        <v>17</v>
      </c>
      <c r="F979">
        <v>0</v>
      </c>
      <c r="G979" t="s">
        <v>18</v>
      </c>
      <c r="H979">
        <v>1</v>
      </c>
      <c r="I979" t="s">
        <v>19</v>
      </c>
      <c r="J979">
        <v>841</v>
      </c>
      <c r="K979" t="s">
        <v>289</v>
      </c>
      <c r="L979" s="13">
        <v>45291</v>
      </c>
      <c r="M979" t="s">
        <v>3536</v>
      </c>
      <c r="N979" t="s">
        <v>3537</v>
      </c>
      <c r="O979">
        <v>1015.8</v>
      </c>
      <c r="P979" t="s">
        <v>292</v>
      </c>
    </row>
    <row r="980" spans="1:16" ht="15" customHeight="1" x14ac:dyDescent="0.4">
      <c r="A980" t="s">
        <v>15</v>
      </c>
      <c r="B980" t="s">
        <v>16</v>
      </c>
      <c r="C980" s="13">
        <v>44927</v>
      </c>
      <c r="D980" s="13">
        <v>45291</v>
      </c>
      <c r="E980" t="s">
        <v>17</v>
      </c>
      <c r="F980">
        <v>0</v>
      </c>
      <c r="G980" t="s">
        <v>18</v>
      </c>
      <c r="H980">
        <v>1</v>
      </c>
      <c r="I980" t="s">
        <v>19</v>
      </c>
      <c r="J980">
        <v>845</v>
      </c>
      <c r="K980" t="s">
        <v>315</v>
      </c>
      <c r="L980" s="13">
        <v>45120</v>
      </c>
      <c r="M980" t="s">
        <v>3209</v>
      </c>
      <c r="N980" t="s">
        <v>3210</v>
      </c>
      <c r="O980">
        <v>480</v>
      </c>
      <c r="P980" t="s">
        <v>292</v>
      </c>
    </row>
    <row r="981" spans="1:16" ht="15" customHeight="1" x14ac:dyDescent="0.4">
      <c r="A981" t="s">
        <v>15</v>
      </c>
      <c r="B981" t="s">
        <v>16</v>
      </c>
      <c r="C981" s="13">
        <v>44927</v>
      </c>
      <c r="D981" s="13">
        <v>45291</v>
      </c>
      <c r="E981" t="s">
        <v>17</v>
      </c>
      <c r="F981">
        <v>0</v>
      </c>
      <c r="G981" t="s">
        <v>18</v>
      </c>
      <c r="H981">
        <v>1</v>
      </c>
      <c r="I981" t="s">
        <v>19</v>
      </c>
      <c r="J981">
        <v>881</v>
      </c>
      <c r="K981" t="s">
        <v>327</v>
      </c>
      <c r="L981" s="13">
        <v>45291</v>
      </c>
      <c r="M981" t="s">
        <v>328</v>
      </c>
      <c r="N981" t="s">
        <v>329</v>
      </c>
      <c r="O981">
        <v>31.92</v>
      </c>
      <c r="P981" t="s">
        <v>46</v>
      </c>
    </row>
    <row r="982" spans="1:16" ht="15" customHeight="1" x14ac:dyDescent="0.4">
      <c r="A982" t="s">
        <v>15</v>
      </c>
      <c r="B982" t="s">
        <v>16</v>
      </c>
      <c r="C982" s="13">
        <v>44927</v>
      </c>
      <c r="D982" s="13">
        <v>45291</v>
      </c>
      <c r="E982" t="s">
        <v>17</v>
      </c>
      <c r="F982">
        <v>0</v>
      </c>
      <c r="G982" t="s">
        <v>18</v>
      </c>
      <c r="H982">
        <v>1</v>
      </c>
      <c r="I982" t="s">
        <v>19</v>
      </c>
      <c r="J982">
        <v>883</v>
      </c>
      <c r="K982" t="s">
        <v>330</v>
      </c>
      <c r="L982" s="13">
        <v>45015</v>
      </c>
      <c r="M982" t="s">
        <v>3241</v>
      </c>
      <c r="N982" t="s">
        <v>3242</v>
      </c>
      <c r="O982">
        <v>138.31</v>
      </c>
      <c r="P982" t="s">
        <v>333</v>
      </c>
    </row>
    <row r="983" spans="1:16" ht="15" customHeight="1" x14ac:dyDescent="0.4">
      <c r="A983" t="s">
        <v>15</v>
      </c>
      <c r="B983" t="s">
        <v>16</v>
      </c>
      <c r="C983" s="13">
        <v>44927</v>
      </c>
      <c r="D983" s="13">
        <v>45291</v>
      </c>
      <c r="E983" t="s">
        <v>17</v>
      </c>
      <c r="F983">
        <v>0</v>
      </c>
      <c r="G983" t="s">
        <v>18</v>
      </c>
      <c r="H983">
        <v>1</v>
      </c>
      <c r="I983" t="s">
        <v>19</v>
      </c>
      <c r="J983">
        <v>909</v>
      </c>
      <c r="K983" t="s">
        <v>334</v>
      </c>
      <c r="L983" s="13">
        <v>45291</v>
      </c>
      <c r="M983" t="s">
        <v>3538</v>
      </c>
      <c r="N983" t="s">
        <v>46</v>
      </c>
      <c r="O983">
        <v>-45863.26</v>
      </c>
      <c r="P983" t="s">
        <v>46</v>
      </c>
    </row>
    <row r="984" spans="1:16" ht="15" customHeight="1" x14ac:dyDescent="0.4">
      <c r="A984" t="s">
        <v>15</v>
      </c>
      <c r="B984" t="s">
        <v>16</v>
      </c>
      <c r="C984" s="13">
        <v>44927</v>
      </c>
      <c r="D984" s="13">
        <v>45291</v>
      </c>
      <c r="E984" t="s">
        <v>17</v>
      </c>
      <c r="F984">
        <v>0</v>
      </c>
      <c r="G984" t="s">
        <v>18</v>
      </c>
      <c r="H984">
        <v>1</v>
      </c>
      <c r="I984" t="s">
        <v>19</v>
      </c>
      <c r="J984">
        <v>952</v>
      </c>
      <c r="K984" t="s">
        <v>336</v>
      </c>
      <c r="L984" s="13">
        <v>44927</v>
      </c>
      <c r="M984" t="s">
        <v>3215</v>
      </c>
      <c r="N984" t="s">
        <v>3216</v>
      </c>
      <c r="O984">
        <v>-2129.5700000000002</v>
      </c>
      <c r="P984" t="s">
        <v>271</v>
      </c>
    </row>
    <row r="985" spans="1:16" ht="15" customHeight="1" x14ac:dyDescent="0.4">
      <c r="A985" t="s">
        <v>15</v>
      </c>
      <c r="B985" t="s">
        <v>16</v>
      </c>
      <c r="C985" s="13">
        <v>44927</v>
      </c>
      <c r="D985" s="13">
        <v>45291</v>
      </c>
      <c r="E985" t="s">
        <v>17</v>
      </c>
      <c r="F985">
        <v>0</v>
      </c>
      <c r="G985" t="s">
        <v>18</v>
      </c>
      <c r="H985">
        <v>1</v>
      </c>
      <c r="I985" t="s">
        <v>19</v>
      </c>
      <c r="J985">
        <v>952</v>
      </c>
      <c r="K985" t="s">
        <v>336</v>
      </c>
      <c r="L985" s="13">
        <v>45230</v>
      </c>
      <c r="M985" t="s">
        <v>3217</v>
      </c>
      <c r="N985" t="s">
        <v>3218</v>
      </c>
      <c r="O985">
        <v>-437.5</v>
      </c>
      <c r="P985" t="s">
        <v>46</v>
      </c>
    </row>
    <row r="986" spans="1:16" ht="15" customHeight="1" x14ac:dyDescent="0.4">
      <c r="A986" t="s">
        <v>15</v>
      </c>
      <c r="B986" t="s">
        <v>16</v>
      </c>
      <c r="C986" s="13">
        <v>44927</v>
      </c>
      <c r="D986" s="13">
        <v>45291</v>
      </c>
      <c r="E986" t="s">
        <v>17</v>
      </c>
      <c r="F986">
        <v>0</v>
      </c>
      <c r="G986" t="s">
        <v>18</v>
      </c>
      <c r="H986">
        <v>1</v>
      </c>
      <c r="I986" t="s">
        <v>19</v>
      </c>
      <c r="J986">
        <v>959</v>
      </c>
      <c r="K986" t="s">
        <v>2003</v>
      </c>
      <c r="L986" s="13">
        <v>45281</v>
      </c>
      <c r="M986" t="s">
        <v>3219</v>
      </c>
      <c r="N986" t="s">
        <v>3220</v>
      </c>
      <c r="O986">
        <v>-2289.96</v>
      </c>
      <c r="P986" t="s">
        <v>46</v>
      </c>
    </row>
    <row r="987" spans="1:16" ht="15" customHeight="1" x14ac:dyDescent="0.4">
      <c r="A987" t="s">
        <v>15</v>
      </c>
      <c r="B987" t="s">
        <v>16</v>
      </c>
      <c r="C987" s="13">
        <v>44927</v>
      </c>
      <c r="D987" s="13">
        <v>45291</v>
      </c>
      <c r="E987" t="s">
        <v>17</v>
      </c>
      <c r="F987">
        <v>0</v>
      </c>
      <c r="G987" t="s">
        <v>18</v>
      </c>
      <c r="H987">
        <v>1</v>
      </c>
      <c r="I987" t="s">
        <v>19</v>
      </c>
      <c r="J987">
        <v>988</v>
      </c>
      <c r="K987" t="s">
        <v>339</v>
      </c>
      <c r="L987" s="13">
        <v>44927</v>
      </c>
      <c r="M987" t="s">
        <v>3221</v>
      </c>
      <c r="N987" t="s">
        <v>341</v>
      </c>
      <c r="O987">
        <v>0.43</v>
      </c>
      <c r="P987" t="s">
        <v>46</v>
      </c>
    </row>
    <row r="988" spans="1:16" ht="15" customHeight="1" x14ac:dyDescent="0.4">
      <c r="A988" t="s">
        <v>15</v>
      </c>
      <c r="B988" t="s">
        <v>16</v>
      </c>
      <c r="C988" s="13">
        <v>44927</v>
      </c>
      <c r="D988" s="13">
        <v>45291</v>
      </c>
      <c r="E988" t="s">
        <v>17</v>
      </c>
      <c r="F988">
        <v>0</v>
      </c>
      <c r="G988" t="s">
        <v>342</v>
      </c>
      <c r="H988">
        <v>2</v>
      </c>
      <c r="I988" t="s">
        <v>343</v>
      </c>
      <c r="J988">
        <v>242</v>
      </c>
      <c r="K988" t="s">
        <v>348</v>
      </c>
      <c r="L988" s="13">
        <v>45291</v>
      </c>
      <c r="M988" t="s">
        <v>3539</v>
      </c>
      <c r="N988" t="s">
        <v>45</v>
      </c>
      <c r="O988">
        <v>496.99</v>
      </c>
      <c r="P988" t="s">
        <v>46</v>
      </c>
    </row>
    <row r="989" spans="1:16" ht="15" customHeight="1" x14ac:dyDescent="0.4">
      <c r="A989" t="s">
        <v>15</v>
      </c>
      <c r="B989" t="s">
        <v>16</v>
      </c>
      <c r="C989" s="13">
        <v>44927</v>
      </c>
      <c r="D989" s="13">
        <v>45291</v>
      </c>
      <c r="E989" t="s">
        <v>17</v>
      </c>
      <c r="F989">
        <v>0</v>
      </c>
      <c r="G989" t="s">
        <v>342</v>
      </c>
      <c r="H989">
        <v>2</v>
      </c>
      <c r="I989" t="s">
        <v>343</v>
      </c>
      <c r="J989">
        <v>269</v>
      </c>
      <c r="K989" t="s">
        <v>3656</v>
      </c>
      <c r="L989" s="13">
        <v>44948</v>
      </c>
      <c r="M989" t="s">
        <v>3222</v>
      </c>
      <c r="N989" t="s">
        <v>3223</v>
      </c>
      <c r="O989">
        <v>31.72</v>
      </c>
      <c r="P989" t="s">
        <v>52</v>
      </c>
    </row>
    <row r="990" spans="1:16" ht="15" customHeight="1" x14ac:dyDescent="0.4">
      <c r="A990" t="s">
        <v>15</v>
      </c>
      <c r="B990" t="s">
        <v>16</v>
      </c>
      <c r="C990" s="13">
        <v>44927</v>
      </c>
      <c r="D990" s="13">
        <v>45291</v>
      </c>
      <c r="E990" t="s">
        <v>17</v>
      </c>
      <c r="F990">
        <v>0</v>
      </c>
      <c r="G990" t="s">
        <v>342</v>
      </c>
      <c r="H990">
        <v>2</v>
      </c>
      <c r="I990" t="s">
        <v>343</v>
      </c>
      <c r="J990">
        <v>269</v>
      </c>
      <c r="K990" t="s">
        <v>3656</v>
      </c>
      <c r="L990" s="13">
        <v>44981</v>
      </c>
      <c r="M990" t="s">
        <v>3224</v>
      </c>
      <c r="N990" t="s">
        <v>3225</v>
      </c>
      <c r="O990">
        <v>30.23</v>
      </c>
      <c r="P990" t="s">
        <v>52</v>
      </c>
    </row>
    <row r="991" spans="1:16" ht="15" customHeight="1" x14ac:dyDescent="0.4">
      <c r="A991" t="s">
        <v>15</v>
      </c>
      <c r="B991" t="s">
        <v>16</v>
      </c>
      <c r="C991" s="13">
        <v>44927</v>
      </c>
      <c r="D991" s="13">
        <v>45291</v>
      </c>
      <c r="E991" t="s">
        <v>17</v>
      </c>
      <c r="F991">
        <v>0</v>
      </c>
      <c r="G991" t="s">
        <v>342</v>
      </c>
      <c r="H991">
        <v>2</v>
      </c>
      <c r="I991" t="s">
        <v>343</v>
      </c>
      <c r="J991">
        <v>269</v>
      </c>
      <c r="K991" t="s">
        <v>3656</v>
      </c>
      <c r="L991" s="13">
        <v>45028</v>
      </c>
      <c r="M991" t="s">
        <v>3226</v>
      </c>
      <c r="N991" t="s">
        <v>3227</v>
      </c>
      <c r="O991">
        <v>23</v>
      </c>
      <c r="P991" t="s">
        <v>52</v>
      </c>
    </row>
    <row r="992" spans="1:16" ht="15" customHeight="1" x14ac:dyDescent="0.4">
      <c r="A992" t="s">
        <v>15</v>
      </c>
      <c r="B992" t="s">
        <v>16</v>
      </c>
      <c r="C992" s="13">
        <v>44927</v>
      </c>
      <c r="D992" s="13">
        <v>45291</v>
      </c>
      <c r="E992" t="s">
        <v>17</v>
      </c>
      <c r="F992">
        <v>0</v>
      </c>
      <c r="G992" t="s">
        <v>342</v>
      </c>
      <c r="H992">
        <v>2</v>
      </c>
      <c r="I992" t="s">
        <v>343</v>
      </c>
      <c r="J992">
        <v>269</v>
      </c>
      <c r="K992" t="s">
        <v>3656</v>
      </c>
      <c r="L992" s="13">
        <v>45038</v>
      </c>
      <c r="M992" t="s">
        <v>3540</v>
      </c>
      <c r="N992" t="s">
        <v>3228</v>
      </c>
      <c r="O992">
        <v>24.54</v>
      </c>
      <c r="P992" t="s">
        <v>52</v>
      </c>
    </row>
    <row r="993" spans="1:16" ht="15" customHeight="1" x14ac:dyDescent="0.4">
      <c r="A993" t="s">
        <v>15</v>
      </c>
      <c r="B993" t="s">
        <v>16</v>
      </c>
      <c r="C993" s="13">
        <v>44927</v>
      </c>
      <c r="D993" s="13">
        <v>45291</v>
      </c>
      <c r="E993" t="s">
        <v>17</v>
      </c>
      <c r="F993">
        <v>0</v>
      </c>
      <c r="G993" t="s">
        <v>342</v>
      </c>
      <c r="H993">
        <v>2</v>
      </c>
      <c r="I993" t="s">
        <v>343</v>
      </c>
      <c r="J993">
        <v>269</v>
      </c>
      <c r="K993" t="s">
        <v>3656</v>
      </c>
      <c r="L993" s="13">
        <v>45069</v>
      </c>
      <c r="M993" t="s">
        <v>3541</v>
      </c>
      <c r="N993" t="s">
        <v>3229</v>
      </c>
      <c r="O993">
        <v>20.39</v>
      </c>
      <c r="P993" t="s">
        <v>52</v>
      </c>
    </row>
    <row r="994" spans="1:16" ht="15" customHeight="1" x14ac:dyDescent="0.4">
      <c r="A994" t="s">
        <v>15</v>
      </c>
      <c r="B994" t="s">
        <v>16</v>
      </c>
      <c r="C994" s="13">
        <v>44927</v>
      </c>
      <c r="D994" s="13">
        <v>45291</v>
      </c>
      <c r="E994" t="s">
        <v>17</v>
      </c>
      <c r="F994">
        <v>0</v>
      </c>
      <c r="G994" t="s">
        <v>342</v>
      </c>
      <c r="H994">
        <v>2</v>
      </c>
      <c r="I994" t="s">
        <v>343</v>
      </c>
      <c r="J994">
        <v>269</v>
      </c>
      <c r="K994" t="s">
        <v>3656</v>
      </c>
      <c r="L994" s="13">
        <v>45103</v>
      </c>
      <c r="M994" t="s">
        <v>3230</v>
      </c>
      <c r="N994" t="s">
        <v>3231</v>
      </c>
      <c r="O994">
        <v>24.2</v>
      </c>
      <c r="P994" t="s">
        <v>52</v>
      </c>
    </row>
    <row r="995" spans="1:16" ht="15" customHeight="1" x14ac:dyDescent="0.4">
      <c r="A995" t="s">
        <v>15</v>
      </c>
      <c r="B995" t="s">
        <v>16</v>
      </c>
      <c r="C995" s="13">
        <v>44927</v>
      </c>
      <c r="D995" s="13">
        <v>45291</v>
      </c>
      <c r="E995" t="s">
        <v>17</v>
      </c>
      <c r="F995">
        <v>0</v>
      </c>
      <c r="G995" t="s">
        <v>342</v>
      </c>
      <c r="H995">
        <v>2</v>
      </c>
      <c r="I995" t="s">
        <v>343</v>
      </c>
      <c r="J995">
        <v>269</v>
      </c>
      <c r="K995" t="s">
        <v>3656</v>
      </c>
      <c r="L995" s="13">
        <v>45131</v>
      </c>
      <c r="M995" t="s">
        <v>3232</v>
      </c>
      <c r="N995" t="s">
        <v>3233</v>
      </c>
      <c r="O995">
        <v>25.17</v>
      </c>
      <c r="P995" t="s">
        <v>52</v>
      </c>
    </row>
    <row r="996" spans="1:16" ht="15" customHeight="1" x14ac:dyDescent="0.4">
      <c r="A996" t="s">
        <v>15</v>
      </c>
      <c r="B996" t="s">
        <v>16</v>
      </c>
      <c r="C996" s="13">
        <v>44927</v>
      </c>
      <c r="D996" s="13">
        <v>45291</v>
      </c>
      <c r="E996" t="s">
        <v>17</v>
      </c>
      <c r="F996">
        <v>0</v>
      </c>
      <c r="G996" t="s">
        <v>342</v>
      </c>
      <c r="H996">
        <v>2</v>
      </c>
      <c r="I996" t="s">
        <v>343</v>
      </c>
      <c r="J996">
        <v>269</v>
      </c>
      <c r="K996" t="s">
        <v>3656</v>
      </c>
      <c r="L996" s="13">
        <v>45160</v>
      </c>
      <c r="M996" t="s">
        <v>3542</v>
      </c>
      <c r="N996" t="s">
        <v>3234</v>
      </c>
      <c r="O996">
        <v>28.59</v>
      </c>
      <c r="P996" t="s">
        <v>52</v>
      </c>
    </row>
    <row r="997" spans="1:16" ht="15" customHeight="1" x14ac:dyDescent="0.4">
      <c r="A997" t="s">
        <v>15</v>
      </c>
      <c r="B997" t="s">
        <v>16</v>
      </c>
      <c r="C997" s="13">
        <v>44927</v>
      </c>
      <c r="D997" s="13">
        <v>45291</v>
      </c>
      <c r="E997" t="s">
        <v>17</v>
      </c>
      <c r="F997">
        <v>0</v>
      </c>
      <c r="G997" t="s">
        <v>342</v>
      </c>
      <c r="H997">
        <v>2</v>
      </c>
      <c r="I997" t="s">
        <v>343</v>
      </c>
      <c r="J997">
        <v>269</v>
      </c>
      <c r="K997" t="s">
        <v>3656</v>
      </c>
      <c r="L997" s="13">
        <v>45194</v>
      </c>
      <c r="M997" t="s">
        <v>3235</v>
      </c>
      <c r="N997" t="s">
        <v>3236</v>
      </c>
      <c r="O997">
        <v>22.61</v>
      </c>
      <c r="P997" t="s">
        <v>52</v>
      </c>
    </row>
    <row r="998" spans="1:16" ht="15" customHeight="1" x14ac:dyDescent="0.4">
      <c r="A998" t="s">
        <v>15</v>
      </c>
      <c r="B998" t="s">
        <v>16</v>
      </c>
      <c r="C998" s="13">
        <v>44927</v>
      </c>
      <c r="D998" s="13">
        <v>45291</v>
      </c>
      <c r="E998" t="s">
        <v>17</v>
      </c>
      <c r="F998">
        <v>0</v>
      </c>
      <c r="G998" t="s">
        <v>342</v>
      </c>
      <c r="H998">
        <v>2</v>
      </c>
      <c r="I998" t="s">
        <v>343</v>
      </c>
      <c r="J998">
        <v>269</v>
      </c>
      <c r="K998" t="s">
        <v>3656</v>
      </c>
      <c r="L998" s="13">
        <v>45222</v>
      </c>
      <c r="M998" t="s">
        <v>3543</v>
      </c>
      <c r="N998" t="s">
        <v>3237</v>
      </c>
      <c r="O998">
        <v>32.39</v>
      </c>
      <c r="P998" t="s">
        <v>52</v>
      </c>
    </row>
    <row r="999" spans="1:16" ht="15" customHeight="1" x14ac:dyDescent="0.4">
      <c r="A999" t="s">
        <v>15</v>
      </c>
      <c r="B999" t="s">
        <v>16</v>
      </c>
      <c r="C999" s="13">
        <v>44927</v>
      </c>
      <c r="D999" s="13">
        <v>45291</v>
      </c>
      <c r="E999" t="s">
        <v>17</v>
      </c>
      <c r="F999">
        <v>0</v>
      </c>
      <c r="G999" t="s">
        <v>342</v>
      </c>
      <c r="H999">
        <v>2</v>
      </c>
      <c r="I999" t="s">
        <v>343</v>
      </c>
      <c r="J999">
        <v>269</v>
      </c>
      <c r="K999" t="s">
        <v>3656</v>
      </c>
      <c r="L999" s="13">
        <v>45253</v>
      </c>
      <c r="M999" t="s">
        <v>3544</v>
      </c>
      <c r="N999" t="s">
        <v>3238</v>
      </c>
      <c r="O999">
        <v>30.41</v>
      </c>
      <c r="P999" t="s">
        <v>52</v>
      </c>
    </row>
    <row r="1000" spans="1:16" ht="15" customHeight="1" x14ac:dyDescent="0.4">
      <c r="A1000" t="s">
        <v>15</v>
      </c>
      <c r="B1000" t="s">
        <v>16</v>
      </c>
      <c r="C1000" s="13">
        <v>44927</v>
      </c>
      <c r="D1000" s="13">
        <v>45291</v>
      </c>
      <c r="E1000" t="s">
        <v>17</v>
      </c>
      <c r="F1000">
        <v>0</v>
      </c>
      <c r="G1000" t="s">
        <v>342</v>
      </c>
      <c r="H1000">
        <v>2</v>
      </c>
      <c r="I1000" t="s">
        <v>343</v>
      </c>
      <c r="J1000">
        <v>269</v>
      </c>
      <c r="K1000" t="s">
        <v>3656</v>
      </c>
      <c r="L1000" s="13">
        <v>45286</v>
      </c>
      <c r="M1000" t="s">
        <v>3545</v>
      </c>
      <c r="N1000" t="s">
        <v>2925</v>
      </c>
      <c r="O1000">
        <v>29.62</v>
      </c>
      <c r="P1000" t="s">
        <v>52</v>
      </c>
    </row>
    <row r="1001" spans="1:16" ht="15" customHeight="1" x14ac:dyDescent="0.4">
      <c r="A1001" t="s">
        <v>15</v>
      </c>
      <c r="B1001" t="s">
        <v>16</v>
      </c>
      <c r="C1001" s="13">
        <v>44927</v>
      </c>
      <c r="D1001" s="13">
        <v>45291</v>
      </c>
      <c r="E1001" t="s">
        <v>17</v>
      </c>
      <c r="F1001">
        <v>0</v>
      </c>
      <c r="G1001" t="s">
        <v>342</v>
      </c>
      <c r="H1001">
        <v>2</v>
      </c>
      <c r="I1001" t="s">
        <v>343</v>
      </c>
      <c r="J1001">
        <v>702</v>
      </c>
      <c r="K1001" t="s">
        <v>275</v>
      </c>
      <c r="L1001" s="13">
        <v>45061</v>
      </c>
      <c r="M1001" t="s">
        <v>3524</v>
      </c>
      <c r="N1001" t="s">
        <v>3525</v>
      </c>
      <c r="O1001">
        <v>130.47</v>
      </c>
      <c r="P1001" t="s">
        <v>368</v>
      </c>
    </row>
    <row r="1002" spans="1:16" ht="15" customHeight="1" x14ac:dyDescent="0.4">
      <c r="A1002" t="s">
        <v>15</v>
      </c>
      <c r="B1002" t="s">
        <v>16</v>
      </c>
      <c r="C1002" s="13">
        <v>44927</v>
      </c>
      <c r="D1002" s="13">
        <v>45291</v>
      </c>
      <c r="E1002" t="s">
        <v>17</v>
      </c>
      <c r="F1002">
        <v>0</v>
      </c>
      <c r="G1002" t="s">
        <v>342</v>
      </c>
      <c r="H1002">
        <v>2</v>
      </c>
      <c r="I1002" t="s">
        <v>343</v>
      </c>
      <c r="J1002">
        <v>706</v>
      </c>
      <c r="K1002" t="s">
        <v>365</v>
      </c>
      <c r="L1002" s="13">
        <v>45061</v>
      </c>
      <c r="M1002" t="s">
        <v>366</v>
      </c>
      <c r="N1002" t="s">
        <v>3186</v>
      </c>
      <c r="O1002">
        <v>58.29</v>
      </c>
      <c r="P1002" t="s">
        <v>368</v>
      </c>
    </row>
    <row r="1003" spans="1:16" ht="15" customHeight="1" x14ac:dyDescent="0.4">
      <c r="A1003" t="s">
        <v>15</v>
      </c>
      <c r="B1003" t="s">
        <v>16</v>
      </c>
      <c r="C1003" s="13">
        <v>44927</v>
      </c>
      <c r="D1003" s="13">
        <v>45291</v>
      </c>
      <c r="E1003" t="s">
        <v>17</v>
      </c>
      <c r="F1003">
        <v>0</v>
      </c>
      <c r="G1003" t="s">
        <v>342</v>
      </c>
      <c r="H1003">
        <v>2</v>
      </c>
      <c r="I1003" t="s">
        <v>343</v>
      </c>
      <c r="J1003">
        <v>791</v>
      </c>
      <c r="K1003" t="s">
        <v>369</v>
      </c>
      <c r="L1003" s="13">
        <v>45291</v>
      </c>
      <c r="M1003" t="s">
        <v>370</v>
      </c>
      <c r="N1003" t="s">
        <v>288</v>
      </c>
      <c r="O1003">
        <v>455.26</v>
      </c>
      <c r="P1003" t="s">
        <v>46</v>
      </c>
    </row>
    <row r="1004" spans="1:16" ht="15" customHeight="1" x14ac:dyDescent="0.4">
      <c r="A1004" t="s">
        <v>15</v>
      </c>
      <c r="B1004" t="s">
        <v>16</v>
      </c>
      <c r="C1004" s="13">
        <v>44927</v>
      </c>
      <c r="D1004" s="13">
        <v>45291</v>
      </c>
      <c r="E1004" t="s">
        <v>17</v>
      </c>
      <c r="F1004">
        <v>0</v>
      </c>
      <c r="G1004" t="s">
        <v>342</v>
      </c>
      <c r="H1004">
        <v>2</v>
      </c>
      <c r="I1004" t="s">
        <v>343</v>
      </c>
      <c r="J1004">
        <v>883</v>
      </c>
      <c r="K1004" t="s">
        <v>371</v>
      </c>
      <c r="L1004" s="13">
        <v>45011</v>
      </c>
      <c r="M1004" t="s">
        <v>3239</v>
      </c>
      <c r="N1004" t="s">
        <v>3240</v>
      </c>
      <c r="O1004">
        <v>171.02</v>
      </c>
      <c r="P1004" t="s">
        <v>374</v>
      </c>
    </row>
    <row r="1005" spans="1:16" ht="15" customHeight="1" x14ac:dyDescent="0.4">
      <c r="A1005" t="s">
        <v>15</v>
      </c>
      <c r="B1005" t="s">
        <v>16</v>
      </c>
      <c r="C1005" s="13">
        <v>44927</v>
      </c>
      <c r="D1005" s="13">
        <v>45291</v>
      </c>
      <c r="E1005" t="s">
        <v>17</v>
      </c>
      <c r="F1005">
        <v>0</v>
      </c>
      <c r="G1005" t="s">
        <v>342</v>
      </c>
      <c r="H1005">
        <v>2</v>
      </c>
      <c r="I1005" t="s">
        <v>343</v>
      </c>
      <c r="J1005">
        <v>883</v>
      </c>
      <c r="K1005" t="s">
        <v>371</v>
      </c>
      <c r="L1005" s="13">
        <v>45291</v>
      </c>
      <c r="M1005" t="s">
        <v>375</v>
      </c>
      <c r="N1005" t="s">
        <v>376</v>
      </c>
      <c r="O1005">
        <v>-57</v>
      </c>
      <c r="P1005" t="s">
        <v>46</v>
      </c>
    </row>
    <row r="1006" spans="1:16" ht="15" customHeight="1" x14ac:dyDescent="0.4">
      <c r="A1006" t="s">
        <v>15</v>
      </c>
      <c r="B1006" t="s">
        <v>16</v>
      </c>
      <c r="C1006" s="13">
        <v>44927</v>
      </c>
      <c r="D1006" s="13">
        <v>45291</v>
      </c>
      <c r="E1006" t="s">
        <v>17</v>
      </c>
      <c r="F1006">
        <v>0</v>
      </c>
      <c r="G1006" t="s">
        <v>342</v>
      </c>
      <c r="H1006">
        <v>2</v>
      </c>
      <c r="I1006" t="s">
        <v>343</v>
      </c>
      <c r="J1006">
        <v>891</v>
      </c>
      <c r="K1006" t="s">
        <v>377</v>
      </c>
      <c r="L1006" s="13">
        <v>45291</v>
      </c>
      <c r="M1006" t="s">
        <v>3546</v>
      </c>
      <c r="N1006" t="s">
        <v>46</v>
      </c>
      <c r="O1006">
        <v>18561.04</v>
      </c>
      <c r="P1006" t="s">
        <v>46</v>
      </c>
    </row>
    <row r="1007" spans="1:16" ht="15" customHeight="1" x14ac:dyDescent="0.4">
      <c r="A1007" t="s">
        <v>15</v>
      </c>
      <c r="B1007" t="s">
        <v>16</v>
      </c>
      <c r="C1007" s="13">
        <v>44927</v>
      </c>
      <c r="D1007" s="13">
        <v>45291</v>
      </c>
      <c r="E1007" t="s">
        <v>30</v>
      </c>
      <c r="F1007">
        <v>0</v>
      </c>
      <c r="G1007" t="s">
        <v>379</v>
      </c>
      <c r="H1007">
        <v>3</v>
      </c>
      <c r="I1007" t="s">
        <v>380</v>
      </c>
      <c r="J1007">
        <v>231</v>
      </c>
      <c r="K1007" t="s">
        <v>381</v>
      </c>
      <c r="L1007" s="13">
        <v>44927</v>
      </c>
      <c r="M1007" t="s">
        <v>3243</v>
      </c>
      <c r="N1007" t="s">
        <v>3244</v>
      </c>
      <c r="O1007">
        <v>276.23</v>
      </c>
      <c r="P1007" t="s">
        <v>384</v>
      </c>
    </row>
    <row r="1008" spans="1:16" ht="15" customHeight="1" x14ac:dyDescent="0.4">
      <c r="A1008" t="s">
        <v>15</v>
      </c>
      <c r="B1008" t="s">
        <v>16</v>
      </c>
      <c r="C1008" s="13">
        <v>44927</v>
      </c>
      <c r="D1008" s="13">
        <v>45291</v>
      </c>
      <c r="E1008" t="s">
        <v>17</v>
      </c>
      <c r="F1008">
        <v>0</v>
      </c>
      <c r="G1008" t="s">
        <v>379</v>
      </c>
      <c r="H1008">
        <v>3</v>
      </c>
      <c r="I1008" t="s">
        <v>380</v>
      </c>
      <c r="J1008">
        <v>241</v>
      </c>
      <c r="K1008" t="s">
        <v>385</v>
      </c>
      <c r="L1008" s="13">
        <v>45006</v>
      </c>
      <c r="M1008" t="s">
        <v>2938</v>
      </c>
      <c r="N1008" t="s">
        <v>2939</v>
      </c>
      <c r="O1008">
        <v>150</v>
      </c>
      <c r="P1008" t="s">
        <v>388</v>
      </c>
    </row>
    <row r="1009" spans="1:16" ht="15" customHeight="1" x14ac:dyDescent="0.4">
      <c r="A1009" t="s">
        <v>15</v>
      </c>
      <c r="B1009" t="s">
        <v>16</v>
      </c>
      <c r="C1009" s="13">
        <v>44927</v>
      </c>
      <c r="D1009" s="13">
        <v>45291</v>
      </c>
      <c r="E1009" t="s">
        <v>17</v>
      </c>
      <c r="F1009">
        <v>0</v>
      </c>
      <c r="G1009" t="s">
        <v>379</v>
      </c>
      <c r="H1009">
        <v>3</v>
      </c>
      <c r="I1009" t="s">
        <v>380</v>
      </c>
      <c r="J1009">
        <v>352</v>
      </c>
      <c r="K1009" t="s">
        <v>389</v>
      </c>
      <c r="L1009" s="13">
        <v>45005</v>
      </c>
      <c r="M1009" t="s">
        <v>3118</v>
      </c>
      <c r="N1009" t="s">
        <v>3119</v>
      </c>
      <c r="O1009">
        <v>40.14</v>
      </c>
      <c r="P1009" t="s">
        <v>392</v>
      </c>
    </row>
    <row r="1010" spans="1:16" ht="15" customHeight="1" x14ac:dyDescent="0.4">
      <c r="A1010" t="s">
        <v>15</v>
      </c>
      <c r="B1010" t="s">
        <v>16</v>
      </c>
      <c r="C1010" s="13">
        <v>44927</v>
      </c>
      <c r="D1010" s="13">
        <v>45291</v>
      </c>
      <c r="E1010" t="s">
        <v>17</v>
      </c>
      <c r="F1010">
        <v>0</v>
      </c>
      <c r="G1010" t="s">
        <v>379</v>
      </c>
      <c r="H1010">
        <v>3</v>
      </c>
      <c r="I1010" t="s">
        <v>380</v>
      </c>
      <c r="J1010">
        <v>352</v>
      </c>
      <c r="K1010" t="s">
        <v>389</v>
      </c>
      <c r="L1010" s="13">
        <v>45016</v>
      </c>
      <c r="M1010" t="s">
        <v>3120</v>
      </c>
      <c r="N1010" t="s">
        <v>3121</v>
      </c>
      <c r="O1010">
        <v>4.53</v>
      </c>
      <c r="P1010" t="s">
        <v>407</v>
      </c>
    </row>
    <row r="1011" spans="1:16" ht="15" customHeight="1" x14ac:dyDescent="0.4">
      <c r="A1011" t="s">
        <v>15</v>
      </c>
      <c r="B1011" t="s">
        <v>16</v>
      </c>
      <c r="C1011" s="13">
        <v>44927</v>
      </c>
      <c r="D1011" s="13">
        <v>45291</v>
      </c>
      <c r="E1011" t="s">
        <v>17</v>
      </c>
      <c r="F1011">
        <v>0</v>
      </c>
      <c r="G1011" t="s">
        <v>379</v>
      </c>
      <c r="H1011">
        <v>3</v>
      </c>
      <c r="I1011" t="s">
        <v>380</v>
      </c>
      <c r="J1011">
        <v>352</v>
      </c>
      <c r="K1011" t="s">
        <v>389</v>
      </c>
      <c r="L1011" s="13">
        <v>45077</v>
      </c>
      <c r="M1011" t="s">
        <v>3122</v>
      </c>
      <c r="N1011" t="s">
        <v>3123</v>
      </c>
      <c r="O1011">
        <v>0.66</v>
      </c>
      <c r="P1011" t="s">
        <v>392</v>
      </c>
    </row>
    <row r="1012" spans="1:16" ht="15" customHeight="1" x14ac:dyDescent="0.4">
      <c r="A1012" t="s">
        <v>15</v>
      </c>
      <c r="B1012" t="s">
        <v>16</v>
      </c>
      <c r="C1012" s="13">
        <v>44927</v>
      </c>
      <c r="D1012" s="13">
        <v>45291</v>
      </c>
      <c r="E1012" t="s">
        <v>17</v>
      </c>
      <c r="F1012">
        <v>0</v>
      </c>
      <c r="G1012" t="s">
        <v>379</v>
      </c>
      <c r="H1012">
        <v>3</v>
      </c>
      <c r="I1012" t="s">
        <v>380</v>
      </c>
      <c r="J1012">
        <v>352</v>
      </c>
      <c r="K1012" t="s">
        <v>389</v>
      </c>
      <c r="L1012" s="13">
        <v>45126</v>
      </c>
      <c r="M1012" t="s">
        <v>3124</v>
      </c>
      <c r="N1012" t="s">
        <v>46</v>
      </c>
      <c r="O1012">
        <v>7.28</v>
      </c>
      <c r="P1012" t="s">
        <v>46</v>
      </c>
    </row>
    <row r="1013" spans="1:16" ht="15" customHeight="1" x14ac:dyDescent="0.4">
      <c r="A1013" t="s">
        <v>15</v>
      </c>
      <c r="B1013" t="s">
        <v>16</v>
      </c>
      <c r="C1013" s="13">
        <v>44927</v>
      </c>
      <c r="D1013" s="13">
        <v>45291</v>
      </c>
      <c r="E1013" t="s">
        <v>17</v>
      </c>
      <c r="F1013">
        <v>0</v>
      </c>
      <c r="G1013" t="s">
        <v>379</v>
      </c>
      <c r="H1013">
        <v>3</v>
      </c>
      <c r="I1013" t="s">
        <v>380</v>
      </c>
      <c r="J1013">
        <v>352</v>
      </c>
      <c r="K1013" t="s">
        <v>389</v>
      </c>
      <c r="L1013" s="13">
        <v>45132</v>
      </c>
      <c r="M1013" t="s">
        <v>3125</v>
      </c>
      <c r="N1013" t="s">
        <v>3126</v>
      </c>
      <c r="O1013">
        <v>3.88</v>
      </c>
      <c r="P1013" t="s">
        <v>407</v>
      </c>
    </row>
    <row r="1014" spans="1:16" ht="15" customHeight="1" x14ac:dyDescent="0.4">
      <c r="A1014" t="s">
        <v>15</v>
      </c>
      <c r="B1014" t="s">
        <v>16</v>
      </c>
      <c r="C1014" s="13">
        <v>44927</v>
      </c>
      <c r="D1014" s="13">
        <v>45291</v>
      </c>
      <c r="E1014" t="s">
        <v>17</v>
      </c>
      <c r="F1014">
        <v>0</v>
      </c>
      <c r="G1014" t="s">
        <v>379</v>
      </c>
      <c r="H1014">
        <v>3</v>
      </c>
      <c r="I1014" t="s">
        <v>380</v>
      </c>
      <c r="J1014">
        <v>352</v>
      </c>
      <c r="K1014" t="s">
        <v>389</v>
      </c>
      <c r="L1014" s="13">
        <v>45160</v>
      </c>
      <c r="M1014" t="s">
        <v>3127</v>
      </c>
      <c r="N1014" t="s">
        <v>46</v>
      </c>
      <c r="O1014">
        <v>7.28</v>
      </c>
      <c r="P1014" t="s">
        <v>46</v>
      </c>
    </row>
    <row r="1015" spans="1:16" ht="15" customHeight="1" x14ac:dyDescent="0.4">
      <c r="A1015" t="s">
        <v>15</v>
      </c>
      <c r="B1015" t="s">
        <v>16</v>
      </c>
      <c r="C1015" s="13">
        <v>44927</v>
      </c>
      <c r="D1015" s="13">
        <v>45291</v>
      </c>
      <c r="E1015" t="s">
        <v>17</v>
      </c>
      <c r="F1015">
        <v>0</v>
      </c>
      <c r="G1015" t="s">
        <v>379</v>
      </c>
      <c r="H1015">
        <v>3</v>
      </c>
      <c r="I1015" t="s">
        <v>380</v>
      </c>
      <c r="J1015">
        <v>352</v>
      </c>
      <c r="K1015" t="s">
        <v>389</v>
      </c>
      <c r="L1015" s="13">
        <v>45181</v>
      </c>
      <c r="M1015" t="s">
        <v>3128</v>
      </c>
      <c r="N1015" t="s">
        <v>3129</v>
      </c>
      <c r="O1015">
        <v>21.05</v>
      </c>
      <c r="P1015" t="s">
        <v>3130</v>
      </c>
    </row>
    <row r="1016" spans="1:16" ht="15" customHeight="1" x14ac:dyDescent="0.4">
      <c r="A1016" t="s">
        <v>15</v>
      </c>
      <c r="B1016" t="s">
        <v>16</v>
      </c>
      <c r="C1016" s="13">
        <v>44927</v>
      </c>
      <c r="D1016" s="13">
        <v>45291</v>
      </c>
      <c r="E1016" t="s">
        <v>17</v>
      </c>
      <c r="F1016">
        <v>0</v>
      </c>
      <c r="G1016" t="s">
        <v>379</v>
      </c>
      <c r="H1016">
        <v>3</v>
      </c>
      <c r="I1016" t="s">
        <v>380</v>
      </c>
      <c r="J1016">
        <v>352</v>
      </c>
      <c r="K1016" t="s">
        <v>389</v>
      </c>
      <c r="L1016" s="13">
        <v>45199</v>
      </c>
      <c r="M1016" t="s">
        <v>3125</v>
      </c>
      <c r="N1016" t="s">
        <v>3131</v>
      </c>
      <c r="O1016">
        <v>6.33</v>
      </c>
      <c r="P1016" t="s">
        <v>407</v>
      </c>
    </row>
    <row r="1017" spans="1:16" ht="15" customHeight="1" x14ac:dyDescent="0.4">
      <c r="A1017" t="s">
        <v>15</v>
      </c>
      <c r="B1017" t="s">
        <v>16</v>
      </c>
      <c r="C1017" s="13">
        <v>44927</v>
      </c>
      <c r="D1017" s="13">
        <v>45291</v>
      </c>
      <c r="E1017" t="s">
        <v>17</v>
      </c>
      <c r="F1017">
        <v>0</v>
      </c>
      <c r="G1017" t="s">
        <v>379</v>
      </c>
      <c r="H1017">
        <v>3</v>
      </c>
      <c r="I1017" t="s">
        <v>380</v>
      </c>
      <c r="J1017">
        <v>352</v>
      </c>
      <c r="K1017" t="s">
        <v>389</v>
      </c>
      <c r="L1017" s="13">
        <v>45204</v>
      </c>
      <c r="M1017" t="s">
        <v>3132</v>
      </c>
      <c r="N1017" t="s">
        <v>3133</v>
      </c>
      <c r="O1017">
        <v>608.80999999999995</v>
      </c>
      <c r="P1017" t="s">
        <v>3130</v>
      </c>
    </row>
    <row r="1018" spans="1:16" ht="15" customHeight="1" x14ac:dyDescent="0.4">
      <c r="A1018" t="s">
        <v>15</v>
      </c>
      <c r="B1018" t="s">
        <v>16</v>
      </c>
      <c r="C1018" s="13">
        <v>44927</v>
      </c>
      <c r="D1018" s="13">
        <v>45291</v>
      </c>
      <c r="E1018" t="s">
        <v>17</v>
      </c>
      <c r="F1018">
        <v>0</v>
      </c>
      <c r="G1018" t="s">
        <v>379</v>
      </c>
      <c r="H1018">
        <v>3</v>
      </c>
      <c r="I1018" t="s">
        <v>380</v>
      </c>
      <c r="J1018">
        <v>352</v>
      </c>
      <c r="K1018" t="s">
        <v>389</v>
      </c>
      <c r="L1018" s="13">
        <v>45238</v>
      </c>
      <c r="M1018" t="s">
        <v>3134</v>
      </c>
      <c r="N1018" t="s">
        <v>3135</v>
      </c>
      <c r="O1018">
        <v>0.62</v>
      </c>
      <c r="P1018" t="s">
        <v>3130</v>
      </c>
    </row>
    <row r="1019" spans="1:16" ht="15" customHeight="1" x14ac:dyDescent="0.4">
      <c r="A1019" t="s">
        <v>15</v>
      </c>
      <c r="B1019" t="s">
        <v>16</v>
      </c>
      <c r="C1019" s="13">
        <v>44927</v>
      </c>
      <c r="D1019" s="13">
        <v>45291</v>
      </c>
      <c r="E1019" t="s">
        <v>17</v>
      </c>
      <c r="F1019">
        <v>0</v>
      </c>
      <c r="G1019" t="s">
        <v>379</v>
      </c>
      <c r="H1019">
        <v>3</v>
      </c>
      <c r="I1019" t="s">
        <v>380</v>
      </c>
      <c r="J1019">
        <v>352</v>
      </c>
      <c r="K1019" t="s">
        <v>389</v>
      </c>
      <c r="L1019" s="13">
        <v>45273</v>
      </c>
      <c r="M1019" t="s">
        <v>3136</v>
      </c>
      <c r="N1019" t="s">
        <v>3137</v>
      </c>
      <c r="O1019">
        <v>334.81</v>
      </c>
      <c r="P1019" t="s">
        <v>392</v>
      </c>
    </row>
    <row r="1020" spans="1:16" ht="15" customHeight="1" x14ac:dyDescent="0.4">
      <c r="A1020" t="s">
        <v>15</v>
      </c>
      <c r="B1020" t="s">
        <v>16</v>
      </c>
      <c r="C1020" s="13">
        <v>44927</v>
      </c>
      <c r="D1020" s="13">
        <v>45291</v>
      </c>
      <c r="E1020" t="s">
        <v>17</v>
      </c>
      <c r="F1020">
        <v>0</v>
      </c>
      <c r="G1020" t="s">
        <v>379</v>
      </c>
      <c r="H1020">
        <v>3</v>
      </c>
      <c r="I1020" t="s">
        <v>380</v>
      </c>
      <c r="J1020">
        <v>352</v>
      </c>
      <c r="K1020" t="s">
        <v>389</v>
      </c>
      <c r="L1020" s="13">
        <v>45280</v>
      </c>
      <c r="M1020" t="s">
        <v>3138</v>
      </c>
      <c r="N1020" t="s">
        <v>3139</v>
      </c>
      <c r="O1020">
        <v>40.14</v>
      </c>
      <c r="P1020" t="s">
        <v>392</v>
      </c>
    </row>
    <row r="1021" spans="1:16" ht="15" customHeight="1" x14ac:dyDescent="0.4">
      <c r="A1021" t="s">
        <v>15</v>
      </c>
      <c r="B1021" t="s">
        <v>16</v>
      </c>
      <c r="C1021" s="13">
        <v>44927</v>
      </c>
      <c r="D1021" s="13">
        <v>45291</v>
      </c>
      <c r="E1021" t="s">
        <v>17</v>
      </c>
      <c r="F1021">
        <v>0</v>
      </c>
      <c r="G1021" t="s">
        <v>379</v>
      </c>
      <c r="H1021">
        <v>3</v>
      </c>
      <c r="I1021" t="s">
        <v>380</v>
      </c>
      <c r="J1021">
        <v>352</v>
      </c>
      <c r="K1021" t="s">
        <v>389</v>
      </c>
      <c r="L1021" s="13">
        <v>45291</v>
      </c>
      <c r="M1021" t="s">
        <v>3140</v>
      </c>
      <c r="N1021" t="s">
        <v>3141</v>
      </c>
      <c r="O1021">
        <v>3.56</v>
      </c>
      <c r="P1021" t="s">
        <v>407</v>
      </c>
    </row>
    <row r="1022" spans="1:16" ht="15" customHeight="1" x14ac:dyDescent="0.4">
      <c r="A1022" t="s">
        <v>15</v>
      </c>
      <c r="B1022" t="s">
        <v>16</v>
      </c>
      <c r="C1022" s="13">
        <v>44927</v>
      </c>
      <c r="D1022" s="13">
        <v>45291</v>
      </c>
      <c r="E1022" t="s">
        <v>17</v>
      </c>
      <c r="F1022">
        <v>0</v>
      </c>
      <c r="G1022" t="s">
        <v>420</v>
      </c>
      <c r="H1022">
        <v>4</v>
      </c>
      <c r="I1022" t="s">
        <v>421</v>
      </c>
      <c r="J1022">
        <v>269</v>
      </c>
      <c r="K1022" t="s">
        <v>431</v>
      </c>
      <c r="L1022" s="13">
        <v>45291</v>
      </c>
      <c r="M1022" t="s">
        <v>432</v>
      </c>
      <c r="N1022" t="s">
        <v>46</v>
      </c>
      <c r="O1022">
        <v>1895.91</v>
      </c>
      <c r="P1022" t="s">
        <v>46</v>
      </c>
    </row>
    <row r="1023" spans="1:16" ht="15" customHeight="1" x14ac:dyDescent="0.4">
      <c r="A1023" t="s">
        <v>15</v>
      </c>
      <c r="B1023" t="s">
        <v>16</v>
      </c>
      <c r="C1023" s="13">
        <v>44927</v>
      </c>
      <c r="D1023" s="13">
        <v>45291</v>
      </c>
      <c r="E1023" t="s">
        <v>17</v>
      </c>
      <c r="F1023">
        <v>0</v>
      </c>
      <c r="G1023" t="s">
        <v>420</v>
      </c>
      <c r="H1023">
        <v>4</v>
      </c>
      <c r="I1023" t="s">
        <v>421</v>
      </c>
      <c r="J1023">
        <v>281</v>
      </c>
      <c r="K1023" t="s">
        <v>433</v>
      </c>
      <c r="L1023" s="13">
        <v>45291</v>
      </c>
      <c r="M1023" t="s">
        <v>3547</v>
      </c>
      <c r="N1023" t="s">
        <v>46</v>
      </c>
      <c r="O1023">
        <v>419.09</v>
      </c>
      <c r="P1023" t="s">
        <v>46</v>
      </c>
    </row>
    <row r="1024" spans="1:16" ht="15" customHeight="1" x14ac:dyDescent="0.4">
      <c r="A1024" t="s">
        <v>15</v>
      </c>
      <c r="B1024" t="s">
        <v>16</v>
      </c>
      <c r="C1024" s="13">
        <v>44927</v>
      </c>
      <c r="D1024" s="13">
        <v>45291</v>
      </c>
      <c r="E1024" t="s">
        <v>17</v>
      </c>
      <c r="F1024">
        <v>0</v>
      </c>
      <c r="G1024" t="s">
        <v>420</v>
      </c>
      <c r="H1024">
        <v>4</v>
      </c>
      <c r="I1024" t="s">
        <v>421</v>
      </c>
      <c r="J1024">
        <v>401</v>
      </c>
      <c r="K1024" t="s">
        <v>435</v>
      </c>
      <c r="L1024" s="13">
        <v>44957</v>
      </c>
      <c r="M1024" t="s">
        <v>435</v>
      </c>
      <c r="N1024" t="s">
        <v>3148</v>
      </c>
      <c r="O1024">
        <v>1043</v>
      </c>
      <c r="P1024" t="s">
        <v>437</v>
      </c>
    </row>
    <row r="1025" spans="1:16" ht="15" customHeight="1" x14ac:dyDescent="0.4">
      <c r="A1025" t="s">
        <v>15</v>
      </c>
      <c r="B1025" t="s">
        <v>16</v>
      </c>
      <c r="C1025" s="13">
        <v>44927</v>
      </c>
      <c r="D1025" s="13">
        <v>45291</v>
      </c>
      <c r="E1025" t="s">
        <v>17</v>
      </c>
      <c r="F1025">
        <v>0</v>
      </c>
      <c r="G1025" t="s">
        <v>420</v>
      </c>
      <c r="H1025">
        <v>4</v>
      </c>
      <c r="I1025" t="s">
        <v>421</v>
      </c>
      <c r="J1025">
        <v>401</v>
      </c>
      <c r="K1025" t="s">
        <v>435</v>
      </c>
      <c r="L1025" s="13">
        <v>44985</v>
      </c>
      <c r="M1025" t="s">
        <v>435</v>
      </c>
      <c r="N1025" t="s">
        <v>3149</v>
      </c>
      <c r="O1025">
        <v>1043</v>
      </c>
      <c r="P1025" t="s">
        <v>437</v>
      </c>
    </row>
    <row r="1026" spans="1:16" ht="15" customHeight="1" x14ac:dyDescent="0.4">
      <c r="A1026" t="s">
        <v>15</v>
      </c>
      <c r="B1026" t="s">
        <v>16</v>
      </c>
      <c r="C1026" s="13">
        <v>44927</v>
      </c>
      <c r="D1026" s="13">
        <v>45291</v>
      </c>
      <c r="E1026" t="s">
        <v>17</v>
      </c>
      <c r="F1026">
        <v>0</v>
      </c>
      <c r="G1026" t="s">
        <v>420</v>
      </c>
      <c r="H1026">
        <v>4</v>
      </c>
      <c r="I1026" t="s">
        <v>421</v>
      </c>
      <c r="J1026">
        <v>401</v>
      </c>
      <c r="K1026" t="s">
        <v>435</v>
      </c>
      <c r="L1026" s="13">
        <v>45016</v>
      </c>
      <c r="M1026" t="s">
        <v>435</v>
      </c>
      <c r="N1026" t="s">
        <v>3150</v>
      </c>
      <c r="O1026">
        <v>1043</v>
      </c>
      <c r="P1026" t="s">
        <v>437</v>
      </c>
    </row>
    <row r="1027" spans="1:16" ht="15" customHeight="1" x14ac:dyDescent="0.4">
      <c r="A1027" t="s">
        <v>15</v>
      </c>
      <c r="B1027" t="s">
        <v>16</v>
      </c>
      <c r="C1027" s="13">
        <v>44927</v>
      </c>
      <c r="D1027" s="13">
        <v>45291</v>
      </c>
      <c r="E1027" t="s">
        <v>17</v>
      </c>
      <c r="F1027">
        <v>0</v>
      </c>
      <c r="G1027" t="s">
        <v>420</v>
      </c>
      <c r="H1027">
        <v>4</v>
      </c>
      <c r="I1027" t="s">
        <v>421</v>
      </c>
      <c r="J1027">
        <v>401</v>
      </c>
      <c r="K1027" t="s">
        <v>435</v>
      </c>
      <c r="L1027" s="13">
        <v>45046</v>
      </c>
      <c r="M1027" t="s">
        <v>435</v>
      </c>
      <c r="N1027" t="s">
        <v>3151</v>
      </c>
      <c r="O1027">
        <v>1043</v>
      </c>
      <c r="P1027" t="s">
        <v>437</v>
      </c>
    </row>
    <row r="1028" spans="1:16" ht="15" customHeight="1" x14ac:dyDescent="0.4">
      <c r="A1028" t="s">
        <v>15</v>
      </c>
      <c r="B1028" t="s">
        <v>16</v>
      </c>
      <c r="C1028" s="13">
        <v>44927</v>
      </c>
      <c r="D1028" s="13">
        <v>45291</v>
      </c>
      <c r="E1028" t="s">
        <v>17</v>
      </c>
      <c r="F1028">
        <v>0</v>
      </c>
      <c r="G1028" t="s">
        <v>420</v>
      </c>
      <c r="H1028">
        <v>4</v>
      </c>
      <c r="I1028" t="s">
        <v>421</v>
      </c>
      <c r="J1028">
        <v>401</v>
      </c>
      <c r="K1028" t="s">
        <v>435</v>
      </c>
      <c r="L1028" s="13">
        <v>45077</v>
      </c>
      <c r="M1028" t="s">
        <v>435</v>
      </c>
      <c r="N1028" t="s">
        <v>3152</v>
      </c>
      <c r="O1028">
        <v>1043</v>
      </c>
      <c r="P1028" t="s">
        <v>437</v>
      </c>
    </row>
    <row r="1029" spans="1:16" ht="15" customHeight="1" x14ac:dyDescent="0.4">
      <c r="A1029" t="s">
        <v>15</v>
      </c>
      <c r="B1029" t="s">
        <v>16</v>
      </c>
      <c r="C1029" s="13">
        <v>44927</v>
      </c>
      <c r="D1029" s="13">
        <v>45291</v>
      </c>
      <c r="E1029" t="s">
        <v>17</v>
      </c>
      <c r="F1029">
        <v>0</v>
      </c>
      <c r="G1029" t="s">
        <v>420</v>
      </c>
      <c r="H1029">
        <v>4</v>
      </c>
      <c r="I1029" t="s">
        <v>421</v>
      </c>
      <c r="J1029">
        <v>401</v>
      </c>
      <c r="K1029" t="s">
        <v>435</v>
      </c>
      <c r="L1029" s="13">
        <v>45107</v>
      </c>
      <c r="M1029" t="s">
        <v>435</v>
      </c>
      <c r="N1029" t="s">
        <v>3153</v>
      </c>
      <c r="O1029">
        <v>1043</v>
      </c>
      <c r="P1029" t="s">
        <v>437</v>
      </c>
    </row>
    <row r="1030" spans="1:16" ht="15" customHeight="1" x14ac:dyDescent="0.4">
      <c r="A1030" t="s">
        <v>15</v>
      </c>
      <c r="B1030" t="s">
        <v>16</v>
      </c>
      <c r="C1030" s="13">
        <v>44927</v>
      </c>
      <c r="D1030" s="13">
        <v>45291</v>
      </c>
      <c r="E1030" t="s">
        <v>17</v>
      </c>
      <c r="F1030">
        <v>0</v>
      </c>
      <c r="G1030" t="s">
        <v>420</v>
      </c>
      <c r="H1030">
        <v>4</v>
      </c>
      <c r="I1030" t="s">
        <v>421</v>
      </c>
      <c r="J1030">
        <v>401</v>
      </c>
      <c r="K1030" t="s">
        <v>435</v>
      </c>
      <c r="L1030" s="13">
        <v>45138</v>
      </c>
      <c r="M1030" t="s">
        <v>435</v>
      </c>
      <c r="N1030" t="s">
        <v>3154</v>
      </c>
      <c r="O1030">
        <v>1043</v>
      </c>
      <c r="P1030" t="s">
        <v>437</v>
      </c>
    </row>
    <row r="1031" spans="1:16" ht="15" customHeight="1" x14ac:dyDescent="0.4">
      <c r="A1031" t="s">
        <v>15</v>
      </c>
      <c r="B1031" t="s">
        <v>16</v>
      </c>
      <c r="C1031" s="13">
        <v>44927</v>
      </c>
      <c r="D1031" s="13">
        <v>45291</v>
      </c>
      <c r="E1031" t="s">
        <v>17</v>
      </c>
      <c r="F1031">
        <v>0</v>
      </c>
      <c r="G1031" t="s">
        <v>420</v>
      </c>
      <c r="H1031">
        <v>4</v>
      </c>
      <c r="I1031" t="s">
        <v>421</v>
      </c>
      <c r="J1031">
        <v>401</v>
      </c>
      <c r="K1031" t="s">
        <v>435</v>
      </c>
      <c r="L1031" s="13">
        <v>45169</v>
      </c>
      <c r="M1031" t="s">
        <v>3155</v>
      </c>
      <c r="N1031" t="s">
        <v>3156</v>
      </c>
      <c r="O1031">
        <v>1043</v>
      </c>
      <c r="P1031" t="s">
        <v>437</v>
      </c>
    </row>
    <row r="1032" spans="1:16" ht="15" customHeight="1" x14ac:dyDescent="0.4">
      <c r="A1032" t="s">
        <v>15</v>
      </c>
      <c r="B1032" t="s">
        <v>16</v>
      </c>
      <c r="C1032" s="13">
        <v>44927</v>
      </c>
      <c r="D1032" s="13">
        <v>45291</v>
      </c>
      <c r="E1032" t="s">
        <v>17</v>
      </c>
      <c r="F1032">
        <v>0</v>
      </c>
      <c r="G1032" t="s">
        <v>420</v>
      </c>
      <c r="H1032">
        <v>4</v>
      </c>
      <c r="I1032" t="s">
        <v>421</v>
      </c>
      <c r="J1032">
        <v>401</v>
      </c>
      <c r="K1032" t="s">
        <v>435</v>
      </c>
      <c r="L1032" s="13">
        <v>45199</v>
      </c>
      <c r="M1032" t="s">
        <v>3157</v>
      </c>
      <c r="N1032" t="s">
        <v>3158</v>
      </c>
      <c r="O1032">
        <v>1043</v>
      </c>
      <c r="P1032" t="s">
        <v>437</v>
      </c>
    </row>
    <row r="1033" spans="1:16" ht="15" customHeight="1" x14ac:dyDescent="0.4">
      <c r="A1033" t="s">
        <v>15</v>
      </c>
      <c r="B1033" t="s">
        <v>16</v>
      </c>
      <c r="C1033" s="13">
        <v>44927</v>
      </c>
      <c r="D1033" s="13">
        <v>45291</v>
      </c>
      <c r="E1033" t="s">
        <v>17</v>
      </c>
      <c r="F1033">
        <v>0</v>
      </c>
      <c r="G1033" t="s">
        <v>420</v>
      </c>
      <c r="H1033">
        <v>4</v>
      </c>
      <c r="I1033" t="s">
        <v>421</v>
      </c>
      <c r="J1033">
        <v>401</v>
      </c>
      <c r="K1033" t="s">
        <v>435</v>
      </c>
      <c r="L1033" s="13">
        <v>45230</v>
      </c>
      <c r="M1033" t="s">
        <v>3159</v>
      </c>
      <c r="N1033" t="s">
        <v>3160</v>
      </c>
      <c r="O1033">
        <v>1043</v>
      </c>
      <c r="P1033" t="s">
        <v>437</v>
      </c>
    </row>
    <row r="1034" spans="1:16" ht="15" customHeight="1" x14ac:dyDescent="0.4">
      <c r="A1034" t="s">
        <v>15</v>
      </c>
      <c r="B1034" t="s">
        <v>16</v>
      </c>
      <c r="C1034" s="13">
        <v>44927</v>
      </c>
      <c r="D1034" s="13">
        <v>45291</v>
      </c>
      <c r="E1034" t="s">
        <v>17</v>
      </c>
      <c r="F1034">
        <v>0</v>
      </c>
      <c r="G1034" t="s">
        <v>420</v>
      </c>
      <c r="H1034">
        <v>4</v>
      </c>
      <c r="I1034" t="s">
        <v>421</v>
      </c>
      <c r="J1034">
        <v>401</v>
      </c>
      <c r="K1034" t="s">
        <v>435</v>
      </c>
      <c r="L1034" s="13">
        <v>45260</v>
      </c>
      <c r="M1034" t="s">
        <v>3161</v>
      </c>
      <c r="N1034" t="s">
        <v>3162</v>
      </c>
      <c r="O1034">
        <v>1043</v>
      </c>
      <c r="P1034" t="s">
        <v>437</v>
      </c>
    </row>
    <row r="1035" spans="1:16" ht="15" customHeight="1" x14ac:dyDescent="0.4">
      <c r="A1035" t="s">
        <v>15</v>
      </c>
      <c r="B1035" t="s">
        <v>16</v>
      </c>
      <c r="C1035" s="13">
        <v>44927</v>
      </c>
      <c r="D1035" s="13">
        <v>45291</v>
      </c>
      <c r="E1035" t="s">
        <v>17</v>
      </c>
      <c r="F1035">
        <v>0</v>
      </c>
      <c r="G1035" t="s">
        <v>420</v>
      </c>
      <c r="H1035">
        <v>4</v>
      </c>
      <c r="I1035" t="s">
        <v>421</v>
      </c>
      <c r="J1035">
        <v>401</v>
      </c>
      <c r="K1035" t="s">
        <v>435</v>
      </c>
      <c r="L1035" s="13">
        <v>45291</v>
      </c>
      <c r="M1035" t="s">
        <v>3163</v>
      </c>
      <c r="N1035" t="s">
        <v>3164</v>
      </c>
      <c r="O1035">
        <v>1043</v>
      </c>
      <c r="P1035" t="s">
        <v>437</v>
      </c>
    </row>
    <row r="1036" spans="1:16" ht="15" customHeight="1" x14ac:dyDescent="0.4">
      <c r="A1036" t="s">
        <v>15</v>
      </c>
      <c r="B1036" t="s">
        <v>16</v>
      </c>
      <c r="C1036" s="13">
        <v>44927</v>
      </c>
      <c r="D1036" s="13">
        <v>45291</v>
      </c>
      <c r="E1036" t="s">
        <v>17</v>
      </c>
      <c r="F1036">
        <v>0</v>
      </c>
      <c r="G1036" t="s">
        <v>420</v>
      </c>
      <c r="H1036">
        <v>4</v>
      </c>
      <c r="I1036" t="s">
        <v>421</v>
      </c>
      <c r="J1036">
        <v>481</v>
      </c>
      <c r="K1036" t="s">
        <v>443</v>
      </c>
      <c r="L1036" s="13">
        <v>45203</v>
      </c>
      <c r="M1036" t="s">
        <v>3184</v>
      </c>
      <c r="N1036" t="s">
        <v>3185</v>
      </c>
      <c r="O1036">
        <v>1625</v>
      </c>
      <c r="P1036" t="s">
        <v>446</v>
      </c>
    </row>
    <row r="1037" spans="1:16" ht="15" customHeight="1" x14ac:dyDescent="0.4">
      <c r="A1037" t="s">
        <v>15</v>
      </c>
      <c r="B1037" t="s">
        <v>16</v>
      </c>
      <c r="C1037" s="13">
        <v>44927</v>
      </c>
      <c r="D1037" s="13">
        <v>45291</v>
      </c>
      <c r="E1037" t="s">
        <v>17</v>
      </c>
      <c r="F1037">
        <v>0</v>
      </c>
      <c r="G1037" t="s">
        <v>420</v>
      </c>
      <c r="H1037">
        <v>4</v>
      </c>
      <c r="I1037" t="s">
        <v>421</v>
      </c>
      <c r="J1037">
        <v>702</v>
      </c>
      <c r="K1037" t="s">
        <v>275</v>
      </c>
      <c r="L1037" s="13">
        <v>45061</v>
      </c>
      <c r="M1037" t="s">
        <v>3524</v>
      </c>
      <c r="N1037" t="s">
        <v>3525</v>
      </c>
      <c r="O1037">
        <v>21.74</v>
      </c>
      <c r="P1037" t="s">
        <v>368</v>
      </c>
    </row>
    <row r="1038" spans="1:16" ht="15" customHeight="1" x14ac:dyDescent="0.4">
      <c r="A1038" t="s">
        <v>15</v>
      </c>
      <c r="B1038" t="s">
        <v>16</v>
      </c>
      <c r="C1038" s="13">
        <v>44927</v>
      </c>
      <c r="D1038" s="13">
        <v>45291</v>
      </c>
      <c r="E1038" t="s">
        <v>17</v>
      </c>
      <c r="F1038">
        <v>0</v>
      </c>
      <c r="G1038" t="s">
        <v>420</v>
      </c>
      <c r="H1038">
        <v>4</v>
      </c>
      <c r="I1038" t="s">
        <v>421</v>
      </c>
      <c r="J1038">
        <v>857</v>
      </c>
      <c r="K1038" t="s">
        <v>451</v>
      </c>
      <c r="L1038" s="13">
        <v>45077</v>
      </c>
      <c r="M1038" t="s">
        <v>452</v>
      </c>
      <c r="N1038" t="s">
        <v>3245</v>
      </c>
      <c r="O1038">
        <v>200.97</v>
      </c>
      <c r="P1038" t="s">
        <v>430</v>
      </c>
    </row>
    <row r="1039" spans="1:16" ht="15" customHeight="1" x14ac:dyDescent="0.4">
      <c r="A1039" t="s">
        <v>15</v>
      </c>
      <c r="B1039" t="s">
        <v>16</v>
      </c>
      <c r="C1039" s="13">
        <v>44927</v>
      </c>
      <c r="D1039" s="13">
        <v>45291</v>
      </c>
      <c r="E1039" t="s">
        <v>17</v>
      </c>
      <c r="F1039">
        <v>0</v>
      </c>
      <c r="G1039" t="s">
        <v>420</v>
      </c>
      <c r="H1039">
        <v>4</v>
      </c>
      <c r="I1039" t="s">
        <v>421</v>
      </c>
      <c r="J1039">
        <v>857</v>
      </c>
      <c r="K1039" t="s">
        <v>451</v>
      </c>
      <c r="L1039" s="13">
        <v>45104</v>
      </c>
      <c r="M1039" t="s">
        <v>452</v>
      </c>
      <c r="N1039" t="s">
        <v>3211</v>
      </c>
      <c r="O1039">
        <v>213.75</v>
      </c>
      <c r="P1039" t="s">
        <v>430</v>
      </c>
    </row>
    <row r="1040" spans="1:16" ht="15" customHeight="1" x14ac:dyDescent="0.4">
      <c r="A1040" t="s">
        <v>15</v>
      </c>
      <c r="B1040" t="s">
        <v>16</v>
      </c>
      <c r="C1040" s="13">
        <v>44927</v>
      </c>
      <c r="D1040" s="13">
        <v>45291</v>
      </c>
      <c r="E1040" t="s">
        <v>17</v>
      </c>
      <c r="F1040">
        <v>0</v>
      </c>
      <c r="G1040" t="s">
        <v>420</v>
      </c>
      <c r="H1040">
        <v>4</v>
      </c>
      <c r="I1040" t="s">
        <v>421</v>
      </c>
      <c r="J1040">
        <v>857</v>
      </c>
      <c r="K1040" t="s">
        <v>451</v>
      </c>
      <c r="L1040" s="13">
        <v>45107</v>
      </c>
      <c r="M1040" t="s">
        <v>452</v>
      </c>
      <c r="N1040" t="s">
        <v>3246</v>
      </c>
      <c r="O1040">
        <v>45.2</v>
      </c>
      <c r="P1040" t="s">
        <v>430</v>
      </c>
    </row>
    <row r="1041" spans="1:16" ht="15" customHeight="1" x14ac:dyDescent="0.4">
      <c r="A1041" t="s">
        <v>15</v>
      </c>
      <c r="B1041" t="s">
        <v>16</v>
      </c>
      <c r="C1041" s="13">
        <v>44927</v>
      </c>
      <c r="D1041" s="13">
        <v>45291</v>
      </c>
      <c r="E1041" t="s">
        <v>17</v>
      </c>
      <c r="F1041">
        <v>0</v>
      </c>
      <c r="G1041" t="s">
        <v>420</v>
      </c>
      <c r="H1041">
        <v>4</v>
      </c>
      <c r="I1041" t="s">
        <v>421</v>
      </c>
      <c r="J1041">
        <v>857</v>
      </c>
      <c r="K1041" t="s">
        <v>451</v>
      </c>
      <c r="L1041" s="13">
        <v>45138</v>
      </c>
      <c r="M1041" t="s">
        <v>452</v>
      </c>
      <c r="N1041" t="s">
        <v>3212</v>
      </c>
      <c r="O1041">
        <v>205.15</v>
      </c>
      <c r="P1041" t="s">
        <v>430</v>
      </c>
    </row>
    <row r="1042" spans="1:16" ht="15" customHeight="1" x14ac:dyDescent="0.4">
      <c r="A1042" t="s">
        <v>15</v>
      </c>
      <c r="B1042" t="s">
        <v>16</v>
      </c>
      <c r="C1042" s="13">
        <v>44927</v>
      </c>
      <c r="D1042" s="13">
        <v>45291</v>
      </c>
      <c r="E1042" t="s">
        <v>17</v>
      </c>
      <c r="F1042">
        <v>0</v>
      </c>
      <c r="G1042" t="s">
        <v>420</v>
      </c>
      <c r="H1042">
        <v>4</v>
      </c>
      <c r="I1042" t="s">
        <v>421</v>
      </c>
      <c r="J1042">
        <v>857</v>
      </c>
      <c r="K1042" t="s">
        <v>451</v>
      </c>
      <c r="L1042" s="13">
        <v>45169</v>
      </c>
      <c r="M1042" t="s">
        <v>452</v>
      </c>
      <c r="N1042" t="s">
        <v>3247</v>
      </c>
      <c r="O1042">
        <v>269.25</v>
      </c>
      <c r="P1042" t="s">
        <v>430</v>
      </c>
    </row>
    <row r="1043" spans="1:16" ht="15" customHeight="1" x14ac:dyDescent="0.4">
      <c r="A1043" t="s">
        <v>15</v>
      </c>
      <c r="B1043" t="s">
        <v>16</v>
      </c>
      <c r="C1043" s="13">
        <v>44927</v>
      </c>
      <c r="D1043" s="13">
        <v>45291</v>
      </c>
      <c r="E1043" t="s">
        <v>17</v>
      </c>
      <c r="F1043">
        <v>0</v>
      </c>
      <c r="G1043" t="s">
        <v>420</v>
      </c>
      <c r="H1043">
        <v>4</v>
      </c>
      <c r="I1043" t="s">
        <v>421</v>
      </c>
      <c r="J1043">
        <v>857</v>
      </c>
      <c r="K1043" t="s">
        <v>451</v>
      </c>
      <c r="L1043" s="13">
        <v>45230</v>
      </c>
      <c r="M1043" t="s">
        <v>452</v>
      </c>
      <c r="N1043" t="s">
        <v>3248</v>
      </c>
      <c r="O1043">
        <v>202.85</v>
      </c>
      <c r="P1043" t="s">
        <v>430</v>
      </c>
    </row>
    <row r="1044" spans="1:16" ht="15" customHeight="1" x14ac:dyDescent="0.4">
      <c r="A1044" t="s">
        <v>15</v>
      </c>
      <c r="B1044" t="s">
        <v>16</v>
      </c>
      <c r="C1044" s="13">
        <v>44927</v>
      </c>
      <c r="D1044" s="13">
        <v>45291</v>
      </c>
      <c r="E1044" t="s">
        <v>17</v>
      </c>
      <c r="F1044">
        <v>0</v>
      </c>
      <c r="G1044" t="s">
        <v>420</v>
      </c>
      <c r="H1044">
        <v>4</v>
      </c>
      <c r="I1044" t="s">
        <v>421</v>
      </c>
      <c r="J1044">
        <v>858</v>
      </c>
      <c r="K1044" t="s">
        <v>458</v>
      </c>
      <c r="L1044" s="13">
        <v>44927</v>
      </c>
      <c r="M1044" t="s">
        <v>3213</v>
      </c>
      <c r="N1044" t="s">
        <v>3214</v>
      </c>
      <c r="O1044">
        <v>722.35</v>
      </c>
      <c r="P1044" t="s">
        <v>461</v>
      </c>
    </row>
    <row r="1045" spans="1:16" ht="15" customHeight="1" x14ac:dyDescent="0.4">
      <c r="A1045" t="s">
        <v>15</v>
      </c>
      <c r="B1045" t="s">
        <v>16</v>
      </c>
      <c r="C1045" s="13">
        <v>44927</v>
      </c>
      <c r="D1045" s="13">
        <v>45291</v>
      </c>
      <c r="E1045" t="s">
        <v>17</v>
      </c>
      <c r="F1045">
        <v>0</v>
      </c>
      <c r="G1045" t="s">
        <v>420</v>
      </c>
      <c r="H1045">
        <v>4</v>
      </c>
      <c r="I1045" t="s">
        <v>421</v>
      </c>
      <c r="J1045">
        <v>892</v>
      </c>
      <c r="K1045" t="s">
        <v>462</v>
      </c>
      <c r="L1045" s="13">
        <v>45291</v>
      </c>
      <c r="M1045" t="s">
        <v>3548</v>
      </c>
      <c r="N1045" t="s">
        <v>46</v>
      </c>
      <c r="O1045">
        <v>-7602.97</v>
      </c>
      <c r="P1045" t="s">
        <v>46</v>
      </c>
    </row>
    <row r="1046" spans="1:16" ht="15" customHeight="1" x14ac:dyDescent="0.4">
      <c r="A1046" t="s">
        <v>15</v>
      </c>
      <c r="B1046" t="s">
        <v>16</v>
      </c>
      <c r="C1046" s="13">
        <v>44927</v>
      </c>
      <c r="D1046" s="13">
        <v>45291</v>
      </c>
      <c r="E1046" t="s">
        <v>17</v>
      </c>
      <c r="F1046">
        <v>0</v>
      </c>
      <c r="G1046" t="s">
        <v>420</v>
      </c>
      <c r="H1046">
        <v>4</v>
      </c>
      <c r="I1046" t="s">
        <v>421</v>
      </c>
      <c r="J1046">
        <v>909</v>
      </c>
      <c r="K1046" t="s">
        <v>464</v>
      </c>
      <c r="L1046" s="13">
        <v>45291</v>
      </c>
      <c r="M1046" t="s">
        <v>3538</v>
      </c>
      <c r="N1046" t="s">
        <v>46</v>
      </c>
      <c r="O1046">
        <v>45863.26</v>
      </c>
      <c r="P1046" t="s">
        <v>46</v>
      </c>
    </row>
    <row r="1047" spans="1:16" ht="15" customHeight="1" x14ac:dyDescent="0.4">
      <c r="A1047" t="s">
        <v>15</v>
      </c>
      <c r="B1047" t="s">
        <v>16</v>
      </c>
      <c r="C1047" s="13">
        <v>44927</v>
      </c>
      <c r="D1047" s="13">
        <v>45291</v>
      </c>
      <c r="E1047" t="s">
        <v>17</v>
      </c>
      <c r="F1047">
        <v>0</v>
      </c>
      <c r="G1047" t="s">
        <v>420</v>
      </c>
      <c r="H1047">
        <v>4</v>
      </c>
      <c r="I1047" t="s">
        <v>421</v>
      </c>
      <c r="J1047">
        <v>935</v>
      </c>
      <c r="K1047" t="s">
        <v>465</v>
      </c>
      <c r="L1047" s="13">
        <v>45291</v>
      </c>
      <c r="M1047" t="s">
        <v>466</v>
      </c>
      <c r="N1047" t="s">
        <v>46</v>
      </c>
      <c r="O1047">
        <v>-1356.09</v>
      </c>
      <c r="P1047" t="s">
        <v>46</v>
      </c>
    </row>
    <row r="1048" spans="1:16" ht="15" customHeight="1" x14ac:dyDescent="0.4">
      <c r="A1048" t="s">
        <v>15</v>
      </c>
      <c r="B1048" t="s">
        <v>16</v>
      </c>
      <c r="C1048" s="13">
        <v>44927</v>
      </c>
      <c r="D1048" s="13">
        <v>45291</v>
      </c>
      <c r="E1048" t="s">
        <v>17</v>
      </c>
      <c r="F1048">
        <v>0</v>
      </c>
      <c r="G1048" t="s">
        <v>467</v>
      </c>
      <c r="H1048">
        <v>17</v>
      </c>
      <c r="I1048" t="s">
        <v>468</v>
      </c>
      <c r="J1048">
        <v>401</v>
      </c>
      <c r="K1048" t="s">
        <v>476</v>
      </c>
      <c r="L1048" s="13">
        <v>45291</v>
      </c>
      <c r="M1048" t="s">
        <v>3549</v>
      </c>
      <c r="N1048" t="s">
        <v>46</v>
      </c>
      <c r="O1048">
        <v>7602.97</v>
      </c>
      <c r="P1048" t="s">
        <v>46</v>
      </c>
    </row>
    <row r="1049" spans="1:16" ht="15" customHeight="1" x14ac:dyDescent="0.4">
      <c r="A1049" t="s">
        <v>15</v>
      </c>
      <c r="B1049" t="s">
        <v>16</v>
      </c>
      <c r="C1049" s="13">
        <v>44927</v>
      </c>
      <c r="D1049" s="13">
        <v>45291</v>
      </c>
      <c r="E1049" t="s">
        <v>17</v>
      </c>
      <c r="F1049">
        <v>0</v>
      </c>
      <c r="G1049" t="s">
        <v>478</v>
      </c>
      <c r="H1049">
        <v>55</v>
      </c>
      <c r="I1049" t="s">
        <v>479</v>
      </c>
      <c r="J1049">
        <v>282</v>
      </c>
      <c r="K1049" t="s">
        <v>480</v>
      </c>
      <c r="L1049" s="13">
        <v>45291</v>
      </c>
      <c r="M1049" t="s">
        <v>3550</v>
      </c>
      <c r="N1049" t="s">
        <v>86</v>
      </c>
      <c r="O1049">
        <v>8279.14</v>
      </c>
      <c r="P1049" t="s">
        <v>46</v>
      </c>
    </row>
    <row r="1050" spans="1:16" ht="15" customHeight="1" x14ac:dyDescent="0.4">
      <c r="A1050" t="s">
        <v>15</v>
      </c>
      <c r="B1050" t="s">
        <v>16</v>
      </c>
      <c r="C1050" s="13">
        <v>44927</v>
      </c>
      <c r="D1050" s="13">
        <v>45291</v>
      </c>
      <c r="E1050" t="s">
        <v>17</v>
      </c>
      <c r="F1050">
        <v>0</v>
      </c>
      <c r="G1050" t="s">
        <v>482</v>
      </c>
      <c r="H1050">
        <v>60</v>
      </c>
      <c r="I1050" t="s">
        <v>483</v>
      </c>
      <c r="J1050">
        <v>881</v>
      </c>
      <c r="K1050" t="s">
        <v>327</v>
      </c>
      <c r="L1050" s="13">
        <v>45105</v>
      </c>
      <c r="M1050" t="s">
        <v>3249</v>
      </c>
      <c r="N1050" t="s">
        <v>3250</v>
      </c>
      <c r="O1050">
        <v>1372.73</v>
      </c>
      <c r="P1050" t="s">
        <v>374</v>
      </c>
    </row>
    <row r="1051" spans="1:16" ht="15" customHeight="1" x14ac:dyDescent="0.4">
      <c r="A1051" t="s">
        <v>15</v>
      </c>
      <c r="B1051" t="s">
        <v>16</v>
      </c>
      <c r="C1051" s="13">
        <v>44927</v>
      </c>
      <c r="D1051" s="13">
        <v>45291</v>
      </c>
      <c r="E1051" t="s">
        <v>17</v>
      </c>
      <c r="F1051">
        <v>0</v>
      </c>
      <c r="G1051" t="s">
        <v>482</v>
      </c>
      <c r="H1051">
        <v>60</v>
      </c>
      <c r="I1051" t="s">
        <v>483</v>
      </c>
      <c r="J1051">
        <v>881</v>
      </c>
      <c r="K1051" t="s">
        <v>327</v>
      </c>
      <c r="L1051" s="13">
        <v>45291</v>
      </c>
      <c r="M1051" t="s">
        <v>486</v>
      </c>
      <c r="N1051" t="s">
        <v>329</v>
      </c>
      <c r="O1051">
        <v>-31.92</v>
      </c>
      <c r="P1051" t="s">
        <v>46</v>
      </c>
    </row>
    <row r="1052" spans="1:16" ht="15" customHeight="1" x14ac:dyDescent="0.4">
      <c r="A1052" t="s">
        <v>15</v>
      </c>
      <c r="B1052" t="s">
        <v>16</v>
      </c>
      <c r="C1052" s="13">
        <v>44927</v>
      </c>
      <c r="D1052" s="13">
        <v>45291</v>
      </c>
      <c r="E1052" t="s">
        <v>17</v>
      </c>
      <c r="F1052">
        <v>1</v>
      </c>
      <c r="G1052" t="s">
        <v>18</v>
      </c>
      <c r="H1052">
        <v>1</v>
      </c>
      <c r="I1052" t="s">
        <v>19</v>
      </c>
      <c r="J1052">
        <v>242</v>
      </c>
      <c r="K1052" t="s">
        <v>487</v>
      </c>
      <c r="L1052" s="13">
        <v>45291</v>
      </c>
      <c r="M1052" t="s">
        <v>3539</v>
      </c>
      <c r="N1052" t="s">
        <v>45</v>
      </c>
      <c r="O1052">
        <v>372.74</v>
      </c>
      <c r="P1052" t="s">
        <v>46</v>
      </c>
    </row>
    <row r="1053" spans="1:16" ht="15" customHeight="1" x14ac:dyDescent="0.4">
      <c r="A1053" t="s">
        <v>15</v>
      </c>
      <c r="B1053" t="s">
        <v>16</v>
      </c>
      <c r="C1053" s="13">
        <v>44927</v>
      </c>
      <c r="D1053" s="13">
        <v>45291</v>
      </c>
      <c r="E1053" t="s">
        <v>17</v>
      </c>
      <c r="F1053">
        <v>1</v>
      </c>
      <c r="G1053" t="s">
        <v>18</v>
      </c>
      <c r="H1053">
        <v>1</v>
      </c>
      <c r="I1053" t="s">
        <v>19</v>
      </c>
      <c r="J1053">
        <v>269</v>
      </c>
      <c r="K1053" t="s">
        <v>3671</v>
      </c>
      <c r="L1053" s="13">
        <v>44946</v>
      </c>
      <c r="M1053" t="s">
        <v>2942</v>
      </c>
      <c r="N1053" t="s">
        <v>2943</v>
      </c>
      <c r="O1053">
        <v>13.98</v>
      </c>
      <c r="P1053" t="s">
        <v>52</v>
      </c>
    </row>
    <row r="1054" spans="1:16" ht="15" customHeight="1" x14ac:dyDescent="0.4">
      <c r="A1054" t="s">
        <v>15</v>
      </c>
      <c r="B1054" t="s">
        <v>16</v>
      </c>
      <c r="C1054" s="13">
        <v>44927</v>
      </c>
      <c r="D1054" s="13">
        <v>45291</v>
      </c>
      <c r="E1054" t="s">
        <v>17</v>
      </c>
      <c r="F1054">
        <v>1</v>
      </c>
      <c r="G1054" t="s">
        <v>18</v>
      </c>
      <c r="H1054">
        <v>1</v>
      </c>
      <c r="I1054" t="s">
        <v>19</v>
      </c>
      <c r="J1054">
        <v>269</v>
      </c>
      <c r="K1054" t="s">
        <v>3671</v>
      </c>
      <c r="L1054" s="13">
        <v>44979</v>
      </c>
      <c r="M1054" t="s">
        <v>2944</v>
      </c>
      <c r="N1054" t="s">
        <v>2945</v>
      </c>
      <c r="O1054">
        <v>11.25</v>
      </c>
      <c r="P1054" t="s">
        <v>52</v>
      </c>
    </row>
    <row r="1055" spans="1:16" ht="15" customHeight="1" x14ac:dyDescent="0.4">
      <c r="A1055" t="s">
        <v>15</v>
      </c>
      <c r="B1055" t="s">
        <v>16</v>
      </c>
      <c r="C1055" s="13">
        <v>44927</v>
      </c>
      <c r="D1055" s="13">
        <v>45291</v>
      </c>
      <c r="E1055" t="s">
        <v>17</v>
      </c>
      <c r="F1055">
        <v>1</v>
      </c>
      <c r="G1055" t="s">
        <v>18</v>
      </c>
      <c r="H1055">
        <v>1</v>
      </c>
      <c r="I1055" t="s">
        <v>19</v>
      </c>
      <c r="J1055">
        <v>269</v>
      </c>
      <c r="K1055" t="s">
        <v>3671</v>
      </c>
      <c r="L1055" s="13">
        <v>45030</v>
      </c>
      <c r="M1055" t="s">
        <v>2946</v>
      </c>
      <c r="N1055" t="s">
        <v>2947</v>
      </c>
      <c r="O1055">
        <v>6.85</v>
      </c>
      <c r="P1055" t="s">
        <v>52</v>
      </c>
    </row>
    <row r="1056" spans="1:16" ht="15" customHeight="1" x14ac:dyDescent="0.4">
      <c r="A1056" t="s">
        <v>15</v>
      </c>
      <c r="B1056" t="s">
        <v>16</v>
      </c>
      <c r="C1056" s="13">
        <v>44927</v>
      </c>
      <c r="D1056" s="13">
        <v>45291</v>
      </c>
      <c r="E1056" t="s">
        <v>17</v>
      </c>
      <c r="F1056">
        <v>1</v>
      </c>
      <c r="G1056" t="s">
        <v>18</v>
      </c>
      <c r="H1056">
        <v>1</v>
      </c>
      <c r="I1056" t="s">
        <v>19</v>
      </c>
      <c r="J1056">
        <v>269</v>
      </c>
      <c r="K1056" t="s">
        <v>3671</v>
      </c>
      <c r="L1056" s="13">
        <v>45036</v>
      </c>
      <c r="M1056" t="s">
        <v>3509</v>
      </c>
      <c r="N1056" t="s">
        <v>2948</v>
      </c>
      <c r="O1056">
        <v>6.61</v>
      </c>
      <c r="P1056" t="s">
        <v>52</v>
      </c>
    </row>
    <row r="1057" spans="1:16" ht="15" customHeight="1" x14ac:dyDescent="0.4">
      <c r="A1057" t="s">
        <v>15</v>
      </c>
      <c r="B1057" t="s">
        <v>16</v>
      </c>
      <c r="C1057" s="13">
        <v>44927</v>
      </c>
      <c r="D1057" s="13">
        <v>45291</v>
      </c>
      <c r="E1057" t="s">
        <v>17</v>
      </c>
      <c r="F1057">
        <v>1</v>
      </c>
      <c r="G1057" t="s">
        <v>18</v>
      </c>
      <c r="H1057">
        <v>1</v>
      </c>
      <c r="I1057" t="s">
        <v>19</v>
      </c>
      <c r="J1057">
        <v>269</v>
      </c>
      <c r="K1057" t="s">
        <v>3671</v>
      </c>
      <c r="L1057" s="13">
        <v>45069</v>
      </c>
      <c r="M1057" t="s">
        <v>3510</v>
      </c>
      <c r="N1057" t="s">
        <v>2949</v>
      </c>
      <c r="O1057">
        <v>8.58</v>
      </c>
      <c r="P1057" t="s">
        <v>52</v>
      </c>
    </row>
    <row r="1058" spans="1:16" ht="15" customHeight="1" x14ac:dyDescent="0.4">
      <c r="A1058" t="s">
        <v>15</v>
      </c>
      <c r="B1058" t="s">
        <v>16</v>
      </c>
      <c r="C1058" s="13">
        <v>44927</v>
      </c>
      <c r="D1058" s="13">
        <v>45291</v>
      </c>
      <c r="E1058" t="s">
        <v>17</v>
      </c>
      <c r="F1058">
        <v>1</v>
      </c>
      <c r="G1058" t="s">
        <v>18</v>
      </c>
      <c r="H1058">
        <v>1</v>
      </c>
      <c r="I1058" t="s">
        <v>19</v>
      </c>
      <c r="J1058">
        <v>269</v>
      </c>
      <c r="K1058" t="s">
        <v>3671</v>
      </c>
      <c r="L1058" s="13">
        <v>45099</v>
      </c>
      <c r="M1058" t="s">
        <v>3511</v>
      </c>
      <c r="N1058" t="s">
        <v>2950</v>
      </c>
      <c r="O1058">
        <v>10.72</v>
      </c>
      <c r="P1058" t="s">
        <v>52</v>
      </c>
    </row>
    <row r="1059" spans="1:16" ht="15" customHeight="1" x14ac:dyDescent="0.4">
      <c r="A1059" t="s">
        <v>15</v>
      </c>
      <c r="B1059" t="s">
        <v>16</v>
      </c>
      <c r="C1059" s="13">
        <v>44927</v>
      </c>
      <c r="D1059" s="13">
        <v>45291</v>
      </c>
      <c r="E1059" t="s">
        <v>17</v>
      </c>
      <c r="F1059">
        <v>1</v>
      </c>
      <c r="G1059" t="s">
        <v>18</v>
      </c>
      <c r="H1059">
        <v>1</v>
      </c>
      <c r="I1059" t="s">
        <v>19</v>
      </c>
      <c r="J1059">
        <v>269</v>
      </c>
      <c r="K1059" t="s">
        <v>3671</v>
      </c>
      <c r="L1059" s="13">
        <v>45131</v>
      </c>
      <c r="M1059" t="s">
        <v>2951</v>
      </c>
      <c r="N1059" t="s">
        <v>2952</v>
      </c>
      <c r="O1059">
        <v>10.4</v>
      </c>
      <c r="P1059" t="s">
        <v>52</v>
      </c>
    </row>
    <row r="1060" spans="1:16" ht="15" customHeight="1" x14ac:dyDescent="0.4">
      <c r="A1060" t="s">
        <v>15</v>
      </c>
      <c r="B1060" t="s">
        <v>16</v>
      </c>
      <c r="C1060" s="13">
        <v>44927</v>
      </c>
      <c r="D1060" s="13">
        <v>45291</v>
      </c>
      <c r="E1060" t="s">
        <v>17</v>
      </c>
      <c r="F1060">
        <v>1</v>
      </c>
      <c r="G1060" t="s">
        <v>18</v>
      </c>
      <c r="H1060">
        <v>1</v>
      </c>
      <c r="I1060" t="s">
        <v>19</v>
      </c>
      <c r="J1060">
        <v>269</v>
      </c>
      <c r="K1060" t="s">
        <v>3671</v>
      </c>
      <c r="L1060" s="13">
        <v>45166</v>
      </c>
      <c r="M1060" t="s">
        <v>2953</v>
      </c>
      <c r="N1060" t="s">
        <v>2954</v>
      </c>
      <c r="O1060">
        <v>12.26</v>
      </c>
      <c r="P1060" t="s">
        <v>52</v>
      </c>
    </row>
    <row r="1061" spans="1:16" ht="15" customHeight="1" x14ac:dyDescent="0.4">
      <c r="A1061" t="s">
        <v>15</v>
      </c>
      <c r="B1061" t="s">
        <v>16</v>
      </c>
      <c r="C1061" s="13">
        <v>44927</v>
      </c>
      <c r="D1061" s="13">
        <v>45291</v>
      </c>
      <c r="E1061" t="s">
        <v>17</v>
      </c>
      <c r="F1061">
        <v>1</v>
      </c>
      <c r="G1061" t="s">
        <v>18</v>
      </c>
      <c r="H1061">
        <v>1</v>
      </c>
      <c r="I1061" t="s">
        <v>19</v>
      </c>
      <c r="J1061">
        <v>269</v>
      </c>
      <c r="K1061" t="s">
        <v>3671</v>
      </c>
      <c r="L1061" s="13">
        <v>45194</v>
      </c>
      <c r="M1061" t="s">
        <v>2955</v>
      </c>
      <c r="N1061" t="s">
        <v>2956</v>
      </c>
      <c r="O1061">
        <v>13.75</v>
      </c>
      <c r="P1061" t="s">
        <v>52</v>
      </c>
    </row>
    <row r="1062" spans="1:16" ht="15" customHeight="1" x14ac:dyDescent="0.4">
      <c r="A1062" t="s">
        <v>15</v>
      </c>
      <c r="B1062" t="s">
        <v>16</v>
      </c>
      <c r="C1062" s="13">
        <v>44927</v>
      </c>
      <c r="D1062" s="13">
        <v>45291</v>
      </c>
      <c r="E1062" t="s">
        <v>17</v>
      </c>
      <c r="F1062">
        <v>1</v>
      </c>
      <c r="G1062" t="s">
        <v>18</v>
      </c>
      <c r="H1062">
        <v>1</v>
      </c>
      <c r="I1062" t="s">
        <v>19</v>
      </c>
      <c r="J1062">
        <v>269</v>
      </c>
      <c r="K1062" t="s">
        <v>3671</v>
      </c>
      <c r="L1062" s="13">
        <v>45222</v>
      </c>
      <c r="M1062" t="s">
        <v>3512</v>
      </c>
      <c r="N1062" t="s">
        <v>2957</v>
      </c>
      <c r="O1062">
        <v>12.77</v>
      </c>
      <c r="P1062" t="s">
        <v>52</v>
      </c>
    </row>
    <row r="1063" spans="1:16" ht="15" customHeight="1" x14ac:dyDescent="0.4">
      <c r="A1063" t="s">
        <v>15</v>
      </c>
      <c r="B1063" t="s">
        <v>16</v>
      </c>
      <c r="C1063" s="13">
        <v>44927</v>
      </c>
      <c r="D1063" s="13">
        <v>45291</v>
      </c>
      <c r="E1063" t="s">
        <v>17</v>
      </c>
      <c r="F1063">
        <v>1</v>
      </c>
      <c r="G1063" t="s">
        <v>18</v>
      </c>
      <c r="H1063">
        <v>1</v>
      </c>
      <c r="I1063" t="s">
        <v>19</v>
      </c>
      <c r="J1063">
        <v>269</v>
      </c>
      <c r="K1063" t="s">
        <v>3671</v>
      </c>
      <c r="L1063" s="13">
        <v>45251</v>
      </c>
      <c r="M1063" t="s">
        <v>3513</v>
      </c>
      <c r="N1063" t="s">
        <v>2958</v>
      </c>
      <c r="O1063">
        <v>12.82</v>
      </c>
      <c r="P1063" t="s">
        <v>52</v>
      </c>
    </row>
    <row r="1064" spans="1:16" ht="15" customHeight="1" x14ac:dyDescent="0.4">
      <c r="A1064" t="s">
        <v>15</v>
      </c>
      <c r="B1064" t="s">
        <v>16</v>
      </c>
      <c r="C1064" s="13">
        <v>44927</v>
      </c>
      <c r="D1064" s="13">
        <v>45291</v>
      </c>
      <c r="E1064" t="s">
        <v>17</v>
      </c>
      <c r="F1064">
        <v>1</v>
      </c>
      <c r="G1064" t="s">
        <v>18</v>
      </c>
      <c r="H1064">
        <v>1</v>
      </c>
      <c r="I1064" t="s">
        <v>19</v>
      </c>
      <c r="J1064">
        <v>269</v>
      </c>
      <c r="K1064" t="s">
        <v>3671</v>
      </c>
      <c r="L1064" s="13">
        <v>45281</v>
      </c>
      <c r="M1064" t="s">
        <v>3516</v>
      </c>
      <c r="N1064" t="s">
        <v>2924</v>
      </c>
      <c r="O1064">
        <v>6.4</v>
      </c>
      <c r="P1064" t="s">
        <v>52</v>
      </c>
    </row>
    <row r="1065" spans="1:16" ht="15" customHeight="1" x14ac:dyDescent="0.4">
      <c r="A1065" t="s">
        <v>15</v>
      </c>
      <c r="B1065" t="s">
        <v>16</v>
      </c>
      <c r="C1065" s="13">
        <v>44927</v>
      </c>
      <c r="D1065" s="13">
        <v>45291</v>
      </c>
      <c r="E1065" t="s">
        <v>17</v>
      </c>
      <c r="F1065">
        <v>1</v>
      </c>
      <c r="G1065" t="s">
        <v>18</v>
      </c>
      <c r="H1065">
        <v>1</v>
      </c>
      <c r="I1065" t="s">
        <v>19</v>
      </c>
      <c r="J1065">
        <v>401</v>
      </c>
      <c r="K1065" t="s">
        <v>476</v>
      </c>
      <c r="L1065" s="13">
        <v>45291</v>
      </c>
      <c r="M1065" t="s">
        <v>3551</v>
      </c>
      <c r="N1065" t="s">
        <v>46</v>
      </c>
      <c r="O1065">
        <v>1356.09</v>
      </c>
      <c r="P1065" t="s">
        <v>46</v>
      </c>
    </row>
    <row r="1066" spans="1:16" ht="15" customHeight="1" x14ac:dyDescent="0.4">
      <c r="A1066" t="s">
        <v>15</v>
      </c>
      <c r="B1066" t="s">
        <v>16</v>
      </c>
      <c r="C1066" s="13">
        <v>44927</v>
      </c>
      <c r="D1066" s="13">
        <v>45291</v>
      </c>
      <c r="E1066" t="s">
        <v>17</v>
      </c>
      <c r="F1066">
        <v>1</v>
      </c>
      <c r="G1066" t="s">
        <v>18</v>
      </c>
      <c r="H1066">
        <v>1</v>
      </c>
      <c r="I1066" t="s">
        <v>19</v>
      </c>
      <c r="J1066">
        <v>702</v>
      </c>
      <c r="K1066" t="s">
        <v>275</v>
      </c>
      <c r="L1066" s="13">
        <v>45061</v>
      </c>
      <c r="M1066" t="s">
        <v>3524</v>
      </c>
      <c r="N1066" t="s">
        <v>3525</v>
      </c>
      <c r="O1066">
        <v>21.74</v>
      </c>
      <c r="P1066" t="s">
        <v>368</v>
      </c>
    </row>
    <row r="1067" spans="1:16" ht="15" customHeight="1" x14ac:dyDescent="0.4">
      <c r="A1067" t="s">
        <v>15</v>
      </c>
      <c r="B1067" t="s">
        <v>16</v>
      </c>
      <c r="C1067" s="13">
        <v>44927</v>
      </c>
      <c r="D1067" s="13">
        <v>45291</v>
      </c>
      <c r="E1067" t="s">
        <v>17</v>
      </c>
      <c r="F1067">
        <v>1</v>
      </c>
      <c r="G1067" t="s">
        <v>18</v>
      </c>
      <c r="H1067">
        <v>1</v>
      </c>
      <c r="I1067" t="s">
        <v>19</v>
      </c>
      <c r="J1067">
        <v>891</v>
      </c>
      <c r="K1067" t="s">
        <v>377</v>
      </c>
      <c r="L1067" s="13">
        <v>45291</v>
      </c>
      <c r="M1067" t="s">
        <v>3546</v>
      </c>
      <c r="N1067" t="s">
        <v>46</v>
      </c>
      <c r="O1067">
        <v>11520.89</v>
      </c>
      <c r="P1067" t="s">
        <v>46</v>
      </c>
    </row>
    <row r="1068" spans="1:16" ht="15" customHeight="1" x14ac:dyDescent="0.4">
      <c r="A1068" t="s">
        <v>15</v>
      </c>
      <c r="B1068" t="s">
        <v>16</v>
      </c>
      <c r="C1068" s="13">
        <v>44927</v>
      </c>
      <c r="D1068" s="13">
        <v>45291</v>
      </c>
      <c r="E1068" t="s">
        <v>17</v>
      </c>
      <c r="F1068">
        <v>3</v>
      </c>
      <c r="G1068" t="s">
        <v>18</v>
      </c>
      <c r="H1068">
        <v>1</v>
      </c>
      <c r="I1068" t="s">
        <v>19</v>
      </c>
      <c r="J1068">
        <v>105</v>
      </c>
      <c r="K1068" t="s">
        <v>1341</v>
      </c>
      <c r="L1068" s="13">
        <v>44985</v>
      </c>
      <c r="M1068" t="s">
        <v>3252</v>
      </c>
      <c r="N1068" t="s">
        <v>3253</v>
      </c>
      <c r="O1068">
        <v>493.9</v>
      </c>
      <c r="P1068" t="s">
        <v>3174</v>
      </c>
    </row>
    <row r="1069" spans="1:16" ht="15" customHeight="1" x14ac:dyDescent="0.4">
      <c r="A1069" t="s">
        <v>15</v>
      </c>
      <c r="B1069" t="s">
        <v>16</v>
      </c>
      <c r="C1069" s="13">
        <v>44927</v>
      </c>
      <c r="D1069" s="13">
        <v>45291</v>
      </c>
      <c r="E1069" t="s">
        <v>17</v>
      </c>
      <c r="F1069">
        <v>3</v>
      </c>
      <c r="G1069" t="s">
        <v>18</v>
      </c>
      <c r="H1069">
        <v>1</v>
      </c>
      <c r="I1069" t="s">
        <v>19</v>
      </c>
      <c r="J1069">
        <v>205</v>
      </c>
      <c r="K1069" t="s">
        <v>344</v>
      </c>
      <c r="L1069" s="13">
        <v>45282</v>
      </c>
      <c r="M1069" t="s">
        <v>2932</v>
      </c>
      <c r="N1069" t="s">
        <v>2933</v>
      </c>
      <c r="O1069">
        <v>319</v>
      </c>
      <c r="P1069" t="s">
        <v>347</v>
      </c>
    </row>
    <row r="1070" spans="1:16" ht="15" customHeight="1" x14ac:dyDescent="0.4">
      <c r="A1070" t="s">
        <v>15</v>
      </c>
      <c r="B1070" t="s">
        <v>16</v>
      </c>
      <c r="C1070" s="13">
        <v>44927</v>
      </c>
      <c r="D1070" s="13">
        <v>45291</v>
      </c>
      <c r="E1070" t="s">
        <v>17</v>
      </c>
      <c r="F1070">
        <v>3</v>
      </c>
      <c r="G1070" t="s">
        <v>18</v>
      </c>
      <c r="H1070">
        <v>1</v>
      </c>
      <c r="I1070" t="s">
        <v>19</v>
      </c>
      <c r="J1070">
        <v>242</v>
      </c>
      <c r="K1070" t="s">
        <v>348</v>
      </c>
      <c r="L1070" s="13">
        <v>45291</v>
      </c>
      <c r="M1070" t="s">
        <v>3539</v>
      </c>
      <c r="N1070" t="s">
        <v>45</v>
      </c>
      <c r="O1070">
        <v>124.25</v>
      </c>
      <c r="P1070" t="s">
        <v>46</v>
      </c>
    </row>
    <row r="1071" spans="1:16" ht="15" customHeight="1" x14ac:dyDescent="0.4">
      <c r="A1071" t="s">
        <v>15</v>
      </c>
      <c r="B1071" t="s">
        <v>16</v>
      </c>
      <c r="C1071" s="13">
        <v>44927</v>
      </c>
      <c r="D1071" s="13">
        <v>45291</v>
      </c>
      <c r="E1071" t="s">
        <v>17</v>
      </c>
      <c r="F1071">
        <v>3</v>
      </c>
      <c r="G1071" t="s">
        <v>18</v>
      </c>
      <c r="H1071">
        <v>1</v>
      </c>
      <c r="I1071" t="s">
        <v>19</v>
      </c>
      <c r="J1071">
        <v>269</v>
      </c>
      <c r="K1071" t="s">
        <v>3674</v>
      </c>
      <c r="L1071" s="13">
        <v>44946</v>
      </c>
      <c r="M1071" t="s">
        <v>2942</v>
      </c>
      <c r="N1071" t="s">
        <v>2943</v>
      </c>
      <c r="O1071">
        <v>13.7</v>
      </c>
      <c r="P1071" t="s">
        <v>52</v>
      </c>
    </row>
    <row r="1072" spans="1:16" ht="15" customHeight="1" x14ac:dyDescent="0.4">
      <c r="A1072" t="s">
        <v>15</v>
      </c>
      <c r="B1072" t="s">
        <v>16</v>
      </c>
      <c r="C1072" s="13">
        <v>44927</v>
      </c>
      <c r="D1072" s="13">
        <v>45291</v>
      </c>
      <c r="E1072" t="s">
        <v>17</v>
      </c>
      <c r="F1072">
        <v>3</v>
      </c>
      <c r="G1072" t="s">
        <v>18</v>
      </c>
      <c r="H1072">
        <v>1</v>
      </c>
      <c r="I1072" t="s">
        <v>19</v>
      </c>
      <c r="J1072">
        <v>269</v>
      </c>
      <c r="K1072" t="s">
        <v>3674</v>
      </c>
      <c r="L1072" s="13">
        <v>44979</v>
      </c>
      <c r="M1072" t="s">
        <v>2944</v>
      </c>
      <c r="N1072" t="s">
        <v>2945</v>
      </c>
      <c r="O1072">
        <v>11.02</v>
      </c>
      <c r="P1072" t="s">
        <v>52</v>
      </c>
    </row>
    <row r="1073" spans="1:16" ht="15" customHeight="1" x14ac:dyDescent="0.4">
      <c r="A1073" t="s">
        <v>15</v>
      </c>
      <c r="B1073" t="s">
        <v>16</v>
      </c>
      <c r="C1073" s="13">
        <v>44927</v>
      </c>
      <c r="D1073" s="13">
        <v>45291</v>
      </c>
      <c r="E1073" t="s">
        <v>17</v>
      </c>
      <c r="F1073">
        <v>3</v>
      </c>
      <c r="G1073" t="s">
        <v>18</v>
      </c>
      <c r="H1073">
        <v>1</v>
      </c>
      <c r="I1073" t="s">
        <v>19</v>
      </c>
      <c r="J1073">
        <v>269</v>
      </c>
      <c r="K1073" t="s">
        <v>3674</v>
      </c>
      <c r="L1073" s="13">
        <v>45030</v>
      </c>
      <c r="M1073" t="s">
        <v>2946</v>
      </c>
      <c r="N1073" t="s">
        <v>2947</v>
      </c>
      <c r="O1073">
        <v>6.71</v>
      </c>
      <c r="P1073" t="s">
        <v>52</v>
      </c>
    </row>
    <row r="1074" spans="1:16" ht="15" customHeight="1" x14ac:dyDescent="0.4">
      <c r="A1074" t="s">
        <v>15</v>
      </c>
      <c r="B1074" t="s">
        <v>16</v>
      </c>
      <c r="C1074" s="13">
        <v>44927</v>
      </c>
      <c r="D1074" s="13">
        <v>45291</v>
      </c>
      <c r="E1074" t="s">
        <v>17</v>
      </c>
      <c r="F1074">
        <v>3</v>
      </c>
      <c r="G1074" t="s">
        <v>18</v>
      </c>
      <c r="H1074">
        <v>1</v>
      </c>
      <c r="I1074" t="s">
        <v>19</v>
      </c>
      <c r="J1074">
        <v>269</v>
      </c>
      <c r="K1074" t="s">
        <v>3674</v>
      </c>
      <c r="L1074" s="13">
        <v>45036</v>
      </c>
      <c r="M1074" t="s">
        <v>3509</v>
      </c>
      <c r="N1074" t="s">
        <v>2948</v>
      </c>
      <c r="O1074">
        <v>6.47</v>
      </c>
      <c r="P1074" t="s">
        <v>52</v>
      </c>
    </row>
    <row r="1075" spans="1:16" ht="15" customHeight="1" x14ac:dyDescent="0.4">
      <c r="A1075" t="s">
        <v>15</v>
      </c>
      <c r="B1075" t="s">
        <v>16</v>
      </c>
      <c r="C1075" s="13">
        <v>44927</v>
      </c>
      <c r="D1075" s="13">
        <v>45291</v>
      </c>
      <c r="E1075" t="s">
        <v>17</v>
      </c>
      <c r="F1075">
        <v>3</v>
      </c>
      <c r="G1075" t="s">
        <v>18</v>
      </c>
      <c r="H1075">
        <v>1</v>
      </c>
      <c r="I1075" t="s">
        <v>19</v>
      </c>
      <c r="J1075">
        <v>269</v>
      </c>
      <c r="K1075" t="s">
        <v>3674</v>
      </c>
      <c r="L1075" s="13">
        <v>45069</v>
      </c>
      <c r="M1075" t="s">
        <v>3510</v>
      </c>
      <c r="N1075" t="s">
        <v>2949</v>
      </c>
      <c r="O1075">
        <v>8.41</v>
      </c>
      <c r="P1075" t="s">
        <v>52</v>
      </c>
    </row>
    <row r="1076" spans="1:16" ht="15" customHeight="1" x14ac:dyDescent="0.4">
      <c r="A1076" t="s">
        <v>15</v>
      </c>
      <c r="B1076" t="s">
        <v>16</v>
      </c>
      <c r="C1076" s="13">
        <v>44927</v>
      </c>
      <c r="D1076" s="13">
        <v>45291</v>
      </c>
      <c r="E1076" t="s">
        <v>17</v>
      </c>
      <c r="F1076">
        <v>3</v>
      </c>
      <c r="G1076" t="s">
        <v>18</v>
      </c>
      <c r="H1076">
        <v>1</v>
      </c>
      <c r="I1076" t="s">
        <v>19</v>
      </c>
      <c r="J1076">
        <v>269</v>
      </c>
      <c r="K1076" t="s">
        <v>3674</v>
      </c>
      <c r="L1076" s="13">
        <v>45099</v>
      </c>
      <c r="M1076" t="s">
        <v>3511</v>
      </c>
      <c r="N1076" t="s">
        <v>2950</v>
      </c>
      <c r="O1076">
        <v>10.51</v>
      </c>
      <c r="P1076" t="s">
        <v>52</v>
      </c>
    </row>
    <row r="1077" spans="1:16" ht="15" customHeight="1" x14ac:dyDescent="0.4">
      <c r="A1077" t="s">
        <v>15</v>
      </c>
      <c r="B1077" t="s">
        <v>16</v>
      </c>
      <c r="C1077" s="13">
        <v>44927</v>
      </c>
      <c r="D1077" s="13">
        <v>45291</v>
      </c>
      <c r="E1077" t="s">
        <v>17</v>
      </c>
      <c r="F1077">
        <v>3</v>
      </c>
      <c r="G1077" t="s">
        <v>18</v>
      </c>
      <c r="H1077">
        <v>1</v>
      </c>
      <c r="I1077" t="s">
        <v>19</v>
      </c>
      <c r="J1077">
        <v>269</v>
      </c>
      <c r="K1077" t="s">
        <v>3674</v>
      </c>
      <c r="L1077" s="13">
        <v>45131</v>
      </c>
      <c r="M1077" t="s">
        <v>2951</v>
      </c>
      <c r="N1077" t="s">
        <v>2952</v>
      </c>
      <c r="O1077">
        <v>10.19</v>
      </c>
      <c r="P1077" t="s">
        <v>52</v>
      </c>
    </row>
    <row r="1078" spans="1:16" ht="15" customHeight="1" x14ac:dyDescent="0.4">
      <c r="A1078" t="s">
        <v>15</v>
      </c>
      <c r="B1078" t="s">
        <v>16</v>
      </c>
      <c r="C1078" s="13">
        <v>44927</v>
      </c>
      <c r="D1078" s="13">
        <v>45291</v>
      </c>
      <c r="E1078" t="s">
        <v>17</v>
      </c>
      <c r="F1078">
        <v>3</v>
      </c>
      <c r="G1078" t="s">
        <v>18</v>
      </c>
      <c r="H1078">
        <v>1</v>
      </c>
      <c r="I1078" t="s">
        <v>19</v>
      </c>
      <c r="J1078">
        <v>269</v>
      </c>
      <c r="K1078" t="s">
        <v>3674</v>
      </c>
      <c r="L1078" s="13">
        <v>45166</v>
      </c>
      <c r="M1078" t="s">
        <v>2953</v>
      </c>
      <c r="N1078" t="s">
        <v>2954</v>
      </c>
      <c r="O1078">
        <v>12.01</v>
      </c>
      <c r="P1078" t="s">
        <v>52</v>
      </c>
    </row>
    <row r="1079" spans="1:16" ht="15" customHeight="1" x14ac:dyDescent="0.4">
      <c r="A1079" t="s">
        <v>15</v>
      </c>
      <c r="B1079" t="s">
        <v>16</v>
      </c>
      <c r="C1079" s="13">
        <v>44927</v>
      </c>
      <c r="D1079" s="13">
        <v>45291</v>
      </c>
      <c r="E1079" t="s">
        <v>17</v>
      </c>
      <c r="F1079">
        <v>3</v>
      </c>
      <c r="G1079" t="s">
        <v>18</v>
      </c>
      <c r="H1079">
        <v>1</v>
      </c>
      <c r="I1079" t="s">
        <v>19</v>
      </c>
      <c r="J1079">
        <v>269</v>
      </c>
      <c r="K1079" t="s">
        <v>3674</v>
      </c>
      <c r="L1079" s="13">
        <v>45194</v>
      </c>
      <c r="M1079" t="s">
        <v>2955</v>
      </c>
      <c r="N1079" t="s">
        <v>2956</v>
      </c>
      <c r="O1079">
        <v>13.47</v>
      </c>
      <c r="P1079" t="s">
        <v>52</v>
      </c>
    </row>
    <row r="1080" spans="1:16" ht="15" customHeight="1" x14ac:dyDescent="0.4">
      <c r="A1080" t="s">
        <v>15</v>
      </c>
      <c r="B1080" t="s">
        <v>16</v>
      </c>
      <c r="C1080" s="13">
        <v>44927</v>
      </c>
      <c r="D1080" s="13">
        <v>45291</v>
      </c>
      <c r="E1080" t="s">
        <v>17</v>
      </c>
      <c r="F1080">
        <v>3</v>
      </c>
      <c r="G1080" t="s">
        <v>18</v>
      </c>
      <c r="H1080">
        <v>1</v>
      </c>
      <c r="I1080" t="s">
        <v>19</v>
      </c>
      <c r="J1080">
        <v>269</v>
      </c>
      <c r="K1080" t="s">
        <v>3674</v>
      </c>
      <c r="L1080" s="13">
        <v>45222</v>
      </c>
      <c r="M1080" t="s">
        <v>3512</v>
      </c>
      <c r="N1080" t="s">
        <v>2957</v>
      </c>
      <c r="O1080">
        <v>12.52</v>
      </c>
      <c r="P1080" t="s">
        <v>52</v>
      </c>
    </row>
    <row r="1081" spans="1:16" ht="15" customHeight="1" x14ac:dyDescent="0.4">
      <c r="A1081" t="s">
        <v>15</v>
      </c>
      <c r="B1081" t="s">
        <v>16</v>
      </c>
      <c r="C1081" s="13">
        <v>44927</v>
      </c>
      <c r="D1081" s="13">
        <v>45291</v>
      </c>
      <c r="E1081" t="s">
        <v>17</v>
      </c>
      <c r="F1081">
        <v>3</v>
      </c>
      <c r="G1081" t="s">
        <v>18</v>
      </c>
      <c r="H1081">
        <v>1</v>
      </c>
      <c r="I1081" t="s">
        <v>19</v>
      </c>
      <c r="J1081">
        <v>269</v>
      </c>
      <c r="K1081" t="s">
        <v>3674</v>
      </c>
      <c r="L1081" s="13">
        <v>45251</v>
      </c>
      <c r="M1081" t="s">
        <v>3513</v>
      </c>
      <c r="N1081" t="s">
        <v>2958</v>
      </c>
      <c r="O1081">
        <v>12.57</v>
      </c>
      <c r="P1081" t="s">
        <v>52</v>
      </c>
    </row>
    <row r="1082" spans="1:16" ht="15" customHeight="1" x14ac:dyDescent="0.4">
      <c r="A1082" t="s">
        <v>15</v>
      </c>
      <c r="B1082" t="s">
        <v>16</v>
      </c>
      <c r="C1082" s="13">
        <v>44927</v>
      </c>
      <c r="D1082" s="13">
        <v>45291</v>
      </c>
      <c r="E1082" t="s">
        <v>17</v>
      </c>
      <c r="F1082">
        <v>3</v>
      </c>
      <c r="G1082" t="s">
        <v>18</v>
      </c>
      <c r="H1082">
        <v>1</v>
      </c>
      <c r="I1082" t="s">
        <v>19</v>
      </c>
      <c r="J1082">
        <v>269</v>
      </c>
      <c r="K1082" t="s">
        <v>3674</v>
      </c>
      <c r="L1082" s="13">
        <v>45281</v>
      </c>
      <c r="M1082" t="s">
        <v>3516</v>
      </c>
      <c r="N1082" t="s">
        <v>2924</v>
      </c>
      <c r="O1082">
        <v>6.28</v>
      </c>
      <c r="P1082" t="s">
        <v>52</v>
      </c>
    </row>
    <row r="1083" spans="1:16" ht="15" customHeight="1" x14ac:dyDescent="0.4">
      <c r="A1083" t="s">
        <v>15</v>
      </c>
      <c r="B1083" t="s">
        <v>16</v>
      </c>
      <c r="C1083" s="13">
        <v>44927</v>
      </c>
      <c r="D1083" s="13">
        <v>45291</v>
      </c>
      <c r="E1083" t="s">
        <v>17</v>
      </c>
      <c r="F1083">
        <v>3</v>
      </c>
      <c r="G1083" t="s">
        <v>18</v>
      </c>
      <c r="H1083">
        <v>1</v>
      </c>
      <c r="I1083" t="s">
        <v>19</v>
      </c>
      <c r="J1083">
        <v>441</v>
      </c>
      <c r="K1083" t="s">
        <v>268</v>
      </c>
      <c r="L1083" s="13">
        <v>45096</v>
      </c>
      <c r="M1083" t="s">
        <v>3170</v>
      </c>
      <c r="N1083" t="s">
        <v>3171</v>
      </c>
      <c r="O1083">
        <v>50.23</v>
      </c>
      <c r="P1083" t="s">
        <v>494</v>
      </c>
    </row>
    <row r="1084" spans="1:16" ht="15" customHeight="1" x14ac:dyDescent="0.4">
      <c r="A1084" t="s">
        <v>15</v>
      </c>
      <c r="B1084" t="s">
        <v>16</v>
      </c>
      <c r="C1084" s="13">
        <v>44927</v>
      </c>
      <c r="D1084" s="13">
        <v>45291</v>
      </c>
      <c r="E1084" t="s">
        <v>17</v>
      </c>
      <c r="F1084">
        <v>3</v>
      </c>
      <c r="G1084" t="s">
        <v>18</v>
      </c>
      <c r="H1084">
        <v>1</v>
      </c>
      <c r="I1084" t="s">
        <v>19</v>
      </c>
      <c r="J1084">
        <v>702</v>
      </c>
      <c r="K1084" t="s">
        <v>275</v>
      </c>
      <c r="L1084" s="13">
        <v>45061</v>
      </c>
      <c r="M1084" t="s">
        <v>3524</v>
      </c>
      <c r="N1084" t="s">
        <v>3525</v>
      </c>
      <c r="O1084">
        <v>65.23</v>
      </c>
      <c r="P1084" t="s">
        <v>368</v>
      </c>
    </row>
    <row r="1085" spans="1:16" ht="15" customHeight="1" x14ac:dyDescent="0.4">
      <c r="A1085" t="s">
        <v>15</v>
      </c>
      <c r="B1085" t="s">
        <v>16</v>
      </c>
      <c r="C1085" s="13">
        <v>44927</v>
      </c>
      <c r="D1085" s="13">
        <v>45291</v>
      </c>
      <c r="E1085" t="s">
        <v>17</v>
      </c>
      <c r="F1085">
        <v>3</v>
      </c>
      <c r="G1085" t="s">
        <v>18</v>
      </c>
      <c r="H1085">
        <v>1</v>
      </c>
      <c r="I1085" t="s">
        <v>19</v>
      </c>
      <c r="J1085">
        <v>883</v>
      </c>
      <c r="K1085" t="s">
        <v>371</v>
      </c>
      <c r="L1085" s="13">
        <v>45291</v>
      </c>
      <c r="M1085" t="s">
        <v>3552</v>
      </c>
      <c r="N1085" t="s">
        <v>376</v>
      </c>
      <c r="O1085">
        <v>57</v>
      </c>
      <c r="P1085" t="s">
        <v>46</v>
      </c>
    </row>
    <row r="1086" spans="1:16" ht="15" customHeight="1" x14ac:dyDescent="0.4">
      <c r="A1086" t="s">
        <v>15</v>
      </c>
      <c r="B1086" t="s">
        <v>16</v>
      </c>
      <c r="C1086" s="13">
        <v>44927</v>
      </c>
      <c r="D1086" s="13">
        <v>45291</v>
      </c>
      <c r="E1086" t="s">
        <v>17</v>
      </c>
      <c r="F1086">
        <v>3</v>
      </c>
      <c r="G1086" t="s">
        <v>18</v>
      </c>
      <c r="H1086">
        <v>1</v>
      </c>
      <c r="I1086" t="s">
        <v>19</v>
      </c>
      <c r="J1086">
        <v>891</v>
      </c>
      <c r="K1086" t="s">
        <v>377</v>
      </c>
      <c r="L1086" s="13">
        <v>45291</v>
      </c>
      <c r="M1086" t="s">
        <v>3546</v>
      </c>
      <c r="N1086" t="s">
        <v>46</v>
      </c>
      <c r="O1086">
        <v>9602.4</v>
      </c>
      <c r="P1086" t="s">
        <v>46</v>
      </c>
    </row>
    <row r="1087" spans="1:16" ht="15" customHeight="1" x14ac:dyDescent="0.4">
      <c r="A1087" t="s">
        <v>15</v>
      </c>
      <c r="B1087" t="s">
        <v>16</v>
      </c>
      <c r="C1087" s="13">
        <v>44927</v>
      </c>
      <c r="D1087" s="13">
        <v>45291</v>
      </c>
      <c r="E1087" t="s">
        <v>17</v>
      </c>
      <c r="F1087">
        <v>5</v>
      </c>
      <c r="G1087" t="s">
        <v>501</v>
      </c>
      <c r="H1087">
        <v>40</v>
      </c>
      <c r="I1087" t="s">
        <v>501</v>
      </c>
      <c r="J1087">
        <v>264</v>
      </c>
      <c r="K1087" t="s">
        <v>502</v>
      </c>
      <c r="L1087" s="13">
        <v>44946</v>
      </c>
      <c r="M1087" t="s">
        <v>2942</v>
      </c>
      <c r="N1087" t="s">
        <v>2943</v>
      </c>
      <c r="O1087">
        <v>14.26</v>
      </c>
      <c r="P1087" t="s">
        <v>52</v>
      </c>
    </row>
    <row r="1088" spans="1:16" ht="15" customHeight="1" x14ac:dyDescent="0.4">
      <c r="A1088" t="s">
        <v>15</v>
      </c>
      <c r="B1088" t="s">
        <v>16</v>
      </c>
      <c r="C1088" s="13">
        <v>44927</v>
      </c>
      <c r="D1088" s="13">
        <v>45291</v>
      </c>
      <c r="E1088" t="s">
        <v>17</v>
      </c>
      <c r="F1088">
        <v>5</v>
      </c>
      <c r="G1088" t="s">
        <v>501</v>
      </c>
      <c r="H1088">
        <v>40</v>
      </c>
      <c r="I1088" t="s">
        <v>501</v>
      </c>
      <c r="J1088">
        <v>264</v>
      </c>
      <c r="K1088" t="s">
        <v>502</v>
      </c>
      <c r="L1088" s="13">
        <v>44979</v>
      </c>
      <c r="M1088" t="s">
        <v>2944</v>
      </c>
      <c r="N1088" t="s">
        <v>2945</v>
      </c>
      <c r="O1088">
        <v>11.47</v>
      </c>
      <c r="P1088" t="s">
        <v>52</v>
      </c>
    </row>
    <row r="1089" spans="1:16" ht="15" customHeight="1" x14ac:dyDescent="0.4">
      <c r="A1089" t="s">
        <v>15</v>
      </c>
      <c r="B1089" t="s">
        <v>16</v>
      </c>
      <c r="C1089" s="13">
        <v>44927</v>
      </c>
      <c r="D1089" s="13">
        <v>45291</v>
      </c>
      <c r="E1089" t="s">
        <v>17</v>
      </c>
      <c r="F1089">
        <v>5</v>
      </c>
      <c r="G1089" t="s">
        <v>501</v>
      </c>
      <c r="H1089">
        <v>40</v>
      </c>
      <c r="I1089" t="s">
        <v>501</v>
      </c>
      <c r="J1089">
        <v>264</v>
      </c>
      <c r="K1089" t="s">
        <v>502</v>
      </c>
      <c r="L1089" s="13">
        <v>45030</v>
      </c>
      <c r="M1089" t="s">
        <v>2946</v>
      </c>
      <c r="N1089" t="s">
        <v>2947</v>
      </c>
      <c r="O1089">
        <v>6.99</v>
      </c>
      <c r="P1089" t="s">
        <v>52</v>
      </c>
    </row>
    <row r="1090" spans="1:16" ht="15" customHeight="1" x14ac:dyDescent="0.4">
      <c r="A1090" t="s">
        <v>15</v>
      </c>
      <c r="B1090" t="s">
        <v>16</v>
      </c>
      <c r="C1090" s="13">
        <v>44927</v>
      </c>
      <c r="D1090" s="13">
        <v>45291</v>
      </c>
      <c r="E1090" t="s">
        <v>17</v>
      </c>
      <c r="F1090">
        <v>5</v>
      </c>
      <c r="G1090" t="s">
        <v>501</v>
      </c>
      <c r="H1090">
        <v>40</v>
      </c>
      <c r="I1090" t="s">
        <v>501</v>
      </c>
      <c r="J1090">
        <v>264</v>
      </c>
      <c r="K1090" t="s">
        <v>502</v>
      </c>
      <c r="L1090" s="13">
        <v>45036</v>
      </c>
      <c r="M1090" t="s">
        <v>3509</v>
      </c>
      <c r="N1090" t="s">
        <v>2948</v>
      </c>
      <c r="O1090">
        <v>6.74</v>
      </c>
      <c r="P1090" t="s">
        <v>52</v>
      </c>
    </row>
    <row r="1091" spans="1:16" ht="15" customHeight="1" x14ac:dyDescent="0.4">
      <c r="A1091" t="s">
        <v>15</v>
      </c>
      <c r="B1091" t="s">
        <v>16</v>
      </c>
      <c r="C1091" s="13">
        <v>44927</v>
      </c>
      <c r="D1091" s="13">
        <v>45291</v>
      </c>
      <c r="E1091" t="s">
        <v>17</v>
      </c>
      <c r="F1091">
        <v>5</v>
      </c>
      <c r="G1091" t="s">
        <v>501</v>
      </c>
      <c r="H1091">
        <v>40</v>
      </c>
      <c r="I1091" t="s">
        <v>501</v>
      </c>
      <c r="J1091">
        <v>264</v>
      </c>
      <c r="K1091" t="s">
        <v>502</v>
      </c>
      <c r="L1091" s="13">
        <v>45069</v>
      </c>
      <c r="M1091" t="s">
        <v>3510</v>
      </c>
      <c r="N1091" t="s">
        <v>2949</v>
      </c>
      <c r="O1091">
        <v>8.76</v>
      </c>
      <c r="P1091" t="s">
        <v>52</v>
      </c>
    </row>
    <row r="1092" spans="1:16" ht="15" customHeight="1" x14ac:dyDescent="0.4">
      <c r="A1092" t="s">
        <v>15</v>
      </c>
      <c r="B1092" t="s">
        <v>16</v>
      </c>
      <c r="C1092" s="13">
        <v>44927</v>
      </c>
      <c r="D1092" s="13">
        <v>45291</v>
      </c>
      <c r="E1092" t="s">
        <v>17</v>
      </c>
      <c r="F1092">
        <v>5</v>
      </c>
      <c r="G1092" t="s">
        <v>501</v>
      </c>
      <c r="H1092">
        <v>40</v>
      </c>
      <c r="I1092" t="s">
        <v>501</v>
      </c>
      <c r="J1092">
        <v>264</v>
      </c>
      <c r="K1092" t="s">
        <v>502</v>
      </c>
      <c r="L1092" s="13">
        <v>45099</v>
      </c>
      <c r="M1092" t="s">
        <v>3511</v>
      </c>
      <c r="N1092" t="s">
        <v>2950</v>
      </c>
      <c r="O1092">
        <v>10.94</v>
      </c>
      <c r="P1092" t="s">
        <v>52</v>
      </c>
    </row>
    <row r="1093" spans="1:16" ht="15" customHeight="1" x14ac:dyDescent="0.4">
      <c r="A1093" t="s">
        <v>15</v>
      </c>
      <c r="B1093" t="s">
        <v>16</v>
      </c>
      <c r="C1093" s="13">
        <v>44927</v>
      </c>
      <c r="D1093" s="13">
        <v>45291</v>
      </c>
      <c r="E1093" t="s">
        <v>17</v>
      </c>
      <c r="F1093">
        <v>5</v>
      </c>
      <c r="G1093" t="s">
        <v>501</v>
      </c>
      <c r="H1093">
        <v>40</v>
      </c>
      <c r="I1093" t="s">
        <v>501</v>
      </c>
      <c r="J1093">
        <v>264</v>
      </c>
      <c r="K1093" t="s">
        <v>502</v>
      </c>
      <c r="L1093" s="13">
        <v>45131</v>
      </c>
      <c r="M1093" t="s">
        <v>2951</v>
      </c>
      <c r="N1093" t="s">
        <v>2952</v>
      </c>
      <c r="O1093">
        <v>10.61</v>
      </c>
      <c r="P1093" t="s">
        <v>52</v>
      </c>
    </row>
    <row r="1094" spans="1:16" ht="15" customHeight="1" x14ac:dyDescent="0.4">
      <c r="A1094" t="s">
        <v>15</v>
      </c>
      <c r="B1094" t="s">
        <v>16</v>
      </c>
      <c r="C1094" s="13">
        <v>44927</v>
      </c>
      <c r="D1094" s="13">
        <v>45291</v>
      </c>
      <c r="E1094" t="s">
        <v>17</v>
      </c>
      <c r="F1094">
        <v>5</v>
      </c>
      <c r="G1094" t="s">
        <v>501</v>
      </c>
      <c r="H1094">
        <v>40</v>
      </c>
      <c r="I1094" t="s">
        <v>501</v>
      </c>
      <c r="J1094">
        <v>264</v>
      </c>
      <c r="K1094" t="s">
        <v>502</v>
      </c>
      <c r="L1094" s="13">
        <v>45166</v>
      </c>
      <c r="M1094" t="s">
        <v>2953</v>
      </c>
      <c r="N1094" t="s">
        <v>2954</v>
      </c>
      <c r="O1094">
        <v>12.5</v>
      </c>
      <c r="P1094" t="s">
        <v>52</v>
      </c>
    </row>
    <row r="1095" spans="1:16" ht="15" customHeight="1" x14ac:dyDescent="0.4">
      <c r="A1095" t="s">
        <v>15</v>
      </c>
      <c r="B1095" t="s">
        <v>16</v>
      </c>
      <c r="C1095" s="13">
        <v>44927</v>
      </c>
      <c r="D1095" s="13">
        <v>45291</v>
      </c>
      <c r="E1095" t="s">
        <v>17</v>
      </c>
      <c r="F1095">
        <v>5</v>
      </c>
      <c r="G1095" t="s">
        <v>501</v>
      </c>
      <c r="H1095">
        <v>40</v>
      </c>
      <c r="I1095" t="s">
        <v>501</v>
      </c>
      <c r="J1095">
        <v>264</v>
      </c>
      <c r="K1095" t="s">
        <v>502</v>
      </c>
      <c r="L1095" s="13">
        <v>45194</v>
      </c>
      <c r="M1095" t="s">
        <v>2955</v>
      </c>
      <c r="N1095" t="s">
        <v>2956</v>
      </c>
      <c r="O1095">
        <v>14.02</v>
      </c>
      <c r="P1095" t="s">
        <v>52</v>
      </c>
    </row>
    <row r="1096" spans="1:16" ht="15" customHeight="1" x14ac:dyDescent="0.4">
      <c r="A1096" t="s">
        <v>15</v>
      </c>
      <c r="B1096" t="s">
        <v>16</v>
      </c>
      <c r="C1096" s="13">
        <v>44927</v>
      </c>
      <c r="D1096" s="13">
        <v>45291</v>
      </c>
      <c r="E1096" t="s">
        <v>17</v>
      </c>
      <c r="F1096">
        <v>5</v>
      </c>
      <c r="G1096" t="s">
        <v>501</v>
      </c>
      <c r="H1096">
        <v>40</v>
      </c>
      <c r="I1096" t="s">
        <v>501</v>
      </c>
      <c r="J1096">
        <v>264</v>
      </c>
      <c r="K1096" t="s">
        <v>502</v>
      </c>
      <c r="L1096" s="13">
        <v>45222</v>
      </c>
      <c r="M1096" t="s">
        <v>3512</v>
      </c>
      <c r="N1096" t="s">
        <v>2957</v>
      </c>
      <c r="O1096">
        <v>13.03</v>
      </c>
      <c r="P1096" t="s">
        <v>52</v>
      </c>
    </row>
    <row r="1097" spans="1:16" ht="15" customHeight="1" x14ac:dyDescent="0.4">
      <c r="A1097" t="s">
        <v>15</v>
      </c>
      <c r="B1097" t="s">
        <v>16</v>
      </c>
      <c r="C1097" s="13">
        <v>44927</v>
      </c>
      <c r="D1097" s="13">
        <v>45291</v>
      </c>
      <c r="E1097" t="s">
        <v>17</v>
      </c>
      <c r="F1097">
        <v>5</v>
      </c>
      <c r="G1097" t="s">
        <v>501</v>
      </c>
      <c r="H1097">
        <v>40</v>
      </c>
      <c r="I1097" t="s">
        <v>501</v>
      </c>
      <c r="J1097">
        <v>264</v>
      </c>
      <c r="K1097" t="s">
        <v>502</v>
      </c>
      <c r="L1097" s="13">
        <v>45251</v>
      </c>
      <c r="M1097" t="s">
        <v>3513</v>
      </c>
      <c r="N1097" t="s">
        <v>2958</v>
      </c>
      <c r="O1097">
        <v>13.08</v>
      </c>
      <c r="P1097" t="s">
        <v>52</v>
      </c>
    </row>
    <row r="1098" spans="1:16" ht="15" customHeight="1" x14ac:dyDescent="0.4">
      <c r="A1098" t="s">
        <v>15</v>
      </c>
      <c r="B1098" t="s">
        <v>16</v>
      </c>
      <c r="C1098" s="13">
        <v>44927</v>
      </c>
      <c r="D1098" s="13">
        <v>45291</v>
      </c>
      <c r="E1098" t="s">
        <v>17</v>
      </c>
      <c r="F1098">
        <v>5</v>
      </c>
      <c r="G1098" t="s">
        <v>501</v>
      </c>
      <c r="H1098">
        <v>40</v>
      </c>
      <c r="I1098" t="s">
        <v>501</v>
      </c>
      <c r="J1098">
        <v>264</v>
      </c>
      <c r="K1098" t="s">
        <v>502</v>
      </c>
      <c r="L1098" s="13">
        <v>45281</v>
      </c>
      <c r="M1098" t="s">
        <v>3516</v>
      </c>
      <c r="N1098" t="s">
        <v>2924</v>
      </c>
      <c r="O1098">
        <v>6.53</v>
      </c>
      <c r="P1098" t="s">
        <v>52</v>
      </c>
    </row>
    <row r="1099" spans="1:16" ht="15" customHeight="1" x14ac:dyDescent="0.4">
      <c r="A1099" t="s">
        <v>15</v>
      </c>
      <c r="B1099" t="s">
        <v>16</v>
      </c>
      <c r="C1099" s="13">
        <v>44927</v>
      </c>
      <c r="D1099" s="13">
        <v>45291</v>
      </c>
      <c r="E1099" t="s">
        <v>17</v>
      </c>
      <c r="F1099">
        <v>5</v>
      </c>
      <c r="G1099" t="s">
        <v>501</v>
      </c>
      <c r="H1099">
        <v>40</v>
      </c>
      <c r="I1099" t="s">
        <v>501</v>
      </c>
      <c r="J1099">
        <v>741</v>
      </c>
      <c r="K1099" t="s">
        <v>505</v>
      </c>
      <c r="L1099" s="13">
        <v>44927</v>
      </c>
      <c r="M1099" t="s">
        <v>3553</v>
      </c>
      <c r="N1099" t="s">
        <v>1355</v>
      </c>
      <c r="O1099">
        <v>42.93</v>
      </c>
      <c r="P1099" t="s">
        <v>508</v>
      </c>
    </row>
    <row r="1100" spans="1:16" ht="15" customHeight="1" x14ac:dyDescent="0.4">
      <c r="A1100" t="s">
        <v>15</v>
      </c>
      <c r="B1100" t="s">
        <v>16</v>
      </c>
      <c r="C1100" s="13">
        <v>44927</v>
      </c>
      <c r="D1100" s="13">
        <v>45291</v>
      </c>
      <c r="E1100" t="s">
        <v>17</v>
      </c>
      <c r="F1100">
        <v>5</v>
      </c>
      <c r="G1100" t="s">
        <v>501</v>
      </c>
      <c r="H1100">
        <v>40</v>
      </c>
      <c r="I1100" t="s">
        <v>501</v>
      </c>
      <c r="J1100">
        <v>741</v>
      </c>
      <c r="K1100" t="s">
        <v>505</v>
      </c>
      <c r="L1100" s="13">
        <v>45006</v>
      </c>
      <c r="M1100" t="s">
        <v>3254</v>
      </c>
      <c r="N1100" t="s">
        <v>3255</v>
      </c>
      <c r="O1100">
        <v>73.260000000000005</v>
      </c>
      <c r="P1100" t="s">
        <v>508</v>
      </c>
    </row>
    <row r="1101" spans="1:16" ht="15" customHeight="1" x14ac:dyDescent="0.4">
      <c r="A1101" t="s">
        <v>15</v>
      </c>
      <c r="B1101" t="s">
        <v>16</v>
      </c>
      <c r="C1101" s="13">
        <v>44927</v>
      </c>
      <c r="D1101" s="13">
        <v>45291</v>
      </c>
      <c r="E1101" t="s">
        <v>17</v>
      </c>
      <c r="F1101">
        <v>5</v>
      </c>
      <c r="G1101" t="s">
        <v>501</v>
      </c>
      <c r="H1101">
        <v>40</v>
      </c>
      <c r="I1101" t="s">
        <v>501</v>
      </c>
      <c r="J1101">
        <v>741</v>
      </c>
      <c r="K1101" t="s">
        <v>505</v>
      </c>
      <c r="L1101" s="13">
        <v>45107</v>
      </c>
      <c r="M1101" t="s">
        <v>3554</v>
      </c>
      <c r="N1101" t="s">
        <v>3256</v>
      </c>
      <c r="O1101">
        <v>60.11</v>
      </c>
      <c r="P1101" t="s">
        <v>508</v>
      </c>
    </row>
    <row r="1102" spans="1:16" ht="15" customHeight="1" x14ac:dyDescent="0.4">
      <c r="A1102" t="s">
        <v>15</v>
      </c>
      <c r="B1102" t="s">
        <v>16</v>
      </c>
      <c r="C1102" s="13">
        <v>44927</v>
      </c>
      <c r="D1102" s="13">
        <v>45291</v>
      </c>
      <c r="E1102" t="s">
        <v>17</v>
      </c>
      <c r="F1102">
        <v>5</v>
      </c>
      <c r="G1102" t="s">
        <v>501</v>
      </c>
      <c r="H1102">
        <v>40</v>
      </c>
      <c r="I1102" t="s">
        <v>501</v>
      </c>
      <c r="J1102">
        <v>741</v>
      </c>
      <c r="K1102" t="s">
        <v>505</v>
      </c>
      <c r="L1102" s="13">
        <v>45108</v>
      </c>
      <c r="M1102" t="s">
        <v>3555</v>
      </c>
      <c r="N1102" t="s">
        <v>3257</v>
      </c>
      <c r="O1102">
        <v>33</v>
      </c>
      <c r="P1102" t="s">
        <v>2926</v>
      </c>
    </row>
    <row r="1103" spans="1:16" ht="15" customHeight="1" x14ac:dyDescent="0.4">
      <c r="A1103" t="s">
        <v>15</v>
      </c>
      <c r="B1103" t="s">
        <v>16</v>
      </c>
      <c r="C1103" s="13">
        <v>44927</v>
      </c>
      <c r="D1103" s="13">
        <v>45291</v>
      </c>
      <c r="E1103" t="s">
        <v>17</v>
      </c>
      <c r="F1103">
        <v>5</v>
      </c>
      <c r="G1103" t="s">
        <v>501</v>
      </c>
      <c r="H1103">
        <v>40</v>
      </c>
      <c r="I1103" t="s">
        <v>501</v>
      </c>
      <c r="J1103">
        <v>801</v>
      </c>
      <c r="K1103" t="s">
        <v>511</v>
      </c>
      <c r="L1103" s="13">
        <v>44927</v>
      </c>
      <c r="M1103" t="s">
        <v>3556</v>
      </c>
      <c r="N1103" t="s">
        <v>3258</v>
      </c>
      <c r="O1103">
        <v>247.48</v>
      </c>
      <c r="P1103" t="s">
        <v>508</v>
      </c>
    </row>
    <row r="1104" spans="1:16" ht="15" customHeight="1" x14ac:dyDescent="0.4">
      <c r="A1104" t="s">
        <v>15</v>
      </c>
      <c r="B1104" t="s">
        <v>16</v>
      </c>
      <c r="C1104" s="13">
        <v>44927</v>
      </c>
      <c r="D1104" s="13">
        <v>45291</v>
      </c>
      <c r="E1104" t="s">
        <v>17</v>
      </c>
      <c r="F1104">
        <v>5</v>
      </c>
      <c r="G1104" t="s">
        <v>501</v>
      </c>
      <c r="H1104">
        <v>40</v>
      </c>
      <c r="I1104" t="s">
        <v>501</v>
      </c>
      <c r="J1104">
        <v>801</v>
      </c>
      <c r="K1104" t="s">
        <v>511</v>
      </c>
      <c r="L1104" s="13">
        <v>44999</v>
      </c>
      <c r="M1104" t="s">
        <v>3557</v>
      </c>
      <c r="N1104" t="s">
        <v>3259</v>
      </c>
      <c r="O1104">
        <v>247.48</v>
      </c>
      <c r="P1104" t="s">
        <v>508</v>
      </c>
    </row>
    <row r="1105" spans="1:16" ht="15" customHeight="1" x14ac:dyDescent="0.4">
      <c r="A1105" t="s">
        <v>15</v>
      </c>
      <c r="B1105" t="s">
        <v>16</v>
      </c>
      <c r="C1105" s="13">
        <v>44927</v>
      </c>
      <c r="D1105" s="13">
        <v>45291</v>
      </c>
      <c r="E1105" t="s">
        <v>17</v>
      </c>
      <c r="F1105">
        <v>5</v>
      </c>
      <c r="G1105" t="s">
        <v>501</v>
      </c>
      <c r="H1105">
        <v>40</v>
      </c>
      <c r="I1105" t="s">
        <v>501</v>
      </c>
      <c r="J1105">
        <v>801</v>
      </c>
      <c r="K1105" t="s">
        <v>511</v>
      </c>
      <c r="L1105" s="13">
        <v>45078</v>
      </c>
      <c r="M1105" t="s">
        <v>3558</v>
      </c>
      <c r="N1105" t="s">
        <v>3260</v>
      </c>
      <c r="O1105">
        <v>88</v>
      </c>
      <c r="P1105" t="s">
        <v>2926</v>
      </c>
    </row>
    <row r="1106" spans="1:16" ht="15" customHeight="1" x14ac:dyDescent="0.4">
      <c r="A1106" t="s">
        <v>15</v>
      </c>
      <c r="B1106" t="s">
        <v>16</v>
      </c>
      <c r="C1106" s="13">
        <v>44927</v>
      </c>
      <c r="D1106" s="13">
        <v>45291</v>
      </c>
      <c r="E1106" t="s">
        <v>17</v>
      </c>
      <c r="F1106">
        <v>5</v>
      </c>
      <c r="G1106" t="s">
        <v>501</v>
      </c>
      <c r="H1106">
        <v>40</v>
      </c>
      <c r="I1106" t="s">
        <v>501</v>
      </c>
      <c r="J1106">
        <v>801</v>
      </c>
      <c r="K1106" t="s">
        <v>511</v>
      </c>
      <c r="L1106" s="13">
        <v>45108</v>
      </c>
      <c r="M1106" t="s">
        <v>3559</v>
      </c>
      <c r="N1106" t="s">
        <v>3257</v>
      </c>
      <c r="O1106">
        <v>264</v>
      </c>
      <c r="P1106" t="s">
        <v>2926</v>
      </c>
    </row>
    <row r="1107" spans="1:16" ht="15" customHeight="1" x14ac:dyDescent="0.4">
      <c r="A1107" t="s">
        <v>15</v>
      </c>
      <c r="B1107" t="s">
        <v>16</v>
      </c>
      <c r="C1107" s="13">
        <v>44927</v>
      </c>
      <c r="D1107" s="13">
        <v>45291</v>
      </c>
      <c r="E1107" t="s">
        <v>17</v>
      </c>
      <c r="F1107">
        <v>5</v>
      </c>
      <c r="G1107" t="s">
        <v>501</v>
      </c>
      <c r="H1107">
        <v>40</v>
      </c>
      <c r="I1107" t="s">
        <v>501</v>
      </c>
      <c r="J1107">
        <v>801</v>
      </c>
      <c r="K1107" t="s">
        <v>511</v>
      </c>
      <c r="L1107" s="13">
        <v>45225</v>
      </c>
      <c r="M1107" t="s">
        <v>3560</v>
      </c>
      <c r="N1107" t="s">
        <v>3261</v>
      </c>
      <c r="O1107">
        <v>297</v>
      </c>
      <c r="P1107" t="s">
        <v>2926</v>
      </c>
    </row>
    <row r="1108" spans="1:16" ht="15" customHeight="1" x14ac:dyDescent="0.4">
      <c r="A1108" t="s">
        <v>15</v>
      </c>
      <c r="B1108" t="s">
        <v>16</v>
      </c>
      <c r="C1108" s="13">
        <v>44927</v>
      </c>
      <c r="D1108" s="13">
        <v>45291</v>
      </c>
      <c r="E1108" t="s">
        <v>17</v>
      </c>
      <c r="F1108">
        <v>5</v>
      </c>
      <c r="G1108" t="s">
        <v>501</v>
      </c>
      <c r="H1108">
        <v>40</v>
      </c>
      <c r="I1108" t="s">
        <v>501</v>
      </c>
      <c r="J1108">
        <v>805</v>
      </c>
      <c r="K1108" t="s">
        <v>520</v>
      </c>
      <c r="L1108" s="13">
        <v>44927</v>
      </c>
      <c r="M1108" t="s">
        <v>3561</v>
      </c>
      <c r="N1108" t="s">
        <v>3262</v>
      </c>
      <c r="O1108">
        <v>-155.69</v>
      </c>
      <c r="P1108" t="s">
        <v>508</v>
      </c>
    </row>
    <row r="1109" spans="1:16" ht="15" customHeight="1" x14ac:dyDescent="0.4">
      <c r="A1109" t="s">
        <v>15</v>
      </c>
      <c r="B1109" t="s">
        <v>16</v>
      </c>
      <c r="C1109" s="13">
        <v>44927</v>
      </c>
      <c r="D1109" s="13">
        <v>45291</v>
      </c>
      <c r="E1109" t="s">
        <v>17</v>
      </c>
      <c r="F1109">
        <v>5</v>
      </c>
      <c r="G1109" t="s">
        <v>501</v>
      </c>
      <c r="H1109">
        <v>40</v>
      </c>
      <c r="I1109" t="s">
        <v>501</v>
      </c>
      <c r="J1109">
        <v>805</v>
      </c>
      <c r="K1109" t="s">
        <v>520</v>
      </c>
      <c r="L1109" s="13">
        <v>45132</v>
      </c>
      <c r="M1109" t="s">
        <v>3283</v>
      </c>
      <c r="N1109" t="s">
        <v>3284</v>
      </c>
      <c r="O1109">
        <v>407</v>
      </c>
      <c r="P1109" t="s">
        <v>2926</v>
      </c>
    </row>
    <row r="1110" spans="1:16" ht="15" customHeight="1" x14ac:dyDescent="0.4">
      <c r="A1110" t="s">
        <v>15</v>
      </c>
      <c r="B1110" t="s">
        <v>16</v>
      </c>
      <c r="C1110" s="13">
        <v>44927</v>
      </c>
      <c r="D1110" s="13">
        <v>45291</v>
      </c>
      <c r="E1110" t="s">
        <v>30</v>
      </c>
      <c r="F1110">
        <v>6</v>
      </c>
      <c r="G1110" t="s">
        <v>525</v>
      </c>
      <c r="H1110">
        <v>65</v>
      </c>
      <c r="I1110" t="s">
        <v>526</v>
      </c>
      <c r="J1110">
        <v>106</v>
      </c>
      <c r="K1110" t="s">
        <v>1378</v>
      </c>
      <c r="L1110" s="13">
        <v>45222</v>
      </c>
      <c r="M1110" t="s">
        <v>3263</v>
      </c>
      <c r="N1110" t="s">
        <v>3264</v>
      </c>
      <c r="O1110">
        <v>15.4</v>
      </c>
      <c r="P1110" t="s">
        <v>530</v>
      </c>
    </row>
    <row r="1111" spans="1:16" ht="15" customHeight="1" x14ac:dyDescent="0.4">
      <c r="A1111" t="s">
        <v>15</v>
      </c>
      <c r="B1111" t="s">
        <v>16</v>
      </c>
      <c r="C1111" s="13">
        <v>44927</v>
      </c>
      <c r="D1111" s="13">
        <v>45291</v>
      </c>
      <c r="E1111" t="s">
        <v>17</v>
      </c>
      <c r="F1111">
        <v>6</v>
      </c>
      <c r="G1111" t="s">
        <v>525</v>
      </c>
      <c r="H1111">
        <v>65</v>
      </c>
      <c r="I1111" t="s">
        <v>526</v>
      </c>
      <c r="J1111">
        <v>821</v>
      </c>
      <c r="K1111" t="s">
        <v>527</v>
      </c>
      <c r="L1111" s="13">
        <v>44993</v>
      </c>
      <c r="M1111" t="s">
        <v>3265</v>
      </c>
      <c r="N1111" t="s">
        <v>3266</v>
      </c>
      <c r="O1111">
        <v>2651.55</v>
      </c>
      <c r="P1111" t="s">
        <v>530</v>
      </c>
    </row>
    <row r="1112" spans="1:16" ht="15" customHeight="1" x14ac:dyDescent="0.4">
      <c r="A1112" t="s">
        <v>15</v>
      </c>
      <c r="B1112" t="s">
        <v>16</v>
      </c>
      <c r="C1112" s="13">
        <v>44927</v>
      </c>
      <c r="D1112" s="13">
        <v>45291</v>
      </c>
      <c r="E1112" t="s">
        <v>17</v>
      </c>
      <c r="F1112">
        <v>6</v>
      </c>
      <c r="G1112" t="s">
        <v>525</v>
      </c>
      <c r="H1112">
        <v>65</v>
      </c>
      <c r="I1112" t="s">
        <v>526</v>
      </c>
      <c r="J1112">
        <v>821</v>
      </c>
      <c r="K1112" t="s">
        <v>527</v>
      </c>
      <c r="L1112" s="13">
        <v>45188</v>
      </c>
      <c r="M1112" t="s">
        <v>3269</v>
      </c>
      <c r="N1112" t="s">
        <v>3270</v>
      </c>
      <c r="O1112">
        <v>2651.55</v>
      </c>
      <c r="P1112" t="s">
        <v>530</v>
      </c>
    </row>
    <row r="1113" spans="1:16" ht="15" customHeight="1" x14ac:dyDescent="0.4">
      <c r="A1113" t="s">
        <v>15</v>
      </c>
      <c r="B1113" t="s">
        <v>16</v>
      </c>
      <c r="C1113" s="13">
        <v>44927</v>
      </c>
      <c r="D1113" s="13">
        <v>45291</v>
      </c>
      <c r="E1113" t="s">
        <v>17</v>
      </c>
      <c r="F1113">
        <v>6</v>
      </c>
      <c r="G1113" t="s">
        <v>525</v>
      </c>
      <c r="H1113">
        <v>65</v>
      </c>
      <c r="I1113" t="s">
        <v>526</v>
      </c>
      <c r="J1113">
        <v>821</v>
      </c>
      <c r="K1113" t="s">
        <v>527</v>
      </c>
      <c r="L1113" s="13">
        <v>45291</v>
      </c>
      <c r="M1113" t="s">
        <v>533</v>
      </c>
      <c r="N1113" t="s">
        <v>46</v>
      </c>
      <c r="O1113">
        <v>-3535.4</v>
      </c>
      <c r="P1113" t="s">
        <v>46</v>
      </c>
    </row>
    <row r="1114" spans="1:16" ht="15" customHeight="1" x14ac:dyDescent="0.4">
      <c r="A1114" t="s">
        <v>15</v>
      </c>
      <c r="B1114" t="s">
        <v>16</v>
      </c>
      <c r="C1114" s="13">
        <v>44927</v>
      </c>
      <c r="D1114" s="13">
        <v>45291</v>
      </c>
      <c r="E1114" t="s">
        <v>17</v>
      </c>
      <c r="F1114">
        <v>6</v>
      </c>
      <c r="G1114" t="s">
        <v>525</v>
      </c>
      <c r="H1114">
        <v>65</v>
      </c>
      <c r="I1114" t="s">
        <v>526</v>
      </c>
      <c r="J1114">
        <v>825</v>
      </c>
      <c r="K1114" t="s">
        <v>534</v>
      </c>
      <c r="L1114" s="13">
        <v>45105</v>
      </c>
      <c r="M1114" t="s">
        <v>3562</v>
      </c>
      <c r="N1114" t="s">
        <v>3268</v>
      </c>
      <c r="O1114">
        <v>81.400000000000006</v>
      </c>
      <c r="P1114" t="s">
        <v>530</v>
      </c>
    </row>
    <row r="1115" spans="1:16" ht="15" customHeight="1" x14ac:dyDescent="0.4">
      <c r="A1115" t="s">
        <v>15</v>
      </c>
      <c r="B1115" t="s">
        <v>16</v>
      </c>
      <c r="C1115" s="13">
        <v>44927</v>
      </c>
      <c r="D1115" s="13">
        <v>45291</v>
      </c>
      <c r="E1115" t="s">
        <v>17</v>
      </c>
      <c r="F1115">
        <v>6</v>
      </c>
      <c r="G1115" t="s">
        <v>525</v>
      </c>
      <c r="H1115">
        <v>65</v>
      </c>
      <c r="I1115" t="s">
        <v>526</v>
      </c>
      <c r="J1115">
        <v>825</v>
      </c>
      <c r="K1115" t="s">
        <v>534</v>
      </c>
      <c r="L1115" s="13">
        <v>45105</v>
      </c>
      <c r="M1115" t="s">
        <v>3563</v>
      </c>
      <c r="N1115" t="s">
        <v>3267</v>
      </c>
      <c r="O1115">
        <v>132</v>
      </c>
      <c r="P1115" t="s">
        <v>530</v>
      </c>
    </row>
    <row r="1116" spans="1:16" ht="15" customHeight="1" x14ac:dyDescent="0.4">
      <c r="A1116" t="s">
        <v>15</v>
      </c>
      <c r="B1116" t="s">
        <v>16</v>
      </c>
      <c r="C1116" s="13">
        <v>44927</v>
      </c>
      <c r="D1116" s="13">
        <v>45291</v>
      </c>
      <c r="E1116" t="s">
        <v>17</v>
      </c>
      <c r="F1116">
        <v>8</v>
      </c>
      <c r="G1116" t="s">
        <v>501</v>
      </c>
      <c r="H1116">
        <v>40</v>
      </c>
      <c r="I1116" t="s">
        <v>501</v>
      </c>
      <c r="J1116">
        <v>264</v>
      </c>
      <c r="K1116" t="s">
        <v>3681</v>
      </c>
      <c r="L1116" s="13">
        <v>44948</v>
      </c>
      <c r="M1116" t="s">
        <v>3222</v>
      </c>
      <c r="N1116" t="s">
        <v>3223</v>
      </c>
      <c r="O1116">
        <v>25.36</v>
      </c>
      <c r="P1116" t="s">
        <v>52</v>
      </c>
    </row>
    <row r="1117" spans="1:16" ht="15" customHeight="1" x14ac:dyDescent="0.4">
      <c r="A1117" t="s">
        <v>15</v>
      </c>
      <c r="B1117" t="s">
        <v>16</v>
      </c>
      <c r="C1117" s="13">
        <v>44927</v>
      </c>
      <c r="D1117" s="13">
        <v>45291</v>
      </c>
      <c r="E1117" t="s">
        <v>17</v>
      </c>
      <c r="F1117">
        <v>8</v>
      </c>
      <c r="G1117" t="s">
        <v>501</v>
      </c>
      <c r="H1117">
        <v>40</v>
      </c>
      <c r="I1117" t="s">
        <v>501</v>
      </c>
      <c r="J1117">
        <v>264</v>
      </c>
      <c r="K1117" t="s">
        <v>3681</v>
      </c>
      <c r="L1117" s="13">
        <v>44981</v>
      </c>
      <c r="M1117" t="s">
        <v>3224</v>
      </c>
      <c r="N1117" t="s">
        <v>3225</v>
      </c>
      <c r="O1117">
        <v>24.19</v>
      </c>
      <c r="P1117" t="s">
        <v>52</v>
      </c>
    </row>
    <row r="1118" spans="1:16" ht="15" customHeight="1" x14ac:dyDescent="0.4">
      <c r="A1118" t="s">
        <v>15</v>
      </c>
      <c r="B1118" t="s">
        <v>16</v>
      </c>
      <c r="C1118" s="13">
        <v>44927</v>
      </c>
      <c r="D1118" s="13">
        <v>45291</v>
      </c>
      <c r="E1118" t="s">
        <v>17</v>
      </c>
      <c r="F1118">
        <v>8</v>
      </c>
      <c r="G1118" t="s">
        <v>501</v>
      </c>
      <c r="H1118">
        <v>40</v>
      </c>
      <c r="I1118" t="s">
        <v>501</v>
      </c>
      <c r="J1118">
        <v>264</v>
      </c>
      <c r="K1118" t="s">
        <v>3681</v>
      </c>
      <c r="L1118" s="13">
        <v>45028</v>
      </c>
      <c r="M1118" t="s">
        <v>3226</v>
      </c>
      <c r="N1118" t="s">
        <v>3227</v>
      </c>
      <c r="O1118">
        <v>18.39</v>
      </c>
      <c r="P1118" t="s">
        <v>52</v>
      </c>
    </row>
    <row r="1119" spans="1:16" ht="15" customHeight="1" x14ac:dyDescent="0.4">
      <c r="A1119" t="s">
        <v>15</v>
      </c>
      <c r="B1119" t="s">
        <v>16</v>
      </c>
      <c r="C1119" s="13">
        <v>44927</v>
      </c>
      <c r="D1119" s="13">
        <v>45291</v>
      </c>
      <c r="E1119" t="s">
        <v>17</v>
      </c>
      <c r="F1119">
        <v>8</v>
      </c>
      <c r="G1119" t="s">
        <v>501</v>
      </c>
      <c r="H1119">
        <v>40</v>
      </c>
      <c r="I1119" t="s">
        <v>501</v>
      </c>
      <c r="J1119">
        <v>264</v>
      </c>
      <c r="K1119" t="s">
        <v>3681</v>
      </c>
      <c r="L1119" s="13">
        <v>45038</v>
      </c>
      <c r="M1119" t="s">
        <v>3540</v>
      </c>
      <c r="N1119" t="s">
        <v>3228</v>
      </c>
      <c r="O1119">
        <v>19.63</v>
      </c>
      <c r="P1119" t="s">
        <v>52</v>
      </c>
    </row>
    <row r="1120" spans="1:16" ht="15" customHeight="1" x14ac:dyDescent="0.4">
      <c r="A1120" t="s">
        <v>15</v>
      </c>
      <c r="B1120" t="s">
        <v>16</v>
      </c>
      <c r="C1120" s="13">
        <v>44927</v>
      </c>
      <c r="D1120" s="13">
        <v>45291</v>
      </c>
      <c r="E1120" t="s">
        <v>17</v>
      </c>
      <c r="F1120">
        <v>8</v>
      </c>
      <c r="G1120" t="s">
        <v>501</v>
      </c>
      <c r="H1120">
        <v>40</v>
      </c>
      <c r="I1120" t="s">
        <v>501</v>
      </c>
      <c r="J1120">
        <v>264</v>
      </c>
      <c r="K1120" t="s">
        <v>3681</v>
      </c>
      <c r="L1120" s="13">
        <v>45069</v>
      </c>
      <c r="M1120" t="s">
        <v>3541</v>
      </c>
      <c r="N1120" t="s">
        <v>3229</v>
      </c>
      <c r="O1120">
        <v>16.32</v>
      </c>
      <c r="P1120" t="s">
        <v>52</v>
      </c>
    </row>
    <row r="1121" spans="1:16" ht="15" customHeight="1" x14ac:dyDescent="0.4">
      <c r="A1121" t="s">
        <v>15</v>
      </c>
      <c r="B1121" t="s">
        <v>16</v>
      </c>
      <c r="C1121" s="13">
        <v>44927</v>
      </c>
      <c r="D1121" s="13">
        <v>45291</v>
      </c>
      <c r="E1121" t="s">
        <v>17</v>
      </c>
      <c r="F1121">
        <v>8</v>
      </c>
      <c r="G1121" t="s">
        <v>501</v>
      </c>
      <c r="H1121">
        <v>40</v>
      </c>
      <c r="I1121" t="s">
        <v>501</v>
      </c>
      <c r="J1121">
        <v>264</v>
      </c>
      <c r="K1121" t="s">
        <v>3681</v>
      </c>
      <c r="L1121" s="13">
        <v>45103</v>
      </c>
      <c r="M1121" t="s">
        <v>3230</v>
      </c>
      <c r="N1121" t="s">
        <v>3231</v>
      </c>
      <c r="O1121">
        <v>19.350000000000001</v>
      </c>
      <c r="P1121" t="s">
        <v>52</v>
      </c>
    </row>
    <row r="1122" spans="1:16" ht="15" customHeight="1" x14ac:dyDescent="0.4">
      <c r="A1122" t="s">
        <v>15</v>
      </c>
      <c r="B1122" t="s">
        <v>16</v>
      </c>
      <c r="C1122" s="13">
        <v>44927</v>
      </c>
      <c r="D1122" s="13">
        <v>45291</v>
      </c>
      <c r="E1122" t="s">
        <v>17</v>
      </c>
      <c r="F1122">
        <v>8</v>
      </c>
      <c r="G1122" t="s">
        <v>501</v>
      </c>
      <c r="H1122">
        <v>40</v>
      </c>
      <c r="I1122" t="s">
        <v>501</v>
      </c>
      <c r="J1122">
        <v>264</v>
      </c>
      <c r="K1122" t="s">
        <v>3681</v>
      </c>
      <c r="L1122" s="13">
        <v>45131</v>
      </c>
      <c r="M1122" t="s">
        <v>3232</v>
      </c>
      <c r="N1122" t="s">
        <v>3233</v>
      </c>
      <c r="O1122">
        <v>20.149999999999999</v>
      </c>
      <c r="P1122" t="s">
        <v>52</v>
      </c>
    </row>
    <row r="1123" spans="1:16" ht="15" customHeight="1" x14ac:dyDescent="0.4">
      <c r="A1123" t="s">
        <v>15</v>
      </c>
      <c r="B1123" t="s">
        <v>16</v>
      </c>
      <c r="C1123" s="13">
        <v>44927</v>
      </c>
      <c r="D1123" s="13">
        <v>45291</v>
      </c>
      <c r="E1123" t="s">
        <v>17</v>
      </c>
      <c r="F1123">
        <v>8</v>
      </c>
      <c r="G1123" t="s">
        <v>501</v>
      </c>
      <c r="H1123">
        <v>40</v>
      </c>
      <c r="I1123" t="s">
        <v>501</v>
      </c>
      <c r="J1123">
        <v>264</v>
      </c>
      <c r="K1123" t="s">
        <v>3681</v>
      </c>
      <c r="L1123" s="13">
        <v>45160</v>
      </c>
      <c r="M1123" t="s">
        <v>3542</v>
      </c>
      <c r="N1123" t="s">
        <v>3234</v>
      </c>
      <c r="O1123">
        <v>22.89</v>
      </c>
      <c r="P1123" t="s">
        <v>52</v>
      </c>
    </row>
    <row r="1124" spans="1:16" ht="15" customHeight="1" x14ac:dyDescent="0.4">
      <c r="A1124" t="s">
        <v>15</v>
      </c>
      <c r="B1124" t="s">
        <v>16</v>
      </c>
      <c r="C1124" s="13">
        <v>44927</v>
      </c>
      <c r="D1124" s="13">
        <v>45291</v>
      </c>
      <c r="E1124" t="s">
        <v>17</v>
      </c>
      <c r="F1124">
        <v>8</v>
      </c>
      <c r="G1124" t="s">
        <v>501</v>
      </c>
      <c r="H1124">
        <v>40</v>
      </c>
      <c r="I1124" t="s">
        <v>501</v>
      </c>
      <c r="J1124">
        <v>264</v>
      </c>
      <c r="K1124" t="s">
        <v>3681</v>
      </c>
      <c r="L1124" s="13">
        <v>45194</v>
      </c>
      <c r="M1124" t="s">
        <v>3235</v>
      </c>
      <c r="N1124" t="s">
        <v>3236</v>
      </c>
      <c r="O1124">
        <v>18.07</v>
      </c>
      <c r="P1124" t="s">
        <v>52</v>
      </c>
    </row>
    <row r="1125" spans="1:16" ht="15" customHeight="1" x14ac:dyDescent="0.4">
      <c r="A1125" t="s">
        <v>15</v>
      </c>
      <c r="B1125" t="s">
        <v>16</v>
      </c>
      <c r="C1125" s="13">
        <v>44927</v>
      </c>
      <c r="D1125" s="13">
        <v>45291</v>
      </c>
      <c r="E1125" t="s">
        <v>17</v>
      </c>
      <c r="F1125">
        <v>8</v>
      </c>
      <c r="G1125" t="s">
        <v>501</v>
      </c>
      <c r="H1125">
        <v>40</v>
      </c>
      <c r="I1125" t="s">
        <v>501</v>
      </c>
      <c r="J1125">
        <v>264</v>
      </c>
      <c r="K1125" t="s">
        <v>3681</v>
      </c>
      <c r="L1125" s="13">
        <v>45222</v>
      </c>
      <c r="M1125" t="s">
        <v>3543</v>
      </c>
      <c r="N1125" t="s">
        <v>3237</v>
      </c>
      <c r="O1125">
        <v>25.91</v>
      </c>
      <c r="P1125" t="s">
        <v>52</v>
      </c>
    </row>
    <row r="1126" spans="1:16" ht="15" customHeight="1" x14ac:dyDescent="0.4">
      <c r="A1126" t="s">
        <v>15</v>
      </c>
      <c r="B1126" t="s">
        <v>16</v>
      </c>
      <c r="C1126" s="13">
        <v>44927</v>
      </c>
      <c r="D1126" s="13">
        <v>45291</v>
      </c>
      <c r="E1126" t="s">
        <v>17</v>
      </c>
      <c r="F1126">
        <v>8</v>
      </c>
      <c r="G1126" t="s">
        <v>501</v>
      </c>
      <c r="H1126">
        <v>40</v>
      </c>
      <c r="I1126" t="s">
        <v>501</v>
      </c>
      <c r="J1126">
        <v>264</v>
      </c>
      <c r="K1126" t="s">
        <v>3681</v>
      </c>
      <c r="L1126" s="13">
        <v>45253</v>
      </c>
      <c r="M1126" t="s">
        <v>3544</v>
      </c>
      <c r="N1126" t="s">
        <v>3238</v>
      </c>
      <c r="O1126">
        <v>24.33</v>
      </c>
      <c r="P1126" t="s">
        <v>52</v>
      </c>
    </row>
    <row r="1127" spans="1:16" ht="15" customHeight="1" x14ac:dyDescent="0.4">
      <c r="A1127" t="s">
        <v>15</v>
      </c>
      <c r="B1127" t="s">
        <v>16</v>
      </c>
      <c r="C1127" s="13">
        <v>44927</v>
      </c>
      <c r="D1127" s="13">
        <v>45291</v>
      </c>
      <c r="E1127" t="s">
        <v>17</v>
      </c>
      <c r="F1127">
        <v>8</v>
      </c>
      <c r="G1127" t="s">
        <v>501</v>
      </c>
      <c r="H1127">
        <v>40</v>
      </c>
      <c r="I1127" t="s">
        <v>501</v>
      </c>
      <c r="J1127">
        <v>264</v>
      </c>
      <c r="K1127" t="s">
        <v>3681</v>
      </c>
      <c r="L1127" s="13">
        <v>45286</v>
      </c>
      <c r="M1127" t="s">
        <v>3545</v>
      </c>
      <c r="N1127" t="s">
        <v>2925</v>
      </c>
      <c r="O1127">
        <v>23.7</v>
      </c>
      <c r="P1127" t="s">
        <v>52</v>
      </c>
    </row>
    <row r="1128" spans="1:16" ht="15" customHeight="1" x14ac:dyDescent="0.4">
      <c r="A1128" t="s">
        <v>15</v>
      </c>
      <c r="B1128" t="s">
        <v>16</v>
      </c>
      <c r="C1128" s="13">
        <v>44927</v>
      </c>
      <c r="D1128" s="13">
        <v>45291</v>
      </c>
      <c r="E1128" t="s">
        <v>17</v>
      </c>
      <c r="F1128">
        <v>8</v>
      </c>
      <c r="G1128" t="s">
        <v>501</v>
      </c>
      <c r="H1128">
        <v>40</v>
      </c>
      <c r="I1128" t="s">
        <v>501</v>
      </c>
      <c r="J1128">
        <v>741</v>
      </c>
      <c r="K1128" t="s">
        <v>505</v>
      </c>
      <c r="L1128" s="13">
        <v>45006</v>
      </c>
      <c r="M1128" t="s">
        <v>3271</v>
      </c>
      <c r="N1128" t="s">
        <v>3272</v>
      </c>
      <c r="O1128">
        <v>50.42</v>
      </c>
      <c r="P1128" t="s">
        <v>508</v>
      </c>
    </row>
    <row r="1129" spans="1:16" ht="15" customHeight="1" x14ac:dyDescent="0.4">
      <c r="A1129" t="s">
        <v>15</v>
      </c>
      <c r="B1129" t="s">
        <v>16</v>
      </c>
      <c r="C1129" s="13">
        <v>44927</v>
      </c>
      <c r="D1129" s="13">
        <v>45291</v>
      </c>
      <c r="E1129" t="s">
        <v>17</v>
      </c>
      <c r="F1129">
        <v>8</v>
      </c>
      <c r="G1129" t="s">
        <v>501</v>
      </c>
      <c r="H1129">
        <v>40</v>
      </c>
      <c r="I1129" t="s">
        <v>501</v>
      </c>
      <c r="J1129">
        <v>741</v>
      </c>
      <c r="K1129" t="s">
        <v>505</v>
      </c>
      <c r="L1129" s="13">
        <v>45138</v>
      </c>
      <c r="M1129" t="s">
        <v>3273</v>
      </c>
      <c r="N1129" t="s">
        <v>3274</v>
      </c>
      <c r="O1129">
        <v>47.45</v>
      </c>
      <c r="P1129" t="s">
        <v>508</v>
      </c>
    </row>
    <row r="1130" spans="1:16" ht="15" customHeight="1" x14ac:dyDescent="0.4">
      <c r="A1130" t="s">
        <v>15</v>
      </c>
      <c r="B1130" t="s">
        <v>16</v>
      </c>
      <c r="C1130" s="13">
        <v>44927</v>
      </c>
      <c r="D1130" s="13">
        <v>45291</v>
      </c>
      <c r="E1130" t="s">
        <v>17</v>
      </c>
      <c r="F1130">
        <v>8</v>
      </c>
      <c r="G1130" t="s">
        <v>501</v>
      </c>
      <c r="H1130">
        <v>40</v>
      </c>
      <c r="I1130" t="s">
        <v>501</v>
      </c>
      <c r="J1130">
        <v>801</v>
      </c>
      <c r="K1130" t="s">
        <v>511</v>
      </c>
      <c r="L1130" s="13">
        <v>44927</v>
      </c>
      <c r="M1130" t="s">
        <v>3557</v>
      </c>
      <c r="N1130" t="s">
        <v>3258</v>
      </c>
      <c r="O1130">
        <v>247.48</v>
      </c>
      <c r="P1130" t="s">
        <v>508</v>
      </c>
    </row>
    <row r="1131" spans="1:16" ht="15" customHeight="1" x14ac:dyDescent="0.4">
      <c r="A1131" t="s">
        <v>15</v>
      </c>
      <c r="B1131" t="s">
        <v>16</v>
      </c>
      <c r="C1131" s="13">
        <v>44927</v>
      </c>
      <c r="D1131" s="13">
        <v>45291</v>
      </c>
      <c r="E1131" t="s">
        <v>17</v>
      </c>
      <c r="F1131">
        <v>8</v>
      </c>
      <c r="G1131" t="s">
        <v>501</v>
      </c>
      <c r="H1131">
        <v>40</v>
      </c>
      <c r="I1131" t="s">
        <v>501</v>
      </c>
      <c r="J1131">
        <v>801</v>
      </c>
      <c r="K1131" t="s">
        <v>511</v>
      </c>
      <c r="L1131" s="13">
        <v>44999</v>
      </c>
      <c r="M1131" t="s">
        <v>3564</v>
      </c>
      <c r="N1131" t="s">
        <v>3259</v>
      </c>
      <c r="O1131">
        <v>247.48</v>
      </c>
      <c r="P1131" t="s">
        <v>508</v>
      </c>
    </row>
    <row r="1132" spans="1:16" ht="15" customHeight="1" x14ac:dyDescent="0.4">
      <c r="A1132" t="s">
        <v>15</v>
      </c>
      <c r="B1132" t="s">
        <v>16</v>
      </c>
      <c r="C1132" s="13">
        <v>44927</v>
      </c>
      <c r="D1132" s="13">
        <v>45291</v>
      </c>
      <c r="E1132" t="s">
        <v>17</v>
      </c>
      <c r="F1132">
        <v>8</v>
      </c>
      <c r="G1132" t="s">
        <v>501</v>
      </c>
      <c r="H1132">
        <v>40</v>
      </c>
      <c r="I1132" t="s">
        <v>501</v>
      </c>
      <c r="J1132">
        <v>801</v>
      </c>
      <c r="K1132" t="s">
        <v>511</v>
      </c>
      <c r="L1132" s="13">
        <v>45108</v>
      </c>
      <c r="M1132" t="s">
        <v>3565</v>
      </c>
      <c r="N1132" t="s">
        <v>3276</v>
      </c>
      <c r="O1132">
        <v>247.5</v>
      </c>
      <c r="P1132" t="s">
        <v>508</v>
      </c>
    </row>
    <row r="1133" spans="1:16" ht="15" customHeight="1" x14ac:dyDescent="0.4">
      <c r="A1133" t="s">
        <v>15</v>
      </c>
      <c r="B1133" t="s">
        <v>16</v>
      </c>
      <c r="C1133" s="13">
        <v>44927</v>
      </c>
      <c r="D1133" s="13">
        <v>45291</v>
      </c>
      <c r="E1133" t="s">
        <v>17</v>
      </c>
      <c r="F1133">
        <v>8</v>
      </c>
      <c r="G1133" t="s">
        <v>501</v>
      </c>
      <c r="H1133">
        <v>40</v>
      </c>
      <c r="I1133" t="s">
        <v>501</v>
      </c>
      <c r="J1133">
        <v>801</v>
      </c>
      <c r="K1133" t="s">
        <v>511</v>
      </c>
      <c r="L1133" s="13">
        <v>45183</v>
      </c>
      <c r="M1133" t="s">
        <v>3566</v>
      </c>
      <c r="N1133" t="s">
        <v>3275</v>
      </c>
      <c r="O1133">
        <v>247.5</v>
      </c>
      <c r="P1133" t="s">
        <v>508</v>
      </c>
    </row>
    <row r="1134" spans="1:16" ht="15" customHeight="1" x14ac:dyDescent="0.4">
      <c r="A1134" t="s">
        <v>15</v>
      </c>
      <c r="B1134" t="s">
        <v>16</v>
      </c>
      <c r="C1134" s="13">
        <v>44927</v>
      </c>
      <c r="D1134" s="13">
        <v>45291</v>
      </c>
      <c r="E1134" t="s">
        <v>17</v>
      </c>
      <c r="F1134">
        <v>9</v>
      </c>
      <c r="G1134" t="s">
        <v>525</v>
      </c>
      <c r="H1134">
        <v>65</v>
      </c>
      <c r="I1134" t="s">
        <v>526</v>
      </c>
      <c r="J1134">
        <v>821</v>
      </c>
      <c r="K1134" t="s">
        <v>527</v>
      </c>
      <c r="L1134" s="13">
        <v>45291</v>
      </c>
      <c r="M1134" t="s">
        <v>553</v>
      </c>
      <c r="N1134" t="s">
        <v>46</v>
      </c>
      <c r="O1134">
        <v>1767.7</v>
      </c>
      <c r="P1134" t="s">
        <v>46</v>
      </c>
    </row>
    <row r="1135" spans="1:16" ht="15" customHeight="1" x14ac:dyDescent="0.4">
      <c r="A1135" t="s">
        <v>15</v>
      </c>
      <c r="B1135" t="s">
        <v>16</v>
      </c>
      <c r="C1135" s="13">
        <v>44927</v>
      </c>
      <c r="D1135" s="13">
        <v>45291</v>
      </c>
      <c r="E1135" t="s">
        <v>17</v>
      </c>
      <c r="F1135">
        <v>11</v>
      </c>
      <c r="G1135" t="s">
        <v>501</v>
      </c>
      <c r="H1135">
        <v>40</v>
      </c>
      <c r="I1135" t="s">
        <v>501</v>
      </c>
      <c r="J1135">
        <v>264</v>
      </c>
      <c r="K1135" t="s">
        <v>3681</v>
      </c>
      <c r="L1135" s="13">
        <v>44948</v>
      </c>
      <c r="M1135" t="s">
        <v>3222</v>
      </c>
      <c r="N1135" t="s">
        <v>3223</v>
      </c>
      <c r="O1135">
        <v>25.36</v>
      </c>
      <c r="P1135" t="s">
        <v>52</v>
      </c>
    </row>
    <row r="1136" spans="1:16" ht="15" customHeight="1" x14ac:dyDescent="0.4">
      <c r="A1136" t="s">
        <v>15</v>
      </c>
      <c r="B1136" t="s">
        <v>16</v>
      </c>
      <c r="C1136" s="13">
        <v>44927</v>
      </c>
      <c r="D1136" s="13">
        <v>45291</v>
      </c>
      <c r="E1136" t="s">
        <v>17</v>
      </c>
      <c r="F1136">
        <v>11</v>
      </c>
      <c r="G1136" t="s">
        <v>501</v>
      </c>
      <c r="H1136">
        <v>40</v>
      </c>
      <c r="I1136" t="s">
        <v>501</v>
      </c>
      <c r="J1136">
        <v>264</v>
      </c>
      <c r="K1136" t="s">
        <v>3681</v>
      </c>
      <c r="L1136" s="13">
        <v>44981</v>
      </c>
      <c r="M1136" t="s">
        <v>3224</v>
      </c>
      <c r="N1136" t="s">
        <v>3225</v>
      </c>
      <c r="O1136">
        <v>24.19</v>
      </c>
      <c r="P1136" t="s">
        <v>52</v>
      </c>
    </row>
    <row r="1137" spans="1:16" ht="15" customHeight="1" x14ac:dyDescent="0.4">
      <c r="A1137" t="s">
        <v>15</v>
      </c>
      <c r="B1137" t="s">
        <v>16</v>
      </c>
      <c r="C1137" s="13">
        <v>44927</v>
      </c>
      <c r="D1137" s="13">
        <v>45291</v>
      </c>
      <c r="E1137" t="s">
        <v>17</v>
      </c>
      <c r="F1137">
        <v>11</v>
      </c>
      <c r="G1137" t="s">
        <v>501</v>
      </c>
      <c r="H1137">
        <v>40</v>
      </c>
      <c r="I1137" t="s">
        <v>501</v>
      </c>
      <c r="J1137">
        <v>264</v>
      </c>
      <c r="K1137" t="s">
        <v>3681</v>
      </c>
      <c r="L1137" s="13">
        <v>45028</v>
      </c>
      <c r="M1137" t="s">
        <v>3226</v>
      </c>
      <c r="N1137" t="s">
        <v>3227</v>
      </c>
      <c r="O1137">
        <v>18.39</v>
      </c>
      <c r="P1137" t="s">
        <v>52</v>
      </c>
    </row>
    <row r="1138" spans="1:16" ht="15" customHeight="1" x14ac:dyDescent="0.4">
      <c r="A1138" t="s">
        <v>15</v>
      </c>
      <c r="B1138" t="s">
        <v>16</v>
      </c>
      <c r="C1138" s="13">
        <v>44927</v>
      </c>
      <c r="D1138" s="13">
        <v>45291</v>
      </c>
      <c r="E1138" t="s">
        <v>17</v>
      </c>
      <c r="F1138">
        <v>11</v>
      </c>
      <c r="G1138" t="s">
        <v>501</v>
      </c>
      <c r="H1138">
        <v>40</v>
      </c>
      <c r="I1138" t="s">
        <v>501</v>
      </c>
      <c r="J1138">
        <v>264</v>
      </c>
      <c r="K1138" t="s">
        <v>3681</v>
      </c>
      <c r="L1138" s="13">
        <v>45038</v>
      </c>
      <c r="M1138" t="s">
        <v>3540</v>
      </c>
      <c r="N1138" t="s">
        <v>3228</v>
      </c>
      <c r="O1138">
        <v>19.63</v>
      </c>
      <c r="P1138" t="s">
        <v>52</v>
      </c>
    </row>
    <row r="1139" spans="1:16" ht="15" customHeight="1" x14ac:dyDescent="0.4">
      <c r="A1139" t="s">
        <v>15</v>
      </c>
      <c r="B1139" t="s">
        <v>16</v>
      </c>
      <c r="C1139" s="13">
        <v>44927</v>
      </c>
      <c r="D1139" s="13">
        <v>45291</v>
      </c>
      <c r="E1139" t="s">
        <v>17</v>
      </c>
      <c r="F1139">
        <v>11</v>
      </c>
      <c r="G1139" t="s">
        <v>501</v>
      </c>
      <c r="H1139">
        <v>40</v>
      </c>
      <c r="I1139" t="s">
        <v>501</v>
      </c>
      <c r="J1139">
        <v>264</v>
      </c>
      <c r="K1139" t="s">
        <v>3681</v>
      </c>
      <c r="L1139" s="13">
        <v>45069</v>
      </c>
      <c r="M1139" t="s">
        <v>3541</v>
      </c>
      <c r="N1139" t="s">
        <v>3229</v>
      </c>
      <c r="O1139">
        <v>16.32</v>
      </c>
      <c r="P1139" t="s">
        <v>52</v>
      </c>
    </row>
    <row r="1140" spans="1:16" ht="15" customHeight="1" x14ac:dyDescent="0.4">
      <c r="A1140" t="s">
        <v>15</v>
      </c>
      <c r="B1140" t="s">
        <v>16</v>
      </c>
      <c r="C1140" s="13">
        <v>44927</v>
      </c>
      <c r="D1140" s="13">
        <v>45291</v>
      </c>
      <c r="E1140" t="s">
        <v>17</v>
      </c>
      <c r="F1140">
        <v>11</v>
      </c>
      <c r="G1140" t="s">
        <v>501</v>
      </c>
      <c r="H1140">
        <v>40</v>
      </c>
      <c r="I1140" t="s">
        <v>501</v>
      </c>
      <c r="J1140">
        <v>264</v>
      </c>
      <c r="K1140" t="s">
        <v>3681</v>
      </c>
      <c r="L1140" s="13">
        <v>45103</v>
      </c>
      <c r="M1140" t="s">
        <v>3230</v>
      </c>
      <c r="N1140" t="s">
        <v>3231</v>
      </c>
      <c r="O1140">
        <v>19.350000000000001</v>
      </c>
      <c r="P1140" t="s">
        <v>52</v>
      </c>
    </row>
    <row r="1141" spans="1:16" ht="15" customHeight="1" x14ac:dyDescent="0.4">
      <c r="A1141" t="s">
        <v>15</v>
      </c>
      <c r="B1141" t="s">
        <v>16</v>
      </c>
      <c r="C1141" s="13">
        <v>44927</v>
      </c>
      <c r="D1141" s="13">
        <v>45291</v>
      </c>
      <c r="E1141" t="s">
        <v>17</v>
      </c>
      <c r="F1141">
        <v>11</v>
      </c>
      <c r="G1141" t="s">
        <v>501</v>
      </c>
      <c r="H1141">
        <v>40</v>
      </c>
      <c r="I1141" t="s">
        <v>501</v>
      </c>
      <c r="J1141">
        <v>264</v>
      </c>
      <c r="K1141" t="s">
        <v>3681</v>
      </c>
      <c r="L1141" s="13">
        <v>45131</v>
      </c>
      <c r="M1141" t="s">
        <v>3232</v>
      </c>
      <c r="N1141" t="s">
        <v>3233</v>
      </c>
      <c r="O1141">
        <v>20.149999999999999</v>
      </c>
      <c r="P1141" t="s">
        <v>52</v>
      </c>
    </row>
    <row r="1142" spans="1:16" ht="15" customHeight="1" x14ac:dyDescent="0.4">
      <c r="A1142" t="s">
        <v>15</v>
      </c>
      <c r="B1142" t="s">
        <v>16</v>
      </c>
      <c r="C1142" s="13">
        <v>44927</v>
      </c>
      <c r="D1142" s="13">
        <v>45291</v>
      </c>
      <c r="E1142" t="s">
        <v>17</v>
      </c>
      <c r="F1142">
        <v>11</v>
      </c>
      <c r="G1142" t="s">
        <v>501</v>
      </c>
      <c r="H1142">
        <v>40</v>
      </c>
      <c r="I1142" t="s">
        <v>501</v>
      </c>
      <c r="J1142">
        <v>264</v>
      </c>
      <c r="K1142" t="s">
        <v>3681</v>
      </c>
      <c r="L1142" s="13">
        <v>45160</v>
      </c>
      <c r="M1142" t="s">
        <v>3542</v>
      </c>
      <c r="N1142" t="s">
        <v>3234</v>
      </c>
      <c r="O1142">
        <v>22.89</v>
      </c>
      <c r="P1142" t="s">
        <v>52</v>
      </c>
    </row>
    <row r="1143" spans="1:16" ht="15" customHeight="1" x14ac:dyDescent="0.4">
      <c r="A1143" t="s">
        <v>15</v>
      </c>
      <c r="B1143" t="s">
        <v>16</v>
      </c>
      <c r="C1143" s="13">
        <v>44927</v>
      </c>
      <c r="D1143" s="13">
        <v>45291</v>
      </c>
      <c r="E1143" t="s">
        <v>17</v>
      </c>
      <c r="F1143">
        <v>11</v>
      </c>
      <c r="G1143" t="s">
        <v>501</v>
      </c>
      <c r="H1143">
        <v>40</v>
      </c>
      <c r="I1143" t="s">
        <v>501</v>
      </c>
      <c r="J1143">
        <v>264</v>
      </c>
      <c r="K1143" t="s">
        <v>3681</v>
      </c>
      <c r="L1143" s="13">
        <v>45194</v>
      </c>
      <c r="M1143" t="s">
        <v>3235</v>
      </c>
      <c r="N1143" t="s">
        <v>3236</v>
      </c>
      <c r="O1143">
        <v>18.07</v>
      </c>
      <c r="P1143" t="s">
        <v>52</v>
      </c>
    </row>
    <row r="1144" spans="1:16" ht="15" customHeight="1" x14ac:dyDescent="0.4">
      <c r="A1144" t="s">
        <v>15</v>
      </c>
      <c r="B1144" t="s">
        <v>16</v>
      </c>
      <c r="C1144" s="13">
        <v>44927</v>
      </c>
      <c r="D1144" s="13">
        <v>45291</v>
      </c>
      <c r="E1144" t="s">
        <v>17</v>
      </c>
      <c r="F1144">
        <v>11</v>
      </c>
      <c r="G1144" t="s">
        <v>501</v>
      </c>
      <c r="H1144">
        <v>40</v>
      </c>
      <c r="I1144" t="s">
        <v>501</v>
      </c>
      <c r="J1144">
        <v>264</v>
      </c>
      <c r="K1144" t="s">
        <v>3681</v>
      </c>
      <c r="L1144" s="13">
        <v>45222</v>
      </c>
      <c r="M1144" t="s">
        <v>3543</v>
      </c>
      <c r="N1144" t="s">
        <v>3237</v>
      </c>
      <c r="O1144">
        <v>25.91</v>
      </c>
      <c r="P1144" t="s">
        <v>52</v>
      </c>
    </row>
    <row r="1145" spans="1:16" ht="15" customHeight="1" x14ac:dyDescent="0.4">
      <c r="A1145" t="s">
        <v>15</v>
      </c>
      <c r="B1145" t="s">
        <v>16</v>
      </c>
      <c r="C1145" s="13">
        <v>44927</v>
      </c>
      <c r="D1145" s="13">
        <v>45291</v>
      </c>
      <c r="E1145" t="s">
        <v>17</v>
      </c>
      <c r="F1145">
        <v>11</v>
      </c>
      <c r="G1145" t="s">
        <v>501</v>
      </c>
      <c r="H1145">
        <v>40</v>
      </c>
      <c r="I1145" t="s">
        <v>501</v>
      </c>
      <c r="J1145">
        <v>264</v>
      </c>
      <c r="K1145" t="s">
        <v>3681</v>
      </c>
      <c r="L1145" s="13">
        <v>45253</v>
      </c>
      <c r="M1145" t="s">
        <v>3544</v>
      </c>
      <c r="N1145" t="s">
        <v>3238</v>
      </c>
      <c r="O1145">
        <v>24.33</v>
      </c>
      <c r="P1145" t="s">
        <v>52</v>
      </c>
    </row>
    <row r="1146" spans="1:16" ht="15" customHeight="1" x14ac:dyDescent="0.4">
      <c r="A1146" t="s">
        <v>15</v>
      </c>
      <c r="B1146" t="s">
        <v>16</v>
      </c>
      <c r="C1146" s="13">
        <v>44927</v>
      </c>
      <c r="D1146" s="13">
        <v>45291</v>
      </c>
      <c r="E1146" t="s">
        <v>17</v>
      </c>
      <c r="F1146">
        <v>11</v>
      </c>
      <c r="G1146" t="s">
        <v>501</v>
      </c>
      <c r="H1146">
        <v>40</v>
      </c>
      <c r="I1146" t="s">
        <v>501</v>
      </c>
      <c r="J1146">
        <v>264</v>
      </c>
      <c r="K1146" t="s">
        <v>3681</v>
      </c>
      <c r="L1146" s="13">
        <v>45286</v>
      </c>
      <c r="M1146" t="s">
        <v>3545</v>
      </c>
      <c r="N1146" t="s">
        <v>2925</v>
      </c>
      <c r="O1146">
        <v>23.7</v>
      </c>
      <c r="P1146" t="s">
        <v>52</v>
      </c>
    </row>
    <row r="1147" spans="1:16" ht="15" customHeight="1" x14ac:dyDescent="0.4">
      <c r="A1147" t="s">
        <v>15</v>
      </c>
      <c r="B1147" t="s">
        <v>16</v>
      </c>
      <c r="C1147" s="13">
        <v>44927</v>
      </c>
      <c r="D1147" s="13">
        <v>45291</v>
      </c>
      <c r="E1147" t="s">
        <v>17</v>
      </c>
      <c r="F1147">
        <v>11</v>
      </c>
      <c r="G1147" t="s">
        <v>501</v>
      </c>
      <c r="H1147">
        <v>40</v>
      </c>
      <c r="I1147" t="s">
        <v>501</v>
      </c>
      <c r="J1147">
        <v>741</v>
      </c>
      <c r="K1147" t="s">
        <v>505</v>
      </c>
      <c r="L1147" s="13">
        <v>45006</v>
      </c>
      <c r="M1147" t="s">
        <v>3277</v>
      </c>
      <c r="N1147" t="s">
        <v>3278</v>
      </c>
      <c r="O1147">
        <v>51.78</v>
      </c>
      <c r="P1147" t="s">
        <v>508</v>
      </c>
    </row>
    <row r="1148" spans="1:16" ht="15" customHeight="1" x14ac:dyDescent="0.4">
      <c r="A1148" t="s">
        <v>15</v>
      </c>
      <c r="B1148" t="s">
        <v>16</v>
      </c>
      <c r="C1148" s="13">
        <v>44927</v>
      </c>
      <c r="D1148" s="13">
        <v>45291</v>
      </c>
      <c r="E1148" t="s">
        <v>17</v>
      </c>
      <c r="F1148">
        <v>11</v>
      </c>
      <c r="G1148" t="s">
        <v>501</v>
      </c>
      <c r="H1148">
        <v>40</v>
      </c>
      <c r="I1148" t="s">
        <v>501</v>
      </c>
      <c r="J1148">
        <v>741</v>
      </c>
      <c r="K1148" t="s">
        <v>505</v>
      </c>
      <c r="L1148" s="13">
        <v>45107</v>
      </c>
      <c r="M1148" t="s">
        <v>3279</v>
      </c>
      <c r="N1148" t="s">
        <v>3280</v>
      </c>
      <c r="O1148">
        <v>46.2</v>
      </c>
      <c r="P1148" t="s">
        <v>508</v>
      </c>
    </row>
    <row r="1149" spans="1:16" ht="15" customHeight="1" x14ac:dyDescent="0.4">
      <c r="A1149" t="s">
        <v>15</v>
      </c>
      <c r="B1149" t="s">
        <v>16</v>
      </c>
      <c r="C1149" s="13">
        <v>44927</v>
      </c>
      <c r="D1149" s="13">
        <v>45291</v>
      </c>
      <c r="E1149" t="s">
        <v>17</v>
      </c>
      <c r="F1149">
        <v>11</v>
      </c>
      <c r="G1149" t="s">
        <v>501</v>
      </c>
      <c r="H1149">
        <v>40</v>
      </c>
      <c r="I1149" t="s">
        <v>501</v>
      </c>
      <c r="J1149">
        <v>801</v>
      </c>
      <c r="K1149" t="s">
        <v>511</v>
      </c>
      <c r="L1149" s="13">
        <v>44927</v>
      </c>
      <c r="M1149" t="s">
        <v>3556</v>
      </c>
      <c r="N1149" t="s">
        <v>3258</v>
      </c>
      <c r="O1149">
        <v>247.54</v>
      </c>
      <c r="P1149" t="s">
        <v>508</v>
      </c>
    </row>
    <row r="1150" spans="1:16" ht="15" customHeight="1" x14ac:dyDescent="0.4">
      <c r="A1150" t="s">
        <v>15</v>
      </c>
      <c r="B1150" t="s">
        <v>16</v>
      </c>
      <c r="C1150" s="13">
        <v>44927</v>
      </c>
      <c r="D1150" s="13">
        <v>45291</v>
      </c>
      <c r="E1150" t="s">
        <v>17</v>
      </c>
      <c r="F1150">
        <v>11</v>
      </c>
      <c r="G1150" t="s">
        <v>501</v>
      </c>
      <c r="H1150">
        <v>40</v>
      </c>
      <c r="I1150" t="s">
        <v>501</v>
      </c>
      <c r="J1150">
        <v>801</v>
      </c>
      <c r="K1150" t="s">
        <v>511</v>
      </c>
      <c r="L1150" s="13">
        <v>44999</v>
      </c>
      <c r="M1150" t="s">
        <v>3557</v>
      </c>
      <c r="N1150" t="s">
        <v>3259</v>
      </c>
      <c r="O1150">
        <v>247.54</v>
      </c>
      <c r="P1150" t="s">
        <v>508</v>
      </c>
    </row>
    <row r="1151" spans="1:16" ht="15" customHeight="1" x14ac:dyDescent="0.4">
      <c r="A1151" t="s">
        <v>15</v>
      </c>
      <c r="B1151" t="s">
        <v>16</v>
      </c>
      <c r="C1151" s="13">
        <v>44927</v>
      </c>
      <c r="D1151" s="13">
        <v>45291</v>
      </c>
      <c r="E1151" t="s">
        <v>17</v>
      </c>
      <c r="F1151">
        <v>11</v>
      </c>
      <c r="G1151" t="s">
        <v>501</v>
      </c>
      <c r="H1151">
        <v>40</v>
      </c>
      <c r="I1151" t="s">
        <v>501</v>
      </c>
      <c r="J1151">
        <v>801</v>
      </c>
      <c r="K1151" t="s">
        <v>511</v>
      </c>
      <c r="L1151" s="13">
        <v>45148</v>
      </c>
      <c r="M1151" t="s">
        <v>3565</v>
      </c>
      <c r="N1151" t="s">
        <v>3281</v>
      </c>
      <c r="O1151">
        <v>247.5</v>
      </c>
      <c r="P1151" t="s">
        <v>508</v>
      </c>
    </row>
    <row r="1152" spans="1:16" ht="15" customHeight="1" x14ac:dyDescent="0.4">
      <c r="A1152" t="s">
        <v>15</v>
      </c>
      <c r="B1152" t="s">
        <v>16</v>
      </c>
      <c r="C1152" s="13">
        <v>44927</v>
      </c>
      <c r="D1152" s="13">
        <v>45291</v>
      </c>
      <c r="E1152" t="s">
        <v>17</v>
      </c>
      <c r="F1152">
        <v>11</v>
      </c>
      <c r="G1152" t="s">
        <v>501</v>
      </c>
      <c r="H1152">
        <v>40</v>
      </c>
      <c r="I1152" t="s">
        <v>501</v>
      </c>
      <c r="J1152">
        <v>801</v>
      </c>
      <c r="K1152" t="s">
        <v>511</v>
      </c>
      <c r="L1152" s="13">
        <v>45183</v>
      </c>
      <c r="M1152" t="s">
        <v>3566</v>
      </c>
      <c r="N1152" t="s">
        <v>3282</v>
      </c>
      <c r="O1152">
        <v>247.5</v>
      </c>
      <c r="P1152" t="s">
        <v>508</v>
      </c>
    </row>
    <row r="1153" spans="1:16" ht="15" customHeight="1" x14ac:dyDescent="0.4">
      <c r="A1153" t="s">
        <v>15</v>
      </c>
      <c r="B1153" t="s">
        <v>16</v>
      </c>
      <c r="C1153" s="13">
        <v>44927</v>
      </c>
      <c r="D1153" s="13">
        <v>45291</v>
      </c>
      <c r="E1153" t="s">
        <v>17</v>
      </c>
      <c r="F1153">
        <v>12</v>
      </c>
      <c r="G1153" t="s">
        <v>525</v>
      </c>
      <c r="H1153">
        <v>65</v>
      </c>
      <c r="I1153" t="s">
        <v>526</v>
      </c>
      <c r="J1153">
        <v>821</v>
      </c>
      <c r="K1153" t="s">
        <v>527</v>
      </c>
      <c r="L1153" s="13">
        <v>45291</v>
      </c>
      <c r="M1153" t="s">
        <v>558</v>
      </c>
      <c r="N1153" t="s">
        <v>46</v>
      </c>
      <c r="O1153">
        <v>1767.7</v>
      </c>
      <c r="P1153" t="s">
        <v>46</v>
      </c>
    </row>
    <row r="1154" spans="1:16" ht="15" customHeight="1" x14ac:dyDescent="0.4">
      <c r="A1154" t="s">
        <v>15</v>
      </c>
      <c r="B1154" t="s">
        <v>16</v>
      </c>
      <c r="C1154" s="13">
        <v>44927</v>
      </c>
      <c r="D1154" s="13">
        <v>45291</v>
      </c>
      <c r="E1154" t="s">
        <v>17</v>
      </c>
      <c r="F1154">
        <v>13</v>
      </c>
      <c r="G1154" t="s">
        <v>560</v>
      </c>
      <c r="H1154">
        <v>50</v>
      </c>
      <c r="I1154" t="s">
        <v>561</v>
      </c>
      <c r="J1154">
        <v>269</v>
      </c>
      <c r="K1154" t="s">
        <v>562</v>
      </c>
      <c r="L1154" s="13">
        <v>44940</v>
      </c>
      <c r="M1154" t="s">
        <v>3285</v>
      </c>
      <c r="N1154" t="s">
        <v>3286</v>
      </c>
      <c r="O1154">
        <v>637.87</v>
      </c>
      <c r="P1154" t="s">
        <v>565</v>
      </c>
    </row>
    <row r="1155" spans="1:16" ht="15" customHeight="1" x14ac:dyDescent="0.4">
      <c r="A1155" t="s">
        <v>15</v>
      </c>
      <c r="B1155" t="s">
        <v>16</v>
      </c>
      <c r="C1155" s="13">
        <v>44927</v>
      </c>
      <c r="D1155" s="13">
        <v>45291</v>
      </c>
      <c r="E1155" t="s">
        <v>17</v>
      </c>
      <c r="F1155">
        <v>13</v>
      </c>
      <c r="G1155" t="s">
        <v>560</v>
      </c>
      <c r="H1155">
        <v>50</v>
      </c>
      <c r="I1155" t="s">
        <v>561</v>
      </c>
      <c r="J1155">
        <v>269</v>
      </c>
      <c r="K1155" t="s">
        <v>562</v>
      </c>
      <c r="L1155" s="13">
        <v>44971</v>
      </c>
      <c r="M1155" t="s">
        <v>3288</v>
      </c>
      <c r="N1155" t="s">
        <v>3287</v>
      </c>
      <c r="O1155">
        <v>1484.53</v>
      </c>
      <c r="P1155" t="s">
        <v>565</v>
      </c>
    </row>
    <row r="1156" spans="1:16" ht="15" customHeight="1" x14ac:dyDescent="0.4">
      <c r="A1156" t="s">
        <v>15</v>
      </c>
      <c r="B1156" t="s">
        <v>16</v>
      </c>
      <c r="C1156" s="13">
        <v>44927</v>
      </c>
      <c r="D1156" s="13">
        <v>45291</v>
      </c>
      <c r="E1156" t="s">
        <v>17</v>
      </c>
      <c r="F1156">
        <v>13</v>
      </c>
      <c r="G1156" t="s">
        <v>560</v>
      </c>
      <c r="H1156">
        <v>50</v>
      </c>
      <c r="I1156" t="s">
        <v>561</v>
      </c>
      <c r="J1156">
        <v>269</v>
      </c>
      <c r="K1156" t="s">
        <v>562</v>
      </c>
      <c r="L1156" s="13">
        <v>45006</v>
      </c>
      <c r="M1156" t="s">
        <v>3289</v>
      </c>
      <c r="N1156" t="s">
        <v>3290</v>
      </c>
      <c r="O1156">
        <v>1162.3599999999999</v>
      </c>
      <c r="P1156" t="s">
        <v>565</v>
      </c>
    </row>
    <row r="1157" spans="1:16" ht="15" customHeight="1" x14ac:dyDescent="0.4">
      <c r="A1157" t="s">
        <v>15</v>
      </c>
      <c r="B1157" t="s">
        <v>16</v>
      </c>
      <c r="C1157" s="13">
        <v>44927</v>
      </c>
      <c r="D1157" s="13">
        <v>45291</v>
      </c>
      <c r="E1157" t="s">
        <v>17</v>
      </c>
      <c r="F1157">
        <v>13</v>
      </c>
      <c r="G1157" t="s">
        <v>560</v>
      </c>
      <c r="H1157">
        <v>50</v>
      </c>
      <c r="I1157" t="s">
        <v>561</v>
      </c>
      <c r="J1157">
        <v>269</v>
      </c>
      <c r="K1157" t="s">
        <v>562</v>
      </c>
      <c r="L1157" s="13">
        <v>45063</v>
      </c>
      <c r="M1157" t="s">
        <v>3291</v>
      </c>
      <c r="N1157" t="s">
        <v>3292</v>
      </c>
      <c r="O1157">
        <v>898.62</v>
      </c>
      <c r="P1157" t="s">
        <v>565</v>
      </c>
    </row>
    <row r="1158" spans="1:16" ht="15" customHeight="1" x14ac:dyDescent="0.4">
      <c r="A1158" t="s">
        <v>15</v>
      </c>
      <c r="B1158" t="s">
        <v>16</v>
      </c>
      <c r="C1158" s="13">
        <v>44927</v>
      </c>
      <c r="D1158" s="13">
        <v>45291</v>
      </c>
      <c r="E1158" t="s">
        <v>17</v>
      </c>
      <c r="F1158">
        <v>13</v>
      </c>
      <c r="G1158" t="s">
        <v>560</v>
      </c>
      <c r="H1158">
        <v>50</v>
      </c>
      <c r="I1158" t="s">
        <v>561</v>
      </c>
      <c r="J1158">
        <v>269</v>
      </c>
      <c r="K1158" t="s">
        <v>562</v>
      </c>
      <c r="L1158" s="13">
        <v>45069</v>
      </c>
      <c r="M1158" t="s">
        <v>3293</v>
      </c>
      <c r="N1158" t="s">
        <v>3294</v>
      </c>
      <c r="O1158">
        <v>443.5</v>
      </c>
      <c r="P1158" t="s">
        <v>565</v>
      </c>
    </row>
    <row r="1159" spans="1:16" ht="15" customHeight="1" x14ac:dyDescent="0.4">
      <c r="A1159" t="s">
        <v>15</v>
      </c>
      <c r="B1159" t="s">
        <v>16</v>
      </c>
      <c r="C1159" s="13">
        <v>44927</v>
      </c>
      <c r="D1159" s="13">
        <v>45291</v>
      </c>
      <c r="E1159" t="s">
        <v>17</v>
      </c>
      <c r="F1159">
        <v>13</v>
      </c>
      <c r="G1159" t="s">
        <v>560</v>
      </c>
      <c r="H1159">
        <v>50</v>
      </c>
      <c r="I1159" t="s">
        <v>561</v>
      </c>
      <c r="J1159">
        <v>269</v>
      </c>
      <c r="K1159" t="s">
        <v>562</v>
      </c>
      <c r="L1159" s="13">
        <v>45092</v>
      </c>
      <c r="M1159" t="s">
        <v>3295</v>
      </c>
      <c r="N1159" t="s">
        <v>3296</v>
      </c>
      <c r="O1159">
        <v>452.82</v>
      </c>
      <c r="P1159" t="s">
        <v>565</v>
      </c>
    </row>
    <row r="1160" spans="1:16" ht="15" customHeight="1" x14ac:dyDescent="0.4">
      <c r="A1160" t="s">
        <v>15</v>
      </c>
      <c r="B1160" t="s">
        <v>16</v>
      </c>
      <c r="C1160" s="13">
        <v>44927</v>
      </c>
      <c r="D1160" s="13">
        <v>45291</v>
      </c>
      <c r="E1160" t="s">
        <v>17</v>
      </c>
      <c r="F1160">
        <v>13</v>
      </c>
      <c r="G1160" t="s">
        <v>560</v>
      </c>
      <c r="H1160">
        <v>50</v>
      </c>
      <c r="I1160" t="s">
        <v>561</v>
      </c>
      <c r="J1160">
        <v>269</v>
      </c>
      <c r="K1160" t="s">
        <v>562</v>
      </c>
      <c r="L1160" s="13">
        <v>45125</v>
      </c>
      <c r="M1160" t="s">
        <v>3297</v>
      </c>
      <c r="N1160" t="s">
        <v>3298</v>
      </c>
      <c r="O1160">
        <v>405.4</v>
      </c>
      <c r="P1160" t="s">
        <v>565</v>
      </c>
    </row>
    <row r="1161" spans="1:16" ht="15" customHeight="1" x14ac:dyDescent="0.4">
      <c r="A1161" t="s">
        <v>15</v>
      </c>
      <c r="B1161" t="s">
        <v>16</v>
      </c>
      <c r="C1161" s="13">
        <v>44927</v>
      </c>
      <c r="D1161" s="13">
        <v>45291</v>
      </c>
      <c r="E1161" t="s">
        <v>17</v>
      </c>
      <c r="F1161">
        <v>13</v>
      </c>
      <c r="G1161" t="s">
        <v>560</v>
      </c>
      <c r="H1161">
        <v>50</v>
      </c>
      <c r="I1161" t="s">
        <v>561</v>
      </c>
      <c r="J1161">
        <v>269</v>
      </c>
      <c r="K1161" t="s">
        <v>562</v>
      </c>
      <c r="L1161" s="13">
        <v>45166</v>
      </c>
      <c r="M1161" t="s">
        <v>3567</v>
      </c>
      <c r="N1161" t="s">
        <v>3299</v>
      </c>
      <c r="O1161">
        <v>403.57</v>
      </c>
      <c r="P1161" t="s">
        <v>565</v>
      </c>
    </row>
    <row r="1162" spans="1:16" ht="15" customHeight="1" x14ac:dyDescent="0.4">
      <c r="A1162" t="s">
        <v>15</v>
      </c>
      <c r="B1162" t="s">
        <v>16</v>
      </c>
      <c r="C1162" s="13">
        <v>44927</v>
      </c>
      <c r="D1162" s="13">
        <v>45291</v>
      </c>
      <c r="E1162" t="s">
        <v>17</v>
      </c>
      <c r="F1162">
        <v>13</v>
      </c>
      <c r="G1162" t="s">
        <v>560</v>
      </c>
      <c r="H1162">
        <v>50</v>
      </c>
      <c r="I1162" t="s">
        <v>561</v>
      </c>
      <c r="J1162">
        <v>269</v>
      </c>
      <c r="K1162" t="s">
        <v>562</v>
      </c>
      <c r="L1162" s="13">
        <v>45183</v>
      </c>
      <c r="M1162" t="s">
        <v>3300</v>
      </c>
      <c r="N1162" t="s">
        <v>3301</v>
      </c>
      <c r="O1162">
        <v>389.99</v>
      </c>
      <c r="P1162" t="s">
        <v>565</v>
      </c>
    </row>
    <row r="1163" spans="1:16" ht="15" customHeight="1" x14ac:dyDescent="0.4">
      <c r="A1163" t="s">
        <v>15</v>
      </c>
      <c r="B1163" t="s">
        <v>16</v>
      </c>
      <c r="C1163" s="13">
        <v>44927</v>
      </c>
      <c r="D1163" s="13">
        <v>45291</v>
      </c>
      <c r="E1163" t="s">
        <v>17</v>
      </c>
      <c r="F1163">
        <v>13</v>
      </c>
      <c r="G1163" t="s">
        <v>560</v>
      </c>
      <c r="H1163">
        <v>50</v>
      </c>
      <c r="I1163" t="s">
        <v>561</v>
      </c>
      <c r="J1163">
        <v>269</v>
      </c>
      <c r="K1163" t="s">
        <v>562</v>
      </c>
      <c r="L1163" s="13">
        <v>45217</v>
      </c>
      <c r="M1163" t="s">
        <v>3302</v>
      </c>
      <c r="N1163" t="s">
        <v>3303</v>
      </c>
      <c r="O1163">
        <v>435.97</v>
      </c>
      <c r="P1163" t="s">
        <v>565</v>
      </c>
    </row>
    <row r="1164" spans="1:16" ht="15" customHeight="1" x14ac:dyDescent="0.4">
      <c r="A1164" t="s">
        <v>15</v>
      </c>
      <c r="B1164" t="s">
        <v>16</v>
      </c>
      <c r="C1164" s="13">
        <v>44927</v>
      </c>
      <c r="D1164" s="13">
        <v>45291</v>
      </c>
      <c r="E1164" t="s">
        <v>17</v>
      </c>
      <c r="F1164">
        <v>13</v>
      </c>
      <c r="G1164" t="s">
        <v>560</v>
      </c>
      <c r="H1164">
        <v>50</v>
      </c>
      <c r="I1164" t="s">
        <v>561</v>
      </c>
      <c r="J1164">
        <v>269</v>
      </c>
      <c r="K1164" t="s">
        <v>562</v>
      </c>
      <c r="L1164" s="13">
        <v>45251</v>
      </c>
      <c r="M1164" t="s">
        <v>3568</v>
      </c>
      <c r="N1164" t="s">
        <v>3304</v>
      </c>
      <c r="O1164">
        <v>727.03</v>
      </c>
      <c r="P1164" t="s">
        <v>565</v>
      </c>
    </row>
    <row r="1165" spans="1:16" ht="15" customHeight="1" x14ac:dyDescent="0.4">
      <c r="A1165" t="s">
        <v>15</v>
      </c>
      <c r="B1165" t="s">
        <v>16</v>
      </c>
      <c r="C1165" s="13">
        <v>44927</v>
      </c>
      <c r="D1165" s="13">
        <v>45291</v>
      </c>
      <c r="E1165" t="s">
        <v>17</v>
      </c>
      <c r="F1165">
        <v>13</v>
      </c>
      <c r="G1165" t="s">
        <v>560</v>
      </c>
      <c r="H1165">
        <v>50</v>
      </c>
      <c r="I1165" t="s">
        <v>561</v>
      </c>
      <c r="J1165">
        <v>269</v>
      </c>
      <c r="K1165" t="s">
        <v>562</v>
      </c>
      <c r="L1165" s="13">
        <v>45274</v>
      </c>
      <c r="M1165" t="s">
        <v>3569</v>
      </c>
      <c r="N1165" t="s">
        <v>3305</v>
      </c>
      <c r="O1165">
        <v>930.59</v>
      </c>
      <c r="P1165" t="s">
        <v>565</v>
      </c>
    </row>
    <row r="1166" spans="1:16" ht="15" customHeight="1" x14ac:dyDescent="0.4">
      <c r="A1166" t="s">
        <v>15</v>
      </c>
      <c r="B1166" t="s">
        <v>16</v>
      </c>
      <c r="C1166" s="13">
        <v>44927</v>
      </c>
      <c r="D1166" s="13">
        <v>45291</v>
      </c>
      <c r="E1166" t="s">
        <v>17</v>
      </c>
      <c r="F1166">
        <v>13</v>
      </c>
      <c r="G1166" t="s">
        <v>560</v>
      </c>
      <c r="H1166">
        <v>50</v>
      </c>
      <c r="I1166" t="s">
        <v>561</v>
      </c>
      <c r="J1166">
        <v>286</v>
      </c>
      <c r="K1166" t="s">
        <v>588</v>
      </c>
      <c r="L1166" s="13">
        <v>45291</v>
      </c>
      <c r="M1166" t="s">
        <v>3570</v>
      </c>
      <c r="N1166" t="s">
        <v>86</v>
      </c>
      <c r="O1166">
        <v>1277.82</v>
      </c>
      <c r="P1166" t="s">
        <v>46</v>
      </c>
    </row>
    <row r="1167" spans="1:16" ht="15" customHeight="1" x14ac:dyDescent="0.4">
      <c r="A1167" t="s">
        <v>15</v>
      </c>
      <c r="B1167" t="s">
        <v>16</v>
      </c>
      <c r="C1167" s="13">
        <v>44927</v>
      </c>
      <c r="D1167" s="13">
        <v>45291</v>
      </c>
      <c r="E1167" t="s">
        <v>17</v>
      </c>
      <c r="F1167">
        <v>14</v>
      </c>
      <c r="G1167" t="s">
        <v>560</v>
      </c>
      <c r="H1167">
        <v>50</v>
      </c>
      <c r="I1167" t="s">
        <v>561</v>
      </c>
      <c r="J1167">
        <v>269</v>
      </c>
      <c r="K1167" t="s">
        <v>562</v>
      </c>
      <c r="L1167" s="13">
        <v>44941</v>
      </c>
      <c r="M1167" t="s">
        <v>3306</v>
      </c>
      <c r="N1167" t="s">
        <v>3307</v>
      </c>
      <c r="O1167">
        <v>625.07000000000005</v>
      </c>
      <c r="P1167" t="s">
        <v>565</v>
      </c>
    </row>
    <row r="1168" spans="1:16" ht="15" customHeight="1" x14ac:dyDescent="0.4">
      <c r="A1168" t="s">
        <v>15</v>
      </c>
      <c r="B1168" t="s">
        <v>16</v>
      </c>
      <c r="C1168" s="13">
        <v>44927</v>
      </c>
      <c r="D1168" s="13">
        <v>45291</v>
      </c>
      <c r="E1168" t="s">
        <v>17</v>
      </c>
      <c r="F1168">
        <v>14</v>
      </c>
      <c r="G1168" t="s">
        <v>560</v>
      </c>
      <c r="H1168">
        <v>50</v>
      </c>
      <c r="I1168" t="s">
        <v>561</v>
      </c>
      <c r="J1168">
        <v>269</v>
      </c>
      <c r="K1168" t="s">
        <v>562</v>
      </c>
      <c r="L1168" s="13">
        <v>44974</v>
      </c>
      <c r="M1168" t="s">
        <v>3308</v>
      </c>
      <c r="N1168" t="s">
        <v>3309</v>
      </c>
      <c r="O1168">
        <v>1498.25</v>
      </c>
      <c r="P1168" t="s">
        <v>565</v>
      </c>
    </row>
    <row r="1169" spans="1:16" ht="15" customHeight="1" x14ac:dyDescent="0.4">
      <c r="A1169" t="s">
        <v>15</v>
      </c>
      <c r="B1169" t="s">
        <v>16</v>
      </c>
      <c r="C1169" s="13">
        <v>44927</v>
      </c>
      <c r="D1169" s="13">
        <v>45291</v>
      </c>
      <c r="E1169" t="s">
        <v>17</v>
      </c>
      <c r="F1169">
        <v>14</v>
      </c>
      <c r="G1169" t="s">
        <v>560</v>
      </c>
      <c r="H1169">
        <v>50</v>
      </c>
      <c r="I1169" t="s">
        <v>561</v>
      </c>
      <c r="J1169">
        <v>269</v>
      </c>
      <c r="K1169" t="s">
        <v>562</v>
      </c>
      <c r="L1169" s="13">
        <v>45006</v>
      </c>
      <c r="M1169" t="s">
        <v>3310</v>
      </c>
      <c r="N1169" t="s">
        <v>3311</v>
      </c>
      <c r="O1169">
        <v>1032.29</v>
      </c>
      <c r="P1169" t="s">
        <v>565</v>
      </c>
    </row>
    <row r="1170" spans="1:16" ht="15" customHeight="1" x14ac:dyDescent="0.4">
      <c r="A1170" t="s">
        <v>15</v>
      </c>
      <c r="B1170" t="s">
        <v>16</v>
      </c>
      <c r="C1170" s="13">
        <v>44927</v>
      </c>
      <c r="D1170" s="13">
        <v>45291</v>
      </c>
      <c r="E1170" t="s">
        <v>17</v>
      </c>
      <c r="F1170">
        <v>14</v>
      </c>
      <c r="G1170" t="s">
        <v>560</v>
      </c>
      <c r="H1170">
        <v>50</v>
      </c>
      <c r="I1170" t="s">
        <v>561</v>
      </c>
      <c r="J1170">
        <v>269</v>
      </c>
      <c r="K1170" t="s">
        <v>562</v>
      </c>
      <c r="L1170" s="13">
        <v>45069</v>
      </c>
      <c r="M1170" t="s">
        <v>3312</v>
      </c>
      <c r="N1170" t="s">
        <v>3313</v>
      </c>
      <c r="O1170">
        <v>409.99</v>
      </c>
      <c r="P1170" t="s">
        <v>565</v>
      </c>
    </row>
    <row r="1171" spans="1:16" ht="15" customHeight="1" x14ac:dyDescent="0.4">
      <c r="A1171" t="s">
        <v>15</v>
      </c>
      <c r="B1171" t="s">
        <v>16</v>
      </c>
      <c r="C1171" s="13">
        <v>44927</v>
      </c>
      <c r="D1171" s="13">
        <v>45291</v>
      </c>
      <c r="E1171" t="s">
        <v>17</v>
      </c>
      <c r="F1171">
        <v>14</v>
      </c>
      <c r="G1171" t="s">
        <v>560</v>
      </c>
      <c r="H1171">
        <v>50</v>
      </c>
      <c r="I1171" t="s">
        <v>561</v>
      </c>
      <c r="J1171">
        <v>269</v>
      </c>
      <c r="K1171" t="s">
        <v>562</v>
      </c>
      <c r="L1171" s="13">
        <v>45083</v>
      </c>
      <c r="M1171" t="s">
        <v>3314</v>
      </c>
      <c r="N1171" t="s">
        <v>3315</v>
      </c>
      <c r="O1171">
        <v>887.73</v>
      </c>
      <c r="P1171" t="s">
        <v>565</v>
      </c>
    </row>
    <row r="1172" spans="1:16" ht="15" customHeight="1" x14ac:dyDescent="0.4">
      <c r="A1172" t="s">
        <v>15</v>
      </c>
      <c r="B1172" t="s">
        <v>16</v>
      </c>
      <c r="C1172" s="13">
        <v>44927</v>
      </c>
      <c r="D1172" s="13">
        <v>45291</v>
      </c>
      <c r="E1172" t="s">
        <v>17</v>
      </c>
      <c r="F1172">
        <v>14</v>
      </c>
      <c r="G1172" t="s">
        <v>560</v>
      </c>
      <c r="H1172">
        <v>50</v>
      </c>
      <c r="I1172" t="s">
        <v>561</v>
      </c>
      <c r="J1172">
        <v>269</v>
      </c>
      <c r="K1172" t="s">
        <v>562</v>
      </c>
      <c r="L1172" s="13">
        <v>45092</v>
      </c>
      <c r="M1172" t="s">
        <v>3316</v>
      </c>
      <c r="N1172" t="s">
        <v>3317</v>
      </c>
      <c r="O1172">
        <v>397.65</v>
      </c>
      <c r="P1172" t="s">
        <v>565</v>
      </c>
    </row>
    <row r="1173" spans="1:16" ht="15" customHeight="1" x14ac:dyDescent="0.4">
      <c r="A1173" t="s">
        <v>15</v>
      </c>
      <c r="B1173" t="s">
        <v>16</v>
      </c>
      <c r="C1173" s="13">
        <v>44927</v>
      </c>
      <c r="D1173" s="13">
        <v>45291</v>
      </c>
      <c r="E1173" t="s">
        <v>17</v>
      </c>
      <c r="F1173">
        <v>14</v>
      </c>
      <c r="G1173" t="s">
        <v>560</v>
      </c>
      <c r="H1173">
        <v>50</v>
      </c>
      <c r="I1173" t="s">
        <v>561</v>
      </c>
      <c r="J1173">
        <v>269</v>
      </c>
      <c r="K1173" t="s">
        <v>562</v>
      </c>
      <c r="L1173" s="13">
        <v>45125</v>
      </c>
      <c r="M1173" t="s">
        <v>3318</v>
      </c>
      <c r="N1173" t="s">
        <v>3319</v>
      </c>
      <c r="O1173">
        <v>329.49</v>
      </c>
      <c r="P1173" t="s">
        <v>565</v>
      </c>
    </row>
    <row r="1174" spans="1:16" ht="15" customHeight="1" x14ac:dyDescent="0.4">
      <c r="A1174" t="s">
        <v>15</v>
      </c>
      <c r="B1174" t="s">
        <v>16</v>
      </c>
      <c r="C1174" s="13">
        <v>44927</v>
      </c>
      <c r="D1174" s="13">
        <v>45291</v>
      </c>
      <c r="E1174" t="s">
        <v>17</v>
      </c>
      <c r="F1174">
        <v>14</v>
      </c>
      <c r="G1174" t="s">
        <v>560</v>
      </c>
      <c r="H1174">
        <v>50</v>
      </c>
      <c r="I1174" t="s">
        <v>561</v>
      </c>
      <c r="J1174">
        <v>269</v>
      </c>
      <c r="K1174" t="s">
        <v>562</v>
      </c>
      <c r="L1174" s="13">
        <v>45166</v>
      </c>
      <c r="M1174" t="s">
        <v>3571</v>
      </c>
      <c r="N1174" t="s">
        <v>3320</v>
      </c>
      <c r="O1174">
        <v>326.22000000000003</v>
      </c>
      <c r="P1174" t="s">
        <v>565</v>
      </c>
    </row>
    <row r="1175" spans="1:16" ht="15" customHeight="1" x14ac:dyDescent="0.4">
      <c r="A1175" t="s">
        <v>15</v>
      </c>
      <c r="B1175" t="s">
        <v>16</v>
      </c>
      <c r="C1175" s="13">
        <v>44927</v>
      </c>
      <c r="D1175" s="13">
        <v>45291</v>
      </c>
      <c r="E1175" t="s">
        <v>17</v>
      </c>
      <c r="F1175">
        <v>14</v>
      </c>
      <c r="G1175" t="s">
        <v>560</v>
      </c>
      <c r="H1175">
        <v>50</v>
      </c>
      <c r="I1175" t="s">
        <v>561</v>
      </c>
      <c r="J1175">
        <v>269</v>
      </c>
      <c r="K1175" t="s">
        <v>562</v>
      </c>
      <c r="L1175" s="13">
        <v>45183</v>
      </c>
      <c r="M1175" t="s">
        <v>3321</v>
      </c>
      <c r="N1175" t="s">
        <v>3322</v>
      </c>
      <c r="O1175">
        <v>330.01</v>
      </c>
      <c r="P1175" t="s">
        <v>565</v>
      </c>
    </row>
    <row r="1176" spans="1:16" ht="15" customHeight="1" x14ac:dyDescent="0.4">
      <c r="A1176" t="s">
        <v>15</v>
      </c>
      <c r="B1176" t="s">
        <v>16</v>
      </c>
      <c r="C1176" s="13">
        <v>44927</v>
      </c>
      <c r="D1176" s="13">
        <v>45291</v>
      </c>
      <c r="E1176" t="s">
        <v>17</v>
      </c>
      <c r="F1176">
        <v>14</v>
      </c>
      <c r="G1176" t="s">
        <v>560</v>
      </c>
      <c r="H1176">
        <v>50</v>
      </c>
      <c r="I1176" t="s">
        <v>561</v>
      </c>
      <c r="J1176">
        <v>269</v>
      </c>
      <c r="K1176" t="s">
        <v>562</v>
      </c>
      <c r="L1176" s="13">
        <v>45217</v>
      </c>
      <c r="M1176" t="s">
        <v>3323</v>
      </c>
      <c r="N1176" t="s">
        <v>3324</v>
      </c>
      <c r="O1176">
        <v>360.89</v>
      </c>
      <c r="P1176" t="s">
        <v>565</v>
      </c>
    </row>
    <row r="1177" spans="1:16" ht="15" customHeight="1" x14ac:dyDescent="0.4">
      <c r="A1177" t="s">
        <v>15</v>
      </c>
      <c r="B1177" t="s">
        <v>16</v>
      </c>
      <c r="C1177" s="13">
        <v>44927</v>
      </c>
      <c r="D1177" s="13">
        <v>45291</v>
      </c>
      <c r="E1177" t="s">
        <v>17</v>
      </c>
      <c r="F1177">
        <v>14</v>
      </c>
      <c r="G1177" t="s">
        <v>560</v>
      </c>
      <c r="H1177">
        <v>50</v>
      </c>
      <c r="I1177" t="s">
        <v>561</v>
      </c>
      <c r="J1177">
        <v>269</v>
      </c>
      <c r="K1177" t="s">
        <v>562</v>
      </c>
      <c r="L1177" s="13">
        <v>45251</v>
      </c>
      <c r="M1177" t="s">
        <v>3572</v>
      </c>
      <c r="N1177" t="s">
        <v>3325</v>
      </c>
      <c r="O1177">
        <v>626.09</v>
      </c>
      <c r="P1177" t="s">
        <v>565</v>
      </c>
    </row>
    <row r="1178" spans="1:16" ht="15" customHeight="1" x14ac:dyDescent="0.4">
      <c r="A1178" t="s">
        <v>15</v>
      </c>
      <c r="B1178" t="s">
        <v>16</v>
      </c>
      <c r="C1178" s="13">
        <v>44927</v>
      </c>
      <c r="D1178" s="13">
        <v>45291</v>
      </c>
      <c r="E1178" t="s">
        <v>17</v>
      </c>
      <c r="F1178">
        <v>14</v>
      </c>
      <c r="G1178" t="s">
        <v>560</v>
      </c>
      <c r="H1178">
        <v>50</v>
      </c>
      <c r="I1178" t="s">
        <v>561</v>
      </c>
      <c r="J1178">
        <v>269</v>
      </c>
      <c r="K1178" t="s">
        <v>562</v>
      </c>
      <c r="L1178" s="13">
        <v>45260</v>
      </c>
      <c r="M1178" t="s">
        <v>3573</v>
      </c>
      <c r="N1178" t="s">
        <v>3326</v>
      </c>
      <c r="O1178">
        <v>-669.21</v>
      </c>
      <c r="P1178" t="s">
        <v>565</v>
      </c>
    </row>
    <row r="1179" spans="1:16" ht="15" customHeight="1" x14ac:dyDescent="0.4">
      <c r="A1179" t="s">
        <v>15</v>
      </c>
      <c r="B1179" t="s">
        <v>16</v>
      </c>
      <c r="C1179" s="13">
        <v>44927</v>
      </c>
      <c r="D1179" s="13">
        <v>45291</v>
      </c>
      <c r="E1179" t="s">
        <v>17</v>
      </c>
      <c r="F1179">
        <v>14</v>
      </c>
      <c r="G1179" t="s">
        <v>560</v>
      </c>
      <c r="H1179">
        <v>50</v>
      </c>
      <c r="I1179" t="s">
        <v>561</v>
      </c>
      <c r="J1179">
        <v>269</v>
      </c>
      <c r="K1179" t="s">
        <v>562</v>
      </c>
      <c r="L1179" s="13">
        <v>45279</v>
      </c>
      <c r="M1179" t="s">
        <v>3574</v>
      </c>
      <c r="N1179" t="s">
        <v>3327</v>
      </c>
      <c r="O1179">
        <v>580.80999999999995</v>
      </c>
      <c r="P1179" t="s">
        <v>565</v>
      </c>
    </row>
    <row r="1180" spans="1:16" ht="15" customHeight="1" x14ac:dyDescent="0.4">
      <c r="A1180" t="s">
        <v>15</v>
      </c>
      <c r="B1180" t="s">
        <v>16</v>
      </c>
      <c r="C1180" s="13">
        <v>44927</v>
      </c>
      <c r="D1180" s="13">
        <v>45291</v>
      </c>
      <c r="E1180" t="s">
        <v>17</v>
      </c>
      <c r="F1180">
        <v>14</v>
      </c>
      <c r="G1180" t="s">
        <v>560</v>
      </c>
      <c r="H1180">
        <v>50</v>
      </c>
      <c r="I1180" t="s">
        <v>561</v>
      </c>
      <c r="J1180">
        <v>286</v>
      </c>
      <c r="K1180" t="s">
        <v>588</v>
      </c>
      <c r="L1180" s="13">
        <v>45291</v>
      </c>
      <c r="M1180" t="s">
        <v>3575</v>
      </c>
      <c r="N1180" t="s">
        <v>86</v>
      </c>
      <c r="O1180">
        <v>1499.7</v>
      </c>
      <c r="P1180" t="s">
        <v>46</v>
      </c>
    </row>
    <row r="1181" spans="1:16" ht="15" customHeight="1" x14ac:dyDescent="0.4">
      <c r="A1181" t="s">
        <v>15</v>
      </c>
      <c r="B1181" t="s">
        <v>16</v>
      </c>
      <c r="C1181" s="13">
        <v>44927</v>
      </c>
      <c r="D1181" s="13">
        <v>45291</v>
      </c>
      <c r="E1181" t="s">
        <v>17</v>
      </c>
      <c r="F1181">
        <v>15</v>
      </c>
      <c r="G1181" t="s">
        <v>560</v>
      </c>
      <c r="H1181">
        <v>50</v>
      </c>
      <c r="I1181" t="s">
        <v>561</v>
      </c>
      <c r="J1181">
        <v>269</v>
      </c>
      <c r="K1181" t="s">
        <v>562</v>
      </c>
      <c r="L1181" s="13">
        <v>44941</v>
      </c>
      <c r="M1181" t="s">
        <v>3306</v>
      </c>
      <c r="N1181" t="s">
        <v>3307</v>
      </c>
      <c r="O1181">
        <v>625.07000000000005</v>
      </c>
      <c r="P1181" t="s">
        <v>565</v>
      </c>
    </row>
    <row r="1182" spans="1:16" ht="15" customHeight="1" x14ac:dyDescent="0.4">
      <c r="A1182" t="s">
        <v>15</v>
      </c>
      <c r="B1182" t="s">
        <v>16</v>
      </c>
      <c r="C1182" s="13">
        <v>44927</v>
      </c>
      <c r="D1182" s="13">
        <v>45291</v>
      </c>
      <c r="E1182" t="s">
        <v>17</v>
      </c>
      <c r="F1182">
        <v>15</v>
      </c>
      <c r="G1182" t="s">
        <v>560</v>
      </c>
      <c r="H1182">
        <v>50</v>
      </c>
      <c r="I1182" t="s">
        <v>561</v>
      </c>
      <c r="J1182">
        <v>269</v>
      </c>
      <c r="K1182" t="s">
        <v>562</v>
      </c>
      <c r="L1182" s="13">
        <v>44974</v>
      </c>
      <c r="M1182" t="s">
        <v>3308</v>
      </c>
      <c r="N1182" t="s">
        <v>3309</v>
      </c>
      <c r="O1182">
        <v>1498.25</v>
      </c>
      <c r="P1182" t="s">
        <v>565</v>
      </c>
    </row>
    <row r="1183" spans="1:16" ht="15" customHeight="1" x14ac:dyDescent="0.4">
      <c r="A1183" t="s">
        <v>15</v>
      </c>
      <c r="B1183" t="s">
        <v>16</v>
      </c>
      <c r="C1183" s="13">
        <v>44927</v>
      </c>
      <c r="D1183" s="13">
        <v>45291</v>
      </c>
      <c r="E1183" t="s">
        <v>17</v>
      </c>
      <c r="F1183">
        <v>15</v>
      </c>
      <c r="G1183" t="s">
        <v>560</v>
      </c>
      <c r="H1183">
        <v>50</v>
      </c>
      <c r="I1183" t="s">
        <v>561</v>
      </c>
      <c r="J1183">
        <v>269</v>
      </c>
      <c r="K1183" t="s">
        <v>562</v>
      </c>
      <c r="L1183" s="13">
        <v>45006</v>
      </c>
      <c r="M1183" t="s">
        <v>3310</v>
      </c>
      <c r="N1183" t="s">
        <v>3311</v>
      </c>
      <c r="O1183">
        <v>1032.3</v>
      </c>
      <c r="P1183" t="s">
        <v>565</v>
      </c>
    </row>
    <row r="1184" spans="1:16" ht="15" customHeight="1" x14ac:dyDescent="0.4">
      <c r="A1184" t="s">
        <v>15</v>
      </c>
      <c r="B1184" t="s">
        <v>16</v>
      </c>
      <c r="C1184" s="13">
        <v>44927</v>
      </c>
      <c r="D1184" s="13">
        <v>45291</v>
      </c>
      <c r="E1184" t="s">
        <v>17</v>
      </c>
      <c r="F1184">
        <v>15</v>
      </c>
      <c r="G1184" t="s">
        <v>560</v>
      </c>
      <c r="H1184">
        <v>50</v>
      </c>
      <c r="I1184" t="s">
        <v>561</v>
      </c>
      <c r="J1184">
        <v>269</v>
      </c>
      <c r="K1184" t="s">
        <v>562</v>
      </c>
      <c r="L1184" s="13">
        <v>45069</v>
      </c>
      <c r="M1184" t="s">
        <v>3312</v>
      </c>
      <c r="N1184" t="s">
        <v>3313</v>
      </c>
      <c r="O1184">
        <v>409.98</v>
      </c>
      <c r="P1184" t="s">
        <v>565</v>
      </c>
    </row>
    <row r="1185" spans="1:16" ht="15" customHeight="1" x14ac:dyDescent="0.4">
      <c r="A1185" t="s">
        <v>15</v>
      </c>
      <c r="B1185" t="s">
        <v>16</v>
      </c>
      <c r="C1185" s="13">
        <v>44927</v>
      </c>
      <c r="D1185" s="13">
        <v>45291</v>
      </c>
      <c r="E1185" t="s">
        <v>17</v>
      </c>
      <c r="F1185">
        <v>15</v>
      </c>
      <c r="G1185" t="s">
        <v>560</v>
      </c>
      <c r="H1185">
        <v>50</v>
      </c>
      <c r="I1185" t="s">
        <v>561</v>
      </c>
      <c r="J1185">
        <v>269</v>
      </c>
      <c r="K1185" t="s">
        <v>562</v>
      </c>
      <c r="L1185" s="13">
        <v>45083</v>
      </c>
      <c r="M1185" t="s">
        <v>3314</v>
      </c>
      <c r="N1185" t="s">
        <v>3315</v>
      </c>
      <c r="O1185">
        <v>887.73</v>
      </c>
      <c r="P1185" t="s">
        <v>565</v>
      </c>
    </row>
    <row r="1186" spans="1:16" ht="15" customHeight="1" x14ac:dyDescent="0.4">
      <c r="A1186" t="s">
        <v>15</v>
      </c>
      <c r="B1186" t="s">
        <v>16</v>
      </c>
      <c r="C1186" s="13">
        <v>44927</v>
      </c>
      <c r="D1186" s="13">
        <v>45291</v>
      </c>
      <c r="E1186" t="s">
        <v>17</v>
      </c>
      <c r="F1186">
        <v>15</v>
      </c>
      <c r="G1186" t="s">
        <v>560</v>
      </c>
      <c r="H1186">
        <v>50</v>
      </c>
      <c r="I1186" t="s">
        <v>561</v>
      </c>
      <c r="J1186">
        <v>269</v>
      </c>
      <c r="K1186" t="s">
        <v>562</v>
      </c>
      <c r="L1186" s="13">
        <v>45092</v>
      </c>
      <c r="M1186" t="s">
        <v>3316</v>
      </c>
      <c r="N1186" t="s">
        <v>3317</v>
      </c>
      <c r="O1186">
        <v>397.65</v>
      </c>
      <c r="P1186" t="s">
        <v>565</v>
      </c>
    </row>
    <row r="1187" spans="1:16" ht="15" customHeight="1" x14ac:dyDescent="0.4">
      <c r="A1187" t="s">
        <v>15</v>
      </c>
      <c r="B1187" t="s">
        <v>16</v>
      </c>
      <c r="C1187" s="13">
        <v>44927</v>
      </c>
      <c r="D1187" s="13">
        <v>45291</v>
      </c>
      <c r="E1187" t="s">
        <v>17</v>
      </c>
      <c r="F1187">
        <v>15</v>
      </c>
      <c r="G1187" t="s">
        <v>560</v>
      </c>
      <c r="H1187">
        <v>50</v>
      </c>
      <c r="I1187" t="s">
        <v>561</v>
      </c>
      <c r="J1187">
        <v>269</v>
      </c>
      <c r="K1187" t="s">
        <v>562</v>
      </c>
      <c r="L1187" s="13">
        <v>45125</v>
      </c>
      <c r="M1187" t="s">
        <v>3318</v>
      </c>
      <c r="N1187" t="s">
        <v>3319</v>
      </c>
      <c r="O1187">
        <v>329.5</v>
      </c>
      <c r="P1187" t="s">
        <v>565</v>
      </c>
    </row>
    <row r="1188" spans="1:16" ht="15" customHeight="1" x14ac:dyDescent="0.4">
      <c r="A1188" t="s">
        <v>15</v>
      </c>
      <c r="B1188" t="s">
        <v>16</v>
      </c>
      <c r="C1188" s="13">
        <v>44927</v>
      </c>
      <c r="D1188" s="13">
        <v>45291</v>
      </c>
      <c r="E1188" t="s">
        <v>17</v>
      </c>
      <c r="F1188">
        <v>15</v>
      </c>
      <c r="G1188" t="s">
        <v>560</v>
      </c>
      <c r="H1188">
        <v>50</v>
      </c>
      <c r="I1188" t="s">
        <v>561</v>
      </c>
      <c r="J1188">
        <v>269</v>
      </c>
      <c r="K1188" t="s">
        <v>562</v>
      </c>
      <c r="L1188" s="13">
        <v>45166</v>
      </c>
      <c r="M1188" t="s">
        <v>3571</v>
      </c>
      <c r="N1188" t="s">
        <v>3320</v>
      </c>
      <c r="O1188">
        <v>326.20999999999998</v>
      </c>
      <c r="P1188" t="s">
        <v>565</v>
      </c>
    </row>
    <row r="1189" spans="1:16" ht="15" customHeight="1" x14ac:dyDescent="0.4">
      <c r="A1189" t="s">
        <v>15</v>
      </c>
      <c r="B1189" t="s">
        <v>16</v>
      </c>
      <c r="C1189" s="13">
        <v>44927</v>
      </c>
      <c r="D1189" s="13">
        <v>45291</v>
      </c>
      <c r="E1189" t="s">
        <v>17</v>
      </c>
      <c r="F1189">
        <v>15</v>
      </c>
      <c r="G1189" t="s">
        <v>560</v>
      </c>
      <c r="H1189">
        <v>50</v>
      </c>
      <c r="I1189" t="s">
        <v>561</v>
      </c>
      <c r="J1189">
        <v>269</v>
      </c>
      <c r="K1189" t="s">
        <v>562</v>
      </c>
      <c r="L1189" s="13">
        <v>45183</v>
      </c>
      <c r="M1189" t="s">
        <v>3321</v>
      </c>
      <c r="N1189" t="s">
        <v>3322</v>
      </c>
      <c r="O1189">
        <v>330</v>
      </c>
      <c r="P1189" t="s">
        <v>565</v>
      </c>
    </row>
    <row r="1190" spans="1:16" ht="15" customHeight="1" x14ac:dyDescent="0.4">
      <c r="A1190" t="s">
        <v>15</v>
      </c>
      <c r="B1190" t="s">
        <v>16</v>
      </c>
      <c r="C1190" s="13">
        <v>44927</v>
      </c>
      <c r="D1190" s="13">
        <v>45291</v>
      </c>
      <c r="E1190" t="s">
        <v>17</v>
      </c>
      <c r="F1190">
        <v>15</v>
      </c>
      <c r="G1190" t="s">
        <v>560</v>
      </c>
      <c r="H1190">
        <v>50</v>
      </c>
      <c r="I1190" t="s">
        <v>561</v>
      </c>
      <c r="J1190">
        <v>269</v>
      </c>
      <c r="K1190" t="s">
        <v>562</v>
      </c>
      <c r="L1190" s="13">
        <v>45217</v>
      </c>
      <c r="M1190" t="s">
        <v>3323</v>
      </c>
      <c r="N1190" t="s">
        <v>3324</v>
      </c>
      <c r="O1190">
        <v>360.9</v>
      </c>
      <c r="P1190" t="s">
        <v>565</v>
      </c>
    </row>
    <row r="1191" spans="1:16" ht="15" customHeight="1" x14ac:dyDescent="0.4">
      <c r="A1191" t="s">
        <v>15</v>
      </c>
      <c r="B1191" t="s">
        <v>16</v>
      </c>
      <c r="C1191" s="13">
        <v>44927</v>
      </c>
      <c r="D1191" s="13">
        <v>45291</v>
      </c>
      <c r="E1191" t="s">
        <v>17</v>
      </c>
      <c r="F1191">
        <v>15</v>
      </c>
      <c r="G1191" t="s">
        <v>560</v>
      </c>
      <c r="H1191">
        <v>50</v>
      </c>
      <c r="I1191" t="s">
        <v>561</v>
      </c>
      <c r="J1191">
        <v>269</v>
      </c>
      <c r="K1191" t="s">
        <v>562</v>
      </c>
      <c r="L1191" s="13">
        <v>45251</v>
      </c>
      <c r="M1191" t="s">
        <v>3572</v>
      </c>
      <c r="N1191" t="s">
        <v>3325</v>
      </c>
      <c r="O1191">
        <v>626.09</v>
      </c>
      <c r="P1191" t="s">
        <v>565</v>
      </c>
    </row>
    <row r="1192" spans="1:16" ht="15" customHeight="1" x14ac:dyDescent="0.4">
      <c r="A1192" t="s">
        <v>15</v>
      </c>
      <c r="B1192" t="s">
        <v>16</v>
      </c>
      <c r="C1192" s="13">
        <v>44927</v>
      </c>
      <c r="D1192" s="13">
        <v>45291</v>
      </c>
      <c r="E1192" t="s">
        <v>17</v>
      </c>
      <c r="F1192">
        <v>15</v>
      </c>
      <c r="G1192" t="s">
        <v>560</v>
      </c>
      <c r="H1192">
        <v>50</v>
      </c>
      <c r="I1192" t="s">
        <v>561</v>
      </c>
      <c r="J1192">
        <v>269</v>
      </c>
      <c r="K1192" t="s">
        <v>562</v>
      </c>
      <c r="L1192" s="13">
        <v>45260</v>
      </c>
      <c r="M1192" t="s">
        <v>3573</v>
      </c>
      <c r="N1192" t="s">
        <v>3326</v>
      </c>
      <c r="O1192">
        <v>-669.2</v>
      </c>
      <c r="P1192" t="s">
        <v>565</v>
      </c>
    </row>
    <row r="1193" spans="1:16" ht="15" customHeight="1" x14ac:dyDescent="0.4">
      <c r="A1193" t="s">
        <v>15</v>
      </c>
      <c r="B1193" t="s">
        <v>16</v>
      </c>
      <c r="C1193" s="13">
        <v>44927</v>
      </c>
      <c r="D1193" s="13">
        <v>45291</v>
      </c>
      <c r="E1193" t="s">
        <v>17</v>
      </c>
      <c r="F1193">
        <v>15</v>
      </c>
      <c r="G1193" t="s">
        <v>560</v>
      </c>
      <c r="H1193">
        <v>50</v>
      </c>
      <c r="I1193" t="s">
        <v>561</v>
      </c>
      <c r="J1193">
        <v>269</v>
      </c>
      <c r="K1193" t="s">
        <v>562</v>
      </c>
      <c r="L1193" s="13">
        <v>45279</v>
      </c>
      <c r="M1193" t="s">
        <v>3574</v>
      </c>
      <c r="N1193" t="s">
        <v>3327</v>
      </c>
      <c r="O1193">
        <v>580.79999999999995</v>
      </c>
      <c r="P1193" t="s">
        <v>565</v>
      </c>
    </row>
    <row r="1194" spans="1:16" ht="15" customHeight="1" x14ac:dyDescent="0.4">
      <c r="A1194" t="s">
        <v>15</v>
      </c>
      <c r="B1194" t="s">
        <v>16</v>
      </c>
      <c r="C1194" s="13">
        <v>44927</v>
      </c>
      <c r="D1194" s="13">
        <v>45291</v>
      </c>
      <c r="E1194" t="s">
        <v>17</v>
      </c>
      <c r="F1194">
        <v>15</v>
      </c>
      <c r="G1194" t="s">
        <v>560</v>
      </c>
      <c r="H1194">
        <v>50</v>
      </c>
      <c r="I1194" t="s">
        <v>561</v>
      </c>
      <c r="J1194">
        <v>286</v>
      </c>
      <c r="K1194" t="s">
        <v>588</v>
      </c>
      <c r="L1194" s="13">
        <v>45291</v>
      </c>
      <c r="M1194" t="s">
        <v>3576</v>
      </c>
      <c r="N1194" t="s">
        <v>86</v>
      </c>
      <c r="O1194">
        <v>1770.87</v>
      </c>
      <c r="P1194" t="s">
        <v>46</v>
      </c>
    </row>
    <row r="1195" spans="1:16" ht="15" customHeight="1" x14ac:dyDescent="0.4">
      <c r="A1195" t="s">
        <v>15</v>
      </c>
      <c r="B1195" t="s">
        <v>16</v>
      </c>
      <c r="C1195" s="13">
        <v>44927</v>
      </c>
      <c r="D1195" s="13">
        <v>45291</v>
      </c>
      <c r="E1195" t="s">
        <v>17</v>
      </c>
      <c r="F1195">
        <v>15</v>
      </c>
      <c r="G1195" t="s">
        <v>560</v>
      </c>
      <c r="H1195">
        <v>50</v>
      </c>
      <c r="I1195" t="s">
        <v>561</v>
      </c>
      <c r="J1195">
        <v>289</v>
      </c>
      <c r="K1195" t="s">
        <v>615</v>
      </c>
      <c r="L1195" s="13">
        <v>45291</v>
      </c>
      <c r="M1195" t="s">
        <v>616</v>
      </c>
      <c r="N1195" t="s">
        <v>98</v>
      </c>
      <c r="O1195">
        <v>-22.62</v>
      </c>
      <c r="P1195" t="s">
        <v>46</v>
      </c>
    </row>
    <row r="1196" spans="1:16" ht="15" customHeight="1" x14ac:dyDescent="0.4">
      <c r="A1196" t="s">
        <v>15</v>
      </c>
      <c r="B1196" t="s">
        <v>16</v>
      </c>
      <c r="C1196" s="13">
        <v>44927</v>
      </c>
      <c r="D1196" s="13">
        <v>45291</v>
      </c>
      <c r="E1196" t="s">
        <v>17</v>
      </c>
      <c r="F1196">
        <v>16</v>
      </c>
      <c r="G1196" t="s">
        <v>617</v>
      </c>
      <c r="H1196">
        <v>6</v>
      </c>
      <c r="I1196" t="s">
        <v>618</v>
      </c>
      <c r="J1196">
        <v>269</v>
      </c>
      <c r="K1196" t="s">
        <v>3695</v>
      </c>
      <c r="L1196" s="13">
        <v>44948</v>
      </c>
      <c r="M1196" t="s">
        <v>3222</v>
      </c>
      <c r="N1196" t="s">
        <v>3223</v>
      </c>
      <c r="O1196">
        <v>22.19</v>
      </c>
      <c r="P1196" t="s">
        <v>52</v>
      </c>
    </row>
    <row r="1197" spans="1:16" ht="15" customHeight="1" x14ac:dyDescent="0.4">
      <c r="A1197" t="s">
        <v>15</v>
      </c>
      <c r="B1197" t="s">
        <v>16</v>
      </c>
      <c r="C1197" s="13">
        <v>44927</v>
      </c>
      <c r="D1197" s="13">
        <v>45291</v>
      </c>
      <c r="E1197" t="s">
        <v>17</v>
      </c>
      <c r="F1197">
        <v>16</v>
      </c>
      <c r="G1197" t="s">
        <v>617</v>
      </c>
      <c r="H1197">
        <v>6</v>
      </c>
      <c r="I1197" t="s">
        <v>618</v>
      </c>
      <c r="J1197">
        <v>269</v>
      </c>
      <c r="K1197" t="s">
        <v>3695</v>
      </c>
      <c r="L1197" s="13">
        <v>44981</v>
      </c>
      <c r="M1197" t="s">
        <v>3224</v>
      </c>
      <c r="N1197" t="s">
        <v>3225</v>
      </c>
      <c r="O1197">
        <v>21.16</v>
      </c>
      <c r="P1197" t="s">
        <v>52</v>
      </c>
    </row>
    <row r="1198" spans="1:16" ht="15" customHeight="1" x14ac:dyDescent="0.4">
      <c r="A1198" t="s">
        <v>15</v>
      </c>
      <c r="B1198" t="s">
        <v>16</v>
      </c>
      <c r="C1198" s="13">
        <v>44927</v>
      </c>
      <c r="D1198" s="13">
        <v>45291</v>
      </c>
      <c r="E1198" t="s">
        <v>17</v>
      </c>
      <c r="F1198">
        <v>16</v>
      </c>
      <c r="G1198" t="s">
        <v>617</v>
      </c>
      <c r="H1198">
        <v>6</v>
      </c>
      <c r="I1198" t="s">
        <v>618</v>
      </c>
      <c r="J1198">
        <v>269</v>
      </c>
      <c r="K1198" t="s">
        <v>3695</v>
      </c>
      <c r="L1198" s="13">
        <v>45028</v>
      </c>
      <c r="M1198" t="s">
        <v>3226</v>
      </c>
      <c r="N1198" t="s">
        <v>3227</v>
      </c>
      <c r="O1198">
        <v>16.09</v>
      </c>
      <c r="P1198" t="s">
        <v>52</v>
      </c>
    </row>
    <row r="1199" spans="1:16" ht="15" customHeight="1" x14ac:dyDescent="0.4">
      <c r="A1199" t="s">
        <v>15</v>
      </c>
      <c r="B1199" t="s">
        <v>16</v>
      </c>
      <c r="C1199" s="13">
        <v>44927</v>
      </c>
      <c r="D1199" s="13">
        <v>45291</v>
      </c>
      <c r="E1199" t="s">
        <v>17</v>
      </c>
      <c r="F1199">
        <v>16</v>
      </c>
      <c r="G1199" t="s">
        <v>617</v>
      </c>
      <c r="H1199">
        <v>6</v>
      </c>
      <c r="I1199" t="s">
        <v>618</v>
      </c>
      <c r="J1199">
        <v>269</v>
      </c>
      <c r="K1199" t="s">
        <v>3695</v>
      </c>
      <c r="L1199" s="13">
        <v>45038</v>
      </c>
      <c r="M1199" t="s">
        <v>3540</v>
      </c>
      <c r="N1199" t="s">
        <v>3228</v>
      </c>
      <c r="O1199">
        <v>17.170000000000002</v>
      </c>
      <c r="P1199" t="s">
        <v>52</v>
      </c>
    </row>
    <row r="1200" spans="1:16" ht="15" customHeight="1" x14ac:dyDescent="0.4">
      <c r="A1200" t="s">
        <v>15</v>
      </c>
      <c r="B1200" t="s">
        <v>16</v>
      </c>
      <c r="C1200" s="13">
        <v>44927</v>
      </c>
      <c r="D1200" s="13">
        <v>45291</v>
      </c>
      <c r="E1200" t="s">
        <v>17</v>
      </c>
      <c r="F1200">
        <v>16</v>
      </c>
      <c r="G1200" t="s">
        <v>617</v>
      </c>
      <c r="H1200">
        <v>6</v>
      </c>
      <c r="I1200" t="s">
        <v>618</v>
      </c>
      <c r="J1200">
        <v>269</v>
      </c>
      <c r="K1200" t="s">
        <v>3695</v>
      </c>
      <c r="L1200" s="13">
        <v>45069</v>
      </c>
      <c r="M1200" t="s">
        <v>3541</v>
      </c>
      <c r="N1200" t="s">
        <v>3229</v>
      </c>
      <c r="O1200">
        <v>14.28</v>
      </c>
      <c r="P1200" t="s">
        <v>52</v>
      </c>
    </row>
    <row r="1201" spans="1:16" ht="15" customHeight="1" x14ac:dyDescent="0.4">
      <c r="A1201" t="s">
        <v>15</v>
      </c>
      <c r="B1201" t="s">
        <v>16</v>
      </c>
      <c r="C1201" s="13">
        <v>44927</v>
      </c>
      <c r="D1201" s="13">
        <v>45291</v>
      </c>
      <c r="E1201" t="s">
        <v>17</v>
      </c>
      <c r="F1201">
        <v>16</v>
      </c>
      <c r="G1201" t="s">
        <v>617</v>
      </c>
      <c r="H1201">
        <v>6</v>
      </c>
      <c r="I1201" t="s">
        <v>618</v>
      </c>
      <c r="J1201">
        <v>269</v>
      </c>
      <c r="K1201" t="s">
        <v>3695</v>
      </c>
      <c r="L1201" s="13">
        <v>45103</v>
      </c>
      <c r="M1201" t="s">
        <v>3230</v>
      </c>
      <c r="N1201" t="s">
        <v>3231</v>
      </c>
      <c r="O1201">
        <v>16.93</v>
      </c>
      <c r="P1201" t="s">
        <v>52</v>
      </c>
    </row>
    <row r="1202" spans="1:16" ht="15" customHeight="1" x14ac:dyDescent="0.4">
      <c r="A1202" t="s">
        <v>15</v>
      </c>
      <c r="B1202" t="s">
        <v>16</v>
      </c>
      <c r="C1202" s="13">
        <v>44927</v>
      </c>
      <c r="D1202" s="13">
        <v>45291</v>
      </c>
      <c r="E1202" t="s">
        <v>17</v>
      </c>
      <c r="F1202">
        <v>16</v>
      </c>
      <c r="G1202" t="s">
        <v>617</v>
      </c>
      <c r="H1202">
        <v>6</v>
      </c>
      <c r="I1202" t="s">
        <v>618</v>
      </c>
      <c r="J1202">
        <v>269</v>
      </c>
      <c r="K1202" t="s">
        <v>3695</v>
      </c>
      <c r="L1202" s="13">
        <v>45131</v>
      </c>
      <c r="M1202" t="s">
        <v>3232</v>
      </c>
      <c r="N1202" t="s">
        <v>3233</v>
      </c>
      <c r="O1202">
        <v>17.63</v>
      </c>
      <c r="P1202" t="s">
        <v>52</v>
      </c>
    </row>
    <row r="1203" spans="1:16" ht="15" customHeight="1" x14ac:dyDescent="0.4">
      <c r="A1203" t="s">
        <v>15</v>
      </c>
      <c r="B1203" t="s">
        <v>16</v>
      </c>
      <c r="C1203" s="13">
        <v>44927</v>
      </c>
      <c r="D1203" s="13">
        <v>45291</v>
      </c>
      <c r="E1203" t="s">
        <v>17</v>
      </c>
      <c r="F1203">
        <v>16</v>
      </c>
      <c r="G1203" t="s">
        <v>617</v>
      </c>
      <c r="H1203">
        <v>6</v>
      </c>
      <c r="I1203" t="s">
        <v>618</v>
      </c>
      <c r="J1203">
        <v>269</v>
      </c>
      <c r="K1203" t="s">
        <v>3695</v>
      </c>
      <c r="L1203" s="13">
        <v>45160</v>
      </c>
      <c r="M1203" t="s">
        <v>3542</v>
      </c>
      <c r="N1203" t="s">
        <v>3234</v>
      </c>
      <c r="O1203">
        <v>20.03</v>
      </c>
      <c r="P1203" t="s">
        <v>52</v>
      </c>
    </row>
    <row r="1204" spans="1:16" ht="15" customHeight="1" x14ac:dyDescent="0.4">
      <c r="A1204" t="s">
        <v>15</v>
      </c>
      <c r="B1204" t="s">
        <v>16</v>
      </c>
      <c r="C1204" s="13">
        <v>44927</v>
      </c>
      <c r="D1204" s="13">
        <v>45291</v>
      </c>
      <c r="E1204" t="s">
        <v>17</v>
      </c>
      <c r="F1204">
        <v>16</v>
      </c>
      <c r="G1204" t="s">
        <v>617</v>
      </c>
      <c r="H1204">
        <v>6</v>
      </c>
      <c r="I1204" t="s">
        <v>618</v>
      </c>
      <c r="J1204">
        <v>269</v>
      </c>
      <c r="K1204" t="s">
        <v>3695</v>
      </c>
      <c r="L1204" s="13">
        <v>45194</v>
      </c>
      <c r="M1204" t="s">
        <v>3235</v>
      </c>
      <c r="N1204" t="s">
        <v>3236</v>
      </c>
      <c r="O1204">
        <v>15.81</v>
      </c>
      <c r="P1204" t="s">
        <v>52</v>
      </c>
    </row>
    <row r="1205" spans="1:16" ht="15" customHeight="1" x14ac:dyDescent="0.4">
      <c r="A1205" t="s">
        <v>15</v>
      </c>
      <c r="B1205" t="s">
        <v>16</v>
      </c>
      <c r="C1205" s="13">
        <v>44927</v>
      </c>
      <c r="D1205" s="13">
        <v>45291</v>
      </c>
      <c r="E1205" t="s">
        <v>17</v>
      </c>
      <c r="F1205">
        <v>16</v>
      </c>
      <c r="G1205" t="s">
        <v>617</v>
      </c>
      <c r="H1205">
        <v>6</v>
      </c>
      <c r="I1205" t="s">
        <v>618</v>
      </c>
      <c r="J1205">
        <v>269</v>
      </c>
      <c r="K1205" t="s">
        <v>3695</v>
      </c>
      <c r="L1205" s="13">
        <v>45222</v>
      </c>
      <c r="M1205" t="s">
        <v>3543</v>
      </c>
      <c r="N1205" t="s">
        <v>3237</v>
      </c>
      <c r="O1205">
        <v>22.67</v>
      </c>
      <c r="P1205" t="s">
        <v>52</v>
      </c>
    </row>
    <row r="1206" spans="1:16" ht="15" customHeight="1" x14ac:dyDescent="0.4">
      <c r="A1206" t="s">
        <v>15</v>
      </c>
      <c r="B1206" t="s">
        <v>16</v>
      </c>
      <c r="C1206" s="13">
        <v>44927</v>
      </c>
      <c r="D1206" s="13">
        <v>45291</v>
      </c>
      <c r="E1206" t="s">
        <v>17</v>
      </c>
      <c r="F1206">
        <v>16</v>
      </c>
      <c r="G1206" t="s">
        <v>617</v>
      </c>
      <c r="H1206">
        <v>6</v>
      </c>
      <c r="I1206" t="s">
        <v>618</v>
      </c>
      <c r="J1206">
        <v>269</v>
      </c>
      <c r="K1206" t="s">
        <v>3695</v>
      </c>
      <c r="L1206" s="13">
        <v>45253</v>
      </c>
      <c r="M1206" t="s">
        <v>3544</v>
      </c>
      <c r="N1206" t="s">
        <v>3238</v>
      </c>
      <c r="O1206">
        <v>21.29</v>
      </c>
      <c r="P1206" t="s">
        <v>52</v>
      </c>
    </row>
    <row r="1207" spans="1:16" ht="15" customHeight="1" x14ac:dyDescent="0.4">
      <c r="A1207" t="s">
        <v>15</v>
      </c>
      <c r="B1207" t="s">
        <v>16</v>
      </c>
      <c r="C1207" s="13">
        <v>44927</v>
      </c>
      <c r="D1207" s="13">
        <v>45291</v>
      </c>
      <c r="E1207" t="s">
        <v>17</v>
      </c>
      <c r="F1207">
        <v>16</v>
      </c>
      <c r="G1207" t="s">
        <v>617</v>
      </c>
      <c r="H1207">
        <v>6</v>
      </c>
      <c r="I1207" t="s">
        <v>618</v>
      </c>
      <c r="J1207">
        <v>269</v>
      </c>
      <c r="K1207" t="s">
        <v>3695</v>
      </c>
      <c r="L1207" s="13">
        <v>45286</v>
      </c>
      <c r="M1207" t="s">
        <v>3545</v>
      </c>
      <c r="N1207" t="s">
        <v>2925</v>
      </c>
      <c r="O1207">
        <v>20.74</v>
      </c>
      <c r="P1207" t="s">
        <v>52</v>
      </c>
    </row>
    <row r="1208" spans="1:16" ht="15" customHeight="1" x14ac:dyDescent="0.4">
      <c r="A1208" t="s">
        <v>15</v>
      </c>
      <c r="B1208" t="s">
        <v>16</v>
      </c>
      <c r="C1208" s="13">
        <v>44927</v>
      </c>
      <c r="D1208" s="13">
        <v>45291</v>
      </c>
      <c r="E1208" t="s">
        <v>30</v>
      </c>
      <c r="F1208">
        <v>17</v>
      </c>
      <c r="G1208" t="s">
        <v>619</v>
      </c>
      <c r="H1208">
        <v>6</v>
      </c>
      <c r="I1208" t="s">
        <v>620</v>
      </c>
      <c r="J1208">
        <v>106</v>
      </c>
      <c r="K1208" t="s">
        <v>422</v>
      </c>
      <c r="L1208" s="13">
        <v>45049</v>
      </c>
      <c r="M1208" t="s">
        <v>3577</v>
      </c>
      <c r="N1208" t="s">
        <v>3328</v>
      </c>
      <c r="O1208">
        <v>848.1</v>
      </c>
      <c r="P1208" t="s">
        <v>1941</v>
      </c>
    </row>
    <row r="1209" spans="1:16" ht="15" customHeight="1" x14ac:dyDescent="0.4">
      <c r="A1209" t="s">
        <v>15</v>
      </c>
      <c r="B1209" t="s">
        <v>16</v>
      </c>
      <c r="C1209" s="13">
        <v>44927</v>
      </c>
      <c r="D1209" s="13">
        <v>45291</v>
      </c>
      <c r="E1209" t="s">
        <v>30</v>
      </c>
      <c r="F1209">
        <v>17</v>
      </c>
      <c r="G1209" t="s">
        <v>619</v>
      </c>
      <c r="H1209">
        <v>6</v>
      </c>
      <c r="I1209" t="s">
        <v>620</v>
      </c>
      <c r="J1209">
        <v>116</v>
      </c>
      <c r="K1209" t="s">
        <v>469</v>
      </c>
      <c r="L1209" s="13">
        <v>44984</v>
      </c>
      <c r="M1209" t="s">
        <v>3578</v>
      </c>
      <c r="N1209" t="s">
        <v>3329</v>
      </c>
      <c r="O1209">
        <v>193.82</v>
      </c>
      <c r="P1209" t="s">
        <v>965</v>
      </c>
    </row>
    <row r="1210" spans="1:16" ht="15" customHeight="1" x14ac:dyDescent="0.4">
      <c r="A1210" t="s">
        <v>15</v>
      </c>
      <c r="B1210" t="s">
        <v>16</v>
      </c>
      <c r="C1210" s="13">
        <v>44927</v>
      </c>
      <c r="D1210" s="13">
        <v>45291</v>
      </c>
      <c r="E1210" t="s">
        <v>17</v>
      </c>
      <c r="F1210">
        <v>17</v>
      </c>
      <c r="G1210" t="s">
        <v>619</v>
      </c>
      <c r="H1210">
        <v>6</v>
      </c>
      <c r="I1210" t="s">
        <v>620</v>
      </c>
      <c r="J1210">
        <v>269</v>
      </c>
      <c r="K1210" t="s">
        <v>3695</v>
      </c>
      <c r="L1210" s="13">
        <v>44948</v>
      </c>
      <c r="M1210" t="s">
        <v>3222</v>
      </c>
      <c r="N1210" t="s">
        <v>3223</v>
      </c>
      <c r="O1210">
        <v>22.19</v>
      </c>
      <c r="P1210" t="s">
        <v>52</v>
      </c>
    </row>
    <row r="1211" spans="1:16" ht="15" customHeight="1" x14ac:dyDescent="0.4">
      <c r="A1211" t="s">
        <v>15</v>
      </c>
      <c r="B1211" t="s">
        <v>16</v>
      </c>
      <c r="C1211" s="13">
        <v>44927</v>
      </c>
      <c r="D1211" s="13">
        <v>45291</v>
      </c>
      <c r="E1211" t="s">
        <v>17</v>
      </c>
      <c r="F1211">
        <v>17</v>
      </c>
      <c r="G1211" t="s">
        <v>619</v>
      </c>
      <c r="H1211">
        <v>6</v>
      </c>
      <c r="I1211" t="s">
        <v>620</v>
      </c>
      <c r="J1211">
        <v>269</v>
      </c>
      <c r="K1211" t="s">
        <v>3695</v>
      </c>
      <c r="L1211" s="13">
        <v>44981</v>
      </c>
      <c r="M1211" t="s">
        <v>3224</v>
      </c>
      <c r="N1211" t="s">
        <v>3225</v>
      </c>
      <c r="O1211">
        <v>21.16</v>
      </c>
      <c r="P1211" t="s">
        <v>52</v>
      </c>
    </row>
    <row r="1212" spans="1:16" ht="15" customHeight="1" x14ac:dyDescent="0.4">
      <c r="A1212" t="s">
        <v>15</v>
      </c>
      <c r="B1212" t="s">
        <v>16</v>
      </c>
      <c r="C1212" s="13">
        <v>44927</v>
      </c>
      <c r="D1212" s="13">
        <v>45291</v>
      </c>
      <c r="E1212" t="s">
        <v>17</v>
      </c>
      <c r="F1212">
        <v>17</v>
      </c>
      <c r="G1212" t="s">
        <v>619</v>
      </c>
      <c r="H1212">
        <v>6</v>
      </c>
      <c r="I1212" t="s">
        <v>620</v>
      </c>
      <c r="J1212">
        <v>269</v>
      </c>
      <c r="K1212" t="s">
        <v>3695</v>
      </c>
      <c r="L1212" s="13">
        <v>45028</v>
      </c>
      <c r="M1212" t="s">
        <v>3226</v>
      </c>
      <c r="N1212" t="s">
        <v>3227</v>
      </c>
      <c r="O1212">
        <v>16.09</v>
      </c>
      <c r="P1212" t="s">
        <v>52</v>
      </c>
    </row>
    <row r="1213" spans="1:16" ht="15" customHeight="1" x14ac:dyDescent="0.4">
      <c r="A1213" t="s">
        <v>15</v>
      </c>
      <c r="B1213" t="s">
        <v>16</v>
      </c>
      <c r="C1213" s="13">
        <v>44927</v>
      </c>
      <c r="D1213" s="13">
        <v>45291</v>
      </c>
      <c r="E1213" t="s">
        <v>17</v>
      </c>
      <c r="F1213">
        <v>17</v>
      </c>
      <c r="G1213" t="s">
        <v>619</v>
      </c>
      <c r="H1213">
        <v>6</v>
      </c>
      <c r="I1213" t="s">
        <v>620</v>
      </c>
      <c r="J1213">
        <v>269</v>
      </c>
      <c r="K1213" t="s">
        <v>3695</v>
      </c>
      <c r="L1213" s="13">
        <v>45038</v>
      </c>
      <c r="M1213" t="s">
        <v>3540</v>
      </c>
      <c r="N1213" t="s">
        <v>3228</v>
      </c>
      <c r="O1213">
        <v>17.170000000000002</v>
      </c>
      <c r="P1213" t="s">
        <v>52</v>
      </c>
    </row>
    <row r="1214" spans="1:16" ht="15" customHeight="1" x14ac:dyDescent="0.4">
      <c r="A1214" t="s">
        <v>15</v>
      </c>
      <c r="B1214" t="s">
        <v>16</v>
      </c>
      <c r="C1214" s="13">
        <v>44927</v>
      </c>
      <c r="D1214" s="13">
        <v>45291</v>
      </c>
      <c r="E1214" t="s">
        <v>17</v>
      </c>
      <c r="F1214">
        <v>17</v>
      </c>
      <c r="G1214" t="s">
        <v>619</v>
      </c>
      <c r="H1214">
        <v>6</v>
      </c>
      <c r="I1214" t="s">
        <v>620</v>
      </c>
      <c r="J1214">
        <v>269</v>
      </c>
      <c r="K1214" t="s">
        <v>3695</v>
      </c>
      <c r="L1214" s="13">
        <v>45069</v>
      </c>
      <c r="M1214" t="s">
        <v>3541</v>
      </c>
      <c r="N1214" t="s">
        <v>3229</v>
      </c>
      <c r="O1214">
        <v>14.28</v>
      </c>
      <c r="P1214" t="s">
        <v>52</v>
      </c>
    </row>
    <row r="1215" spans="1:16" ht="15" customHeight="1" x14ac:dyDescent="0.4">
      <c r="A1215" t="s">
        <v>15</v>
      </c>
      <c r="B1215" t="s">
        <v>16</v>
      </c>
      <c r="C1215" s="13">
        <v>44927</v>
      </c>
      <c r="D1215" s="13">
        <v>45291</v>
      </c>
      <c r="E1215" t="s">
        <v>17</v>
      </c>
      <c r="F1215">
        <v>17</v>
      </c>
      <c r="G1215" t="s">
        <v>619</v>
      </c>
      <c r="H1215">
        <v>6</v>
      </c>
      <c r="I1215" t="s">
        <v>620</v>
      </c>
      <c r="J1215">
        <v>269</v>
      </c>
      <c r="K1215" t="s">
        <v>3695</v>
      </c>
      <c r="L1215" s="13">
        <v>45103</v>
      </c>
      <c r="M1215" t="s">
        <v>3230</v>
      </c>
      <c r="N1215" t="s">
        <v>3231</v>
      </c>
      <c r="O1215">
        <v>16.93</v>
      </c>
      <c r="P1215" t="s">
        <v>52</v>
      </c>
    </row>
    <row r="1216" spans="1:16" ht="15" customHeight="1" x14ac:dyDescent="0.4">
      <c r="A1216" t="s">
        <v>15</v>
      </c>
      <c r="B1216" t="s">
        <v>16</v>
      </c>
      <c r="C1216" s="13">
        <v>44927</v>
      </c>
      <c r="D1216" s="13">
        <v>45291</v>
      </c>
      <c r="E1216" t="s">
        <v>17</v>
      </c>
      <c r="F1216">
        <v>17</v>
      </c>
      <c r="G1216" t="s">
        <v>619</v>
      </c>
      <c r="H1216">
        <v>6</v>
      </c>
      <c r="I1216" t="s">
        <v>620</v>
      </c>
      <c r="J1216">
        <v>269</v>
      </c>
      <c r="K1216" t="s">
        <v>3695</v>
      </c>
      <c r="L1216" s="13">
        <v>45131</v>
      </c>
      <c r="M1216" t="s">
        <v>3232</v>
      </c>
      <c r="N1216" t="s">
        <v>3233</v>
      </c>
      <c r="O1216">
        <v>17.63</v>
      </c>
      <c r="P1216" t="s">
        <v>52</v>
      </c>
    </row>
    <row r="1217" spans="1:16" ht="15" customHeight="1" x14ac:dyDescent="0.4">
      <c r="A1217" t="s">
        <v>15</v>
      </c>
      <c r="B1217" t="s">
        <v>16</v>
      </c>
      <c r="C1217" s="13">
        <v>44927</v>
      </c>
      <c r="D1217" s="13">
        <v>45291</v>
      </c>
      <c r="E1217" t="s">
        <v>17</v>
      </c>
      <c r="F1217">
        <v>17</v>
      </c>
      <c r="G1217" t="s">
        <v>619</v>
      </c>
      <c r="H1217">
        <v>6</v>
      </c>
      <c r="I1217" t="s">
        <v>620</v>
      </c>
      <c r="J1217">
        <v>269</v>
      </c>
      <c r="K1217" t="s">
        <v>3695</v>
      </c>
      <c r="L1217" s="13">
        <v>45160</v>
      </c>
      <c r="M1217" t="s">
        <v>3542</v>
      </c>
      <c r="N1217" t="s">
        <v>3234</v>
      </c>
      <c r="O1217">
        <v>20.03</v>
      </c>
      <c r="P1217" t="s">
        <v>52</v>
      </c>
    </row>
    <row r="1218" spans="1:16" ht="15" customHeight="1" x14ac:dyDescent="0.4">
      <c r="A1218" t="s">
        <v>15</v>
      </c>
      <c r="B1218" t="s">
        <v>16</v>
      </c>
      <c r="C1218" s="13">
        <v>44927</v>
      </c>
      <c r="D1218" s="13">
        <v>45291</v>
      </c>
      <c r="E1218" t="s">
        <v>17</v>
      </c>
      <c r="F1218">
        <v>17</v>
      </c>
      <c r="G1218" t="s">
        <v>619</v>
      </c>
      <c r="H1218">
        <v>6</v>
      </c>
      <c r="I1218" t="s">
        <v>620</v>
      </c>
      <c r="J1218">
        <v>269</v>
      </c>
      <c r="K1218" t="s">
        <v>3695</v>
      </c>
      <c r="L1218" s="13">
        <v>45194</v>
      </c>
      <c r="M1218" t="s">
        <v>3235</v>
      </c>
      <c r="N1218" t="s">
        <v>3236</v>
      </c>
      <c r="O1218">
        <v>15.81</v>
      </c>
      <c r="P1218" t="s">
        <v>52</v>
      </c>
    </row>
    <row r="1219" spans="1:16" ht="15" customHeight="1" x14ac:dyDescent="0.4">
      <c r="A1219" t="s">
        <v>15</v>
      </c>
      <c r="B1219" t="s">
        <v>16</v>
      </c>
      <c r="C1219" s="13">
        <v>44927</v>
      </c>
      <c r="D1219" s="13">
        <v>45291</v>
      </c>
      <c r="E1219" t="s">
        <v>17</v>
      </c>
      <c r="F1219">
        <v>17</v>
      </c>
      <c r="G1219" t="s">
        <v>619</v>
      </c>
      <c r="H1219">
        <v>6</v>
      </c>
      <c r="I1219" t="s">
        <v>620</v>
      </c>
      <c r="J1219">
        <v>269</v>
      </c>
      <c r="K1219" t="s">
        <v>3695</v>
      </c>
      <c r="L1219" s="13">
        <v>45222</v>
      </c>
      <c r="M1219" t="s">
        <v>3543</v>
      </c>
      <c r="N1219" t="s">
        <v>3237</v>
      </c>
      <c r="O1219">
        <v>22.67</v>
      </c>
      <c r="P1219" t="s">
        <v>52</v>
      </c>
    </row>
    <row r="1220" spans="1:16" ht="15" customHeight="1" x14ac:dyDescent="0.4">
      <c r="A1220" t="s">
        <v>15</v>
      </c>
      <c r="B1220" t="s">
        <v>16</v>
      </c>
      <c r="C1220" s="13">
        <v>44927</v>
      </c>
      <c r="D1220" s="13">
        <v>45291</v>
      </c>
      <c r="E1220" t="s">
        <v>17</v>
      </c>
      <c r="F1220">
        <v>17</v>
      </c>
      <c r="G1220" t="s">
        <v>619</v>
      </c>
      <c r="H1220">
        <v>6</v>
      </c>
      <c r="I1220" t="s">
        <v>620</v>
      </c>
      <c r="J1220">
        <v>269</v>
      </c>
      <c r="K1220" t="s">
        <v>3695</v>
      </c>
      <c r="L1220" s="13">
        <v>45253</v>
      </c>
      <c r="M1220" t="s">
        <v>3544</v>
      </c>
      <c r="N1220" t="s">
        <v>3238</v>
      </c>
      <c r="O1220">
        <v>21.29</v>
      </c>
      <c r="P1220" t="s">
        <v>52</v>
      </c>
    </row>
    <row r="1221" spans="1:16" ht="15" customHeight="1" x14ac:dyDescent="0.4">
      <c r="A1221" t="s">
        <v>15</v>
      </c>
      <c r="B1221" t="s">
        <v>16</v>
      </c>
      <c r="C1221" s="13">
        <v>44927</v>
      </c>
      <c r="D1221" s="13">
        <v>45291</v>
      </c>
      <c r="E1221" t="s">
        <v>17</v>
      </c>
      <c r="F1221">
        <v>17</v>
      </c>
      <c r="G1221" t="s">
        <v>619</v>
      </c>
      <c r="H1221">
        <v>6</v>
      </c>
      <c r="I1221" t="s">
        <v>620</v>
      </c>
      <c r="J1221">
        <v>269</v>
      </c>
      <c r="K1221" t="s">
        <v>3695</v>
      </c>
      <c r="L1221" s="13">
        <v>45286</v>
      </c>
      <c r="M1221" t="s">
        <v>3545</v>
      </c>
      <c r="N1221" t="s">
        <v>2925</v>
      </c>
      <c r="O1221">
        <v>20.74</v>
      </c>
      <c r="P1221" t="s">
        <v>52</v>
      </c>
    </row>
    <row r="1222" spans="1:16" ht="15" customHeight="1" x14ac:dyDescent="0.4">
      <c r="A1222" t="s">
        <v>15</v>
      </c>
      <c r="B1222" t="s">
        <v>16</v>
      </c>
      <c r="C1222" s="13">
        <v>44562</v>
      </c>
      <c r="D1222" s="13">
        <v>44926</v>
      </c>
      <c r="E1222" t="s">
        <v>17</v>
      </c>
      <c r="F1222">
        <v>0</v>
      </c>
      <c r="G1222" t="s">
        <v>18</v>
      </c>
      <c r="H1222">
        <v>1</v>
      </c>
      <c r="I1222" t="s">
        <v>19</v>
      </c>
      <c r="J1222">
        <v>171</v>
      </c>
      <c r="K1222" t="s">
        <v>20</v>
      </c>
      <c r="L1222" s="13">
        <v>44636</v>
      </c>
      <c r="M1222" t="s">
        <v>21</v>
      </c>
      <c r="N1222" t="s">
        <v>22</v>
      </c>
      <c r="O1222">
        <v>426</v>
      </c>
      <c r="P1222" t="s">
        <v>23</v>
      </c>
    </row>
    <row r="1223" spans="1:16" ht="15" customHeight="1" x14ac:dyDescent="0.4">
      <c r="A1223" t="s">
        <v>15</v>
      </c>
      <c r="B1223" t="s">
        <v>16</v>
      </c>
      <c r="C1223" s="13">
        <v>44562</v>
      </c>
      <c r="D1223" s="13">
        <v>44926</v>
      </c>
      <c r="E1223" t="s">
        <v>17</v>
      </c>
      <c r="F1223">
        <v>0</v>
      </c>
      <c r="G1223" t="s">
        <v>18</v>
      </c>
      <c r="H1223">
        <v>1</v>
      </c>
      <c r="I1223" t="s">
        <v>19</v>
      </c>
      <c r="J1223">
        <v>171</v>
      </c>
      <c r="K1223" t="s">
        <v>20</v>
      </c>
      <c r="L1223" s="13">
        <v>44769</v>
      </c>
      <c r="M1223" t="s">
        <v>24</v>
      </c>
      <c r="N1223" t="s">
        <v>25</v>
      </c>
      <c r="O1223">
        <v>1800</v>
      </c>
      <c r="P1223" t="s">
        <v>23</v>
      </c>
    </row>
    <row r="1224" spans="1:16" ht="15" customHeight="1" x14ac:dyDescent="0.4">
      <c r="A1224" t="s">
        <v>15</v>
      </c>
      <c r="B1224" t="s">
        <v>16</v>
      </c>
      <c r="C1224" s="13">
        <v>44562</v>
      </c>
      <c r="D1224" s="13">
        <v>44926</v>
      </c>
      <c r="E1224" t="s">
        <v>17</v>
      </c>
      <c r="F1224">
        <v>0</v>
      </c>
      <c r="G1224" t="s">
        <v>18</v>
      </c>
      <c r="H1224">
        <v>1</v>
      </c>
      <c r="I1224" t="s">
        <v>19</v>
      </c>
      <c r="J1224">
        <v>171</v>
      </c>
      <c r="K1224" t="s">
        <v>20</v>
      </c>
      <c r="L1224" s="13">
        <v>44798</v>
      </c>
      <c r="M1224" t="s">
        <v>26</v>
      </c>
      <c r="N1224" t="s">
        <v>27</v>
      </c>
      <c r="O1224">
        <v>240</v>
      </c>
      <c r="P1224" t="s">
        <v>23</v>
      </c>
    </row>
    <row r="1225" spans="1:16" ht="15" customHeight="1" x14ac:dyDescent="0.4">
      <c r="A1225" t="s">
        <v>15</v>
      </c>
      <c r="B1225" t="s">
        <v>16</v>
      </c>
      <c r="C1225" s="13">
        <v>44562</v>
      </c>
      <c r="D1225" s="13">
        <v>44926</v>
      </c>
      <c r="E1225" t="s">
        <v>17</v>
      </c>
      <c r="F1225">
        <v>0</v>
      </c>
      <c r="G1225" t="s">
        <v>18</v>
      </c>
      <c r="H1225">
        <v>1</v>
      </c>
      <c r="I1225" t="s">
        <v>19</v>
      </c>
      <c r="J1225">
        <v>171</v>
      </c>
      <c r="K1225" t="s">
        <v>20</v>
      </c>
      <c r="L1225" s="13">
        <v>44803</v>
      </c>
      <c r="M1225" t="s">
        <v>28</v>
      </c>
      <c r="N1225" t="s">
        <v>29</v>
      </c>
      <c r="O1225">
        <v>120</v>
      </c>
      <c r="P1225" t="s">
        <v>23</v>
      </c>
    </row>
    <row r="1226" spans="1:16" ht="15" customHeight="1" x14ac:dyDescent="0.4">
      <c r="A1226" t="s">
        <v>15</v>
      </c>
      <c r="B1226" t="s">
        <v>16</v>
      </c>
      <c r="C1226" s="13">
        <v>44562</v>
      </c>
      <c r="D1226" s="13">
        <v>44926</v>
      </c>
      <c r="E1226" t="s">
        <v>30</v>
      </c>
      <c r="F1226">
        <v>0</v>
      </c>
      <c r="G1226" t="s">
        <v>18</v>
      </c>
      <c r="H1226">
        <v>1</v>
      </c>
      <c r="I1226" t="s">
        <v>19</v>
      </c>
      <c r="J1226">
        <v>233</v>
      </c>
      <c r="K1226" t="s">
        <v>31</v>
      </c>
      <c r="L1226" s="13">
        <v>44616</v>
      </c>
      <c r="M1226" t="s">
        <v>32</v>
      </c>
      <c r="N1226" t="s">
        <v>33</v>
      </c>
      <c r="O1226">
        <v>329.82</v>
      </c>
      <c r="P1226" t="s">
        <v>34</v>
      </c>
    </row>
    <row r="1227" spans="1:16" ht="15" customHeight="1" x14ac:dyDescent="0.4">
      <c r="A1227" t="s">
        <v>15</v>
      </c>
      <c r="B1227" t="s">
        <v>16</v>
      </c>
      <c r="C1227" s="13">
        <v>44562</v>
      </c>
      <c r="D1227" s="13">
        <v>44926</v>
      </c>
      <c r="E1227" t="s">
        <v>30</v>
      </c>
      <c r="F1227">
        <v>0</v>
      </c>
      <c r="G1227" t="s">
        <v>18</v>
      </c>
      <c r="H1227">
        <v>1</v>
      </c>
      <c r="I1227" t="s">
        <v>19</v>
      </c>
      <c r="J1227">
        <v>233</v>
      </c>
      <c r="K1227" t="s">
        <v>31</v>
      </c>
      <c r="L1227" s="13">
        <v>44616</v>
      </c>
      <c r="M1227" t="s">
        <v>35</v>
      </c>
      <c r="N1227" t="s">
        <v>36</v>
      </c>
      <c r="O1227">
        <v>300</v>
      </c>
      <c r="P1227" t="s">
        <v>34</v>
      </c>
    </row>
    <row r="1228" spans="1:16" ht="15" customHeight="1" x14ac:dyDescent="0.4">
      <c r="A1228" t="s">
        <v>15</v>
      </c>
      <c r="B1228" t="s">
        <v>16</v>
      </c>
      <c r="C1228" s="13">
        <v>44562</v>
      </c>
      <c r="D1228" s="13">
        <v>44926</v>
      </c>
      <c r="E1228" t="s">
        <v>30</v>
      </c>
      <c r="F1228">
        <v>0</v>
      </c>
      <c r="G1228" t="s">
        <v>18</v>
      </c>
      <c r="H1228">
        <v>1</v>
      </c>
      <c r="I1228" t="s">
        <v>19</v>
      </c>
      <c r="J1228">
        <v>233</v>
      </c>
      <c r="K1228" t="s">
        <v>31</v>
      </c>
      <c r="L1228" s="13">
        <v>44860</v>
      </c>
      <c r="M1228" t="s">
        <v>35</v>
      </c>
      <c r="N1228" t="s">
        <v>39</v>
      </c>
      <c r="O1228">
        <v>300</v>
      </c>
      <c r="P1228" t="s">
        <v>34</v>
      </c>
    </row>
    <row r="1229" spans="1:16" ht="15" customHeight="1" x14ac:dyDescent="0.4">
      <c r="A1229" t="s">
        <v>15</v>
      </c>
      <c r="B1229" t="s">
        <v>16</v>
      </c>
      <c r="C1229" s="13">
        <v>44562</v>
      </c>
      <c r="D1229" s="13">
        <v>44926</v>
      </c>
      <c r="E1229" t="s">
        <v>30</v>
      </c>
      <c r="F1229">
        <v>0</v>
      </c>
      <c r="G1229" t="s">
        <v>18</v>
      </c>
      <c r="H1229">
        <v>1</v>
      </c>
      <c r="I1229" t="s">
        <v>19</v>
      </c>
      <c r="J1229">
        <v>233</v>
      </c>
      <c r="K1229" t="s">
        <v>31</v>
      </c>
      <c r="L1229" s="13">
        <v>44860</v>
      </c>
      <c r="M1229" t="s">
        <v>37</v>
      </c>
      <c r="N1229" t="s">
        <v>38</v>
      </c>
      <c r="O1229">
        <v>433.06</v>
      </c>
      <c r="P1229" t="s">
        <v>34</v>
      </c>
    </row>
    <row r="1230" spans="1:16" ht="15" customHeight="1" x14ac:dyDescent="0.4">
      <c r="A1230" t="s">
        <v>15</v>
      </c>
      <c r="B1230" t="s">
        <v>16</v>
      </c>
      <c r="C1230" s="13">
        <v>44562</v>
      </c>
      <c r="D1230" s="13">
        <v>44926</v>
      </c>
      <c r="E1230" t="s">
        <v>17</v>
      </c>
      <c r="F1230">
        <v>0</v>
      </c>
      <c r="G1230" t="s">
        <v>18</v>
      </c>
      <c r="H1230">
        <v>1</v>
      </c>
      <c r="I1230" t="s">
        <v>19</v>
      </c>
      <c r="J1230">
        <v>242</v>
      </c>
      <c r="K1230" t="s">
        <v>40</v>
      </c>
      <c r="L1230" s="13">
        <v>44583</v>
      </c>
      <c r="M1230" t="s">
        <v>41</v>
      </c>
      <c r="N1230" t="s">
        <v>42</v>
      </c>
      <c r="O1230">
        <v>1607.11</v>
      </c>
      <c r="P1230" t="s">
        <v>43</v>
      </c>
    </row>
    <row r="1231" spans="1:16" ht="15" customHeight="1" x14ac:dyDescent="0.4">
      <c r="A1231" t="s">
        <v>15</v>
      </c>
      <c r="B1231" t="s">
        <v>16</v>
      </c>
      <c r="C1231" s="13">
        <v>44562</v>
      </c>
      <c r="D1231" s="13">
        <v>44926</v>
      </c>
      <c r="E1231" t="s">
        <v>17</v>
      </c>
      <c r="F1231">
        <v>0</v>
      </c>
      <c r="G1231" t="s">
        <v>18</v>
      </c>
      <c r="H1231">
        <v>1</v>
      </c>
      <c r="I1231" t="s">
        <v>19</v>
      </c>
      <c r="J1231">
        <v>242</v>
      </c>
      <c r="K1231" t="s">
        <v>40</v>
      </c>
      <c r="L1231" s="13">
        <v>44926</v>
      </c>
      <c r="M1231" t="s">
        <v>44</v>
      </c>
      <c r="N1231" t="s">
        <v>45</v>
      </c>
      <c r="O1231">
        <v>-348.37</v>
      </c>
      <c r="P1231" t="s">
        <v>46</v>
      </c>
    </row>
    <row r="1232" spans="1:16" ht="15" customHeight="1" x14ac:dyDescent="0.4">
      <c r="A1232" t="s">
        <v>15</v>
      </c>
      <c r="B1232" t="s">
        <v>16</v>
      </c>
      <c r="C1232" s="13">
        <v>44562</v>
      </c>
      <c r="D1232" s="13">
        <v>44926</v>
      </c>
      <c r="E1232" t="s">
        <v>17</v>
      </c>
      <c r="F1232">
        <v>0</v>
      </c>
      <c r="G1232" t="s">
        <v>18</v>
      </c>
      <c r="H1232">
        <v>1</v>
      </c>
      <c r="I1232" t="s">
        <v>19</v>
      </c>
      <c r="J1232">
        <v>242</v>
      </c>
      <c r="K1232" t="s">
        <v>40</v>
      </c>
      <c r="L1232" s="13">
        <v>44926</v>
      </c>
      <c r="M1232" t="s">
        <v>48</v>
      </c>
      <c r="N1232" t="s">
        <v>45</v>
      </c>
      <c r="O1232">
        <v>-116.12</v>
      </c>
      <c r="P1232" t="s">
        <v>46</v>
      </c>
    </row>
    <row r="1233" spans="1:16" ht="15" customHeight="1" x14ac:dyDescent="0.4">
      <c r="A1233" t="s">
        <v>15</v>
      </c>
      <c r="B1233" t="s">
        <v>16</v>
      </c>
      <c r="C1233" s="13">
        <v>44562</v>
      </c>
      <c r="D1233" s="13">
        <v>44926</v>
      </c>
      <c r="E1233" t="s">
        <v>17</v>
      </c>
      <c r="F1233">
        <v>0</v>
      </c>
      <c r="G1233" t="s">
        <v>18</v>
      </c>
      <c r="H1233">
        <v>1</v>
      </c>
      <c r="I1233" t="s">
        <v>19</v>
      </c>
      <c r="J1233">
        <v>242</v>
      </c>
      <c r="K1233" t="s">
        <v>40</v>
      </c>
      <c r="L1233" s="13">
        <v>44926</v>
      </c>
      <c r="M1233" t="s">
        <v>47</v>
      </c>
      <c r="N1233" t="s">
        <v>45</v>
      </c>
      <c r="O1233">
        <v>-464.5</v>
      </c>
      <c r="P1233" t="s">
        <v>46</v>
      </c>
    </row>
    <row r="1234" spans="1:16" ht="15" customHeight="1" x14ac:dyDescent="0.4">
      <c r="A1234" t="s">
        <v>15</v>
      </c>
      <c r="B1234" t="s">
        <v>16</v>
      </c>
      <c r="C1234" s="13">
        <v>44562</v>
      </c>
      <c r="D1234" s="13">
        <v>44926</v>
      </c>
      <c r="E1234" t="s">
        <v>17</v>
      </c>
      <c r="F1234">
        <v>0</v>
      </c>
      <c r="G1234" t="s">
        <v>18</v>
      </c>
      <c r="H1234">
        <v>1</v>
      </c>
      <c r="I1234" t="s">
        <v>19</v>
      </c>
      <c r="J1234">
        <v>268</v>
      </c>
      <c r="K1234" t="s">
        <v>3585</v>
      </c>
      <c r="L1234" s="13">
        <v>44581</v>
      </c>
      <c r="M1234" t="s">
        <v>50</v>
      </c>
      <c r="N1234" t="s">
        <v>51</v>
      </c>
      <c r="O1234">
        <v>4.8600000000000003</v>
      </c>
      <c r="P1234" t="s">
        <v>52</v>
      </c>
    </row>
    <row r="1235" spans="1:16" ht="15" customHeight="1" x14ac:dyDescent="0.4">
      <c r="A1235" t="s">
        <v>15</v>
      </c>
      <c r="B1235" t="s">
        <v>16</v>
      </c>
      <c r="C1235" s="13">
        <v>44562</v>
      </c>
      <c r="D1235" s="13">
        <v>44926</v>
      </c>
      <c r="E1235" t="s">
        <v>17</v>
      </c>
      <c r="F1235">
        <v>0</v>
      </c>
      <c r="G1235" t="s">
        <v>18</v>
      </c>
      <c r="H1235">
        <v>1</v>
      </c>
      <c r="I1235" t="s">
        <v>19</v>
      </c>
      <c r="J1235">
        <v>268</v>
      </c>
      <c r="K1235" t="s">
        <v>3585</v>
      </c>
      <c r="L1235" s="13">
        <v>44612</v>
      </c>
      <c r="M1235" t="s">
        <v>53</v>
      </c>
      <c r="N1235" t="s">
        <v>54</v>
      </c>
      <c r="O1235">
        <v>3.73</v>
      </c>
      <c r="P1235" t="s">
        <v>52</v>
      </c>
    </row>
    <row r="1236" spans="1:16" ht="15" customHeight="1" x14ac:dyDescent="0.4">
      <c r="A1236" t="s">
        <v>15</v>
      </c>
      <c r="B1236" t="s">
        <v>16</v>
      </c>
      <c r="C1236" s="13">
        <v>44562</v>
      </c>
      <c r="D1236" s="13">
        <v>44926</v>
      </c>
      <c r="E1236" t="s">
        <v>17</v>
      </c>
      <c r="F1236">
        <v>0</v>
      </c>
      <c r="G1236" t="s">
        <v>18</v>
      </c>
      <c r="H1236">
        <v>1</v>
      </c>
      <c r="I1236" t="s">
        <v>19</v>
      </c>
      <c r="J1236">
        <v>268</v>
      </c>
      <c r="K1236" t="s">
        <v>3585</v>
      </c>
      <c r="L1236" s="13">
        <v>44641</v>
      </c>
      <c r="M1236" t="s">
        <v>55</v>
      </c>
      <c r="N1236" t="s">
        <v>56</v>
      </c>
      <c r="O1236">
        <v>3.19</v>
      </c>
      <c r="P1236" t="s">
        <v>52</v>
      </c>
    </row>
    <row r="1237" spans="1:16" ht="15" customHeight="1" x14ac:dyDescent="0.4">
      <c r="A1237" t="s">
        <v>15</v>
      </c>
      <c r="B1237" t="s">
        <v>16</v>
      </c>
      <c r="C1237" s="13">
        <v>44562</v>
      </c>
      <c r="D1237" s="13">
        <v>44926</v>
      </c>
      <c r="E1237" t="s">
        <v>17</v>
      </c>
      <c r="F1237">
        <v>0</v>
      </c>
      <c r="G1237" t="s">
        <v>18</v>
      </c>
      <c r="H1237">
        <v>1</v>
      </c>
      <c r="I1237" t="s">
        <v>19</v>
      </c>
      <c r="J1237">
        <v>268</v>
      </c>
      <c r="K1237" t="s">
        <v>3585</v>
      </c>
      <c r="L1237" s="13">
        <v>44671</v>
      </c>
      <c r="M1237" t="s">
        <v>57</v>
      </c>
      <c r="N1237" t="s">
        <v>58</v>
      </c>
      <c r="O1237">
        <v>3.39</v>
      </c>
      <c r="P1237" t="s">
        <v>52</v>
      </c>
    </row>
    <row r="1238" spans="1:16" ht="15" customHeight="1" x14ac:dyDescent="0.4">
      <c r="A1238" t="s">
        <v>15</v>
      </c>
      <c r="B1238" t="s">
        <v>16</v>
      </c>
      <c r="C1238" s="13">
        <v>44562</v>
      </c>
      <c r="D1238" s="13">
        <v>44926</v>
      </c>
      <c r="E1238" t="s">
        <v>17</v>
      </c>
      <c r="F1238">
        <v>0</v>
      </c>
      <c r="G1238" t="s">
        <v>18</v>
      </c>
      <c r="H1238">
        <v>1</v>
      </c>
      <c r="I1238" t="s">
        <v>19</v>
      </c>
      <c r="J1238">
        <v>268</v>
      </c>
      <c r="K1238" t="s">
        <v>3585</v>
      </c>
      <c r="L1238" s="13">
        <v>44701</v>
      </c>
      <c r="M1238" t="s">
        <v>59</v>
      </c>
      <c r="N1238" t="s">
        <v>60</v>
      </c>
      <c r="O1238">
        <v>4.72</v>
      </c>
      <c r="P1238" t="s">
        <v>52</v>
      </c>
    </row>
    <row r="1239" spans="1:16" ht="15" customHeight="1" x14ac:dyDescent="0.4">
      <c r="A1239" t="s">
        <v>15</v>
      </c>
      <c r="B1239" t="s">
        <v>16</v>
      </c>
      <c r="C1239" s="13">
        <v>44562</v>
      </c>
      <c r="D1239" s="13">
        <v>44926</v>
      </c>
      <c r="E1239" t="s">
        <v>17</v>
      </c>
      <c r="F1239">
        <v>0</v>
      </c>
      <c r="G1239" t="s">
        <v>18</v>
      </c>
      <c r="H1239">
        <v>1</v>
      </c>
      <c r="I1239" t="s">
        <v>19</v>
      </c>
      <c r="J1239">
        <v>268</v>
      </c>
      <c r="K1239" t="s">
        <v>3585</v>
      </c>
      <c r="L1239" s="13">
        <v>44732</v>
      </c>
      <c r="M1239" t="s">
        <v>61</v>
      </c>
      <c r="N1239" t="s">
        <v>62</v>
      </c>
      <c r="O1239">
        <v>26.39</v>
      </c>
      <c r="P1239" t="s">
        <v>52</v>
      </c>
    </row>
    <row r="1240" spans="1:16" ht="15" customHeight="1" x14ac:dyDescent="0.4">
      <c r="A1240" t="s">
        <v>15</v>
      </c>
      <c r="B1240" t="s">
        <v>16</v>
      </c>
      <c r="C1240" s="13">
        <v>44562</v>
      </c>
      <c r="D1240" s="13">
        <v>44926</v>
      </c>
      <c r="E1240" t="s">
        <v>17</v>
      </c>
      <c r="F1240">
        <v>0</v>
      </c>
      <c r="G1240" t="s">
        <v>18</v>
      </c>
      <c r="H1240">
        <v>1</v>
      </c>
      <c r="I1240" t="s">
        <v>19</v>
      </c>
      <c r="J1240">
        <v>268</v>
      </c>
      <c r="K1240" t="s">
        <v>3585</v>
      </c>
      <c r="L1240" s="13">
        <v>44762</v>
      </c>
      <c r="M1240" t="s">
        <v>63</v>
      </c>
      <c r="N1240" t="s">
        <v>64</v>
      </c>
      <c r="O1240">
        <v>35.33</v>
      </c>
      <c r="P1240" t="s">
        <v>52</v>
      </c>
    </row>
    <row r="1241" spans="1:16" ht="15" customHeight="1" x14ac:dyDescent="0.4">
      <c r="A1241" t="s">
        <v>15</v>
      </c>
      <c r="B1241" t="s">
        <v>16</v>
      </c>
      <c r="C1241" s="13">
        <v>44562</v>
      </c>
      <c r="D1241" s="13">
        <v>44926</v>
      </c>
      <c r="E1241" t="s">
        <v>17</v>
      </c>
      <c r="F1241">
        <v>0</v>
      </c>
      <c r="G1241" t="s">
        <v>18</v>
      </c>
      <c r="H1241">
        <v>1</v>
      </c>
      <c r="I1241" t="s">
        <v>19</v>
      </c>
      <c r="J1241">
        <v>268</v>
      </c>
      <c r="K1241" t="s">
        <v>3585</v>
      </c>
      <c r="L1241" s="13">
        <v>44793</v>
      </c>
      <c r="M1241" t="s">
        <v>65</v>
      </c>
      <c r="N1241" t="s">
        <v>66</v>
      </c>
      <c r="O1241">
        <v>42.83</v>
      </c>
      <c r="P1241" t="s">
        <v>52</v>
      </c>
    </row>
    <row r="1242" spans="1:16" ht="15" customHeight="1" x14ac:dyDescent="0.4">
      <c r="A1242" t="s">
        <v>15</v>
      </c>
      <c r="B1242" t="s">
        <v>16</v>
      </c>
      <c r="C1242" s="13">
        <v>44562</v>
      </c>
      <c r="D1242" s="13">
        <v>44926</v>
      </c>
      <c r="E1242" t="s">
        <v>17</v>
      </c>
      <c r="F1242">
        <v>0</v>
      </c>
      <c r="G1242" t="s">
        <v>18</v>
      </c>
      <c r="H1242">
        <v>1</v>
      </c>
      <c r="I1242" t="s">
        <v>19</v>
      </c>
      <c r="J1242">
        <v>268</v>
      </c>
      <c r="K1242" t="s">
        <v>3585</v>
      </c>
      <c r="L1242" s="13">
        <v>44824</v>
      </c>
      <c r="M1242" t="s">
        <v>67</v>
      </c>
      <c r="N1242" t="s">
        <v>68</v>
      </c>
      <c r="O1242">
        <v>43.9</v>
      </c>
      <c r="P1242" t="s">
        <v>52</v>
      </c>
    </row>
    <row r="1243" spans="1:16" ht="15" customHeight="1" x14ac:dyDescent="0.4">
      <c r="A1243" t="s">
        <v>15</v>
      </c>
      <c r="B1243" t="s">
        <v>16</v>
      </c>
      <c r="C1243" s="13">
        <v>44562</v>
      </c>
      <c r="D1243" s="13">
        <v>44926</v>
      </c>
      <c r="E1243" t="s">
        <v>17</v>
      </c>
      <c r="F1243">
        <v>0</v>
      </c>
      <c r="G1243" t="s">
        <v>18</v>
      </c>
      <c r="H1243">
        <v>1</v>
      </c>
      <c r="I1243" t="s">
        <v>19</v>
      </c>
      <c r="J1243">
        <v>268</v>
      </c>
      <c r="K1243" t="s">
        <v>3585</v>
      </c>
      <c r="L1243" s="13">
        <v>44854</v>
      </c>
      <c r="M1243" t="s">
        <v>69</v>
      </c>
      <c r="N1243" t="s">
        <v>70</v>
      </c>
      <c r="O1243">
        <v>30.95</v>
      </c>
      <c r="P1243" t="s">
        <v>52</v>
      </c>
    </row>
    <row r="1244" spans="1:16" ht="15" customHeight="1" x14ac:dyDescent="0.4">
      <c r="A1244" t="s">
        <v>15</v>
      </c>
      <c r="B1244" t="s">
        <v>16</v>
      </c>
      <c r="C1244" s="13">
        <v>44562</v>
      </c>
      <c r="D1244" s="13">
        <v>44926</v>
      </c>
      <c r="E1244" t="s">
        <v>17</v>
      </c>
      <c r="F1244">
        <v>0</v>
      </c>
      <c r="G1244" t="s">
        <v>18</v>
      </c>
      <c r="H1244">
        <v>1</v>
      </c>
      <c r="I1244" t="s">
        <v>19</v>
      </c>
      <c r="J1244">
        <v>268</v>
      </c>
      <c r="K1244" t="s">
        <v>3585</v>
      </c>
      <c r="L1244" s="13">
        <v>44885</v>
      </c>
      <c r="M1244" t="s">
        <v>71</v>
      </c>
      <c r="N1244" t="s">
        <v>72</v>
      </c>
      <c r="O1244">
        <v>30.21</v>
      </c>
      <c r="P1244" t="s">
        <v>52</v>
      </c>
    </row>
    <row r="1245" spans="1:16" ht="15" customHeight="1" x14ac:dyDescent="0.4">
      <c r="A1245" t="s">
        <v>15</v>
      </c>
      <c r="B1245" t="s">
        <v>16</v>
      </c>
      <c r="C1245" s="13">
        <v>44562</v>
      </c>
      <c r="D1245" s="13">
        <v>44926</v>
      </c>
      <c r="E1245" t="s">
        <v>17</v>
      </c>
      <c r="F1245">
        <v>0</v>
      </c>
      <c r="G1245" t="s">
        <v>18</v>
      </c>
      <c r="H1245">
        <v>1</v>
      </c>
      <c r="I1245" t="s">
        <v>19</v>
      </c>
      <c r="J1245">
        <v>268</v>
      </c>
      <c r="K1245" t="s">
        <v>3585</v>
      </c>
      <c r="L1245" s="13">
        <v>44915</v>
      </c>
      <c r="M1245" t="s">
        <v>73</v>
      </c>
      <c r="N1245" t="s">
        <v>74</v>
      </c>
      <c r="O1245">
        <v>31.77</v>
      </c>
      <c r="P1245" t="s">
        <v>52</v>
      </c>
    </row>
    <row r="1246" spans="1:16" ht="15" customHeight="1" x14ac:dyDescent="0.4">
      <c r="A1246" t="s">
        <v>15</v>
      </c>
      <c r="B1246" t="s">
        <v>16</v>
      </c>
      <c r="C1246" s="13">
        <v>44562</v>
      </c>
      <c r="D1246" s="13">
        <v>44926</v>
      </c>
      <c r="E1246" t="s">
        <v>17</v>
      </c>
      <c r="F1246">
        <v>0</v>
      </c>
      <c r="G1246" t="s">
        <v>18</v>
      </c>
      <c r="H1246">
        <v>1</v>
      </c>
      <c r="I1246" t="s">
        <v>19</v>
      </c>
      <c r="J1246">
        <v>269</v>
      </c>
      <c r="K1246" t="s">
        <v>3589</v>
      </c>
      <c r="L1246" s="13">
        <v>44581</v>
      </c>
      <c r="M1246" t="s">
        <v>50</v>
      </c>
      <c r="N1246" t="s">
        <v>51</v>
      </c>
      <c r="O1246">
        <v>36.43</v>
      </c>
      <c r="P1246" t="s">
        <v>52</v>
      </c>
    </row>
    <row r="1247" spans="1:16" ht="15" customHeight="1" x14ac:dyDescent="0.4">
      <c r="A1247" t="s">
        <v>15</v>
      </c>
      <c r="B1247" t="s">
        <v>16</v>
      </c>
      <c r="C1247" s="13">
        <v>44562</v>
      </c>
      <c r="D1247" s="13">
        <v>44926</v>
      </c>
      <c r="E1247" t="s">
        <v>17</v>
      </c>
      <c r="F1247">
        <v>0</v>
      </c>
      <c r="G1247" t="s">
        <v>18</v>
      </c>
      <c r="H1247">
        <v>1</v>
      </c>
      <c r="I1247" t="s">
        <v>19</v>
      </c>
      <c r="J1247">
        <v>269</v>
      </c>
      <c r="K1247" t="s">
        <v>3589</v>
      </c>
      <c r="L1247" s="13">
        <v>44612</v>
      </c>
      <c r="M1247" t="s">
        <v>53</v>
      </c>
      <c r="N1247" t="s">
        <v>54</v>
      </c>
      <c r="O1247">
        <v>27.93</v>
      </c>
      <c r="P1247" t="s">
        <v>52</v>
      </c>
    </row>
    <row r="1248" spans="1:16" ht="15" customHeight="1" x14ac:dyDescent="0.4">
      <c r="A1248" t="s">
        <v>15</v>
      </c>
      <c r="B1248" t="s">
        <v>16</v>
      </c>
      <c r="C1248" s="13">
        <v>44562</v>
      </c>
      <c r="D1248" s="13">
        <v>44926</v>
      </c>
      <c r="E1248" t="s">
        <v>17</v>
      </c>
      <c r="F1248">
        <v>0</v>
      </c>
      <c r="G1248" t="s">
        <v>18</v>
      </c>
      <c r="H1248">
        <v>1</v>
      </c>
      <c r="I1248" t="s">
        <v>19</v>
      </c>
      <c r="J1248">
        <v>269</v>
      </c>
      <c r="K1248" t="s">
        <v>3589</v>
      </c>
      <c r="L1248" s="13">
        <v>44641</v>
      </c>
      <c r="M1248" t="s">
        <v>55</v>
      </c>
      <c r="N1248" t="s">
        <v>56</v>
      </c>
      <c r="O1248">
        <v>23.95</v>
      </c>
      <c r="P1248" t="s">
        <v>52</v>
      </c>
    </row>
    <row r="1249" spans="1:16" ht="15" customHeight="1" x14ac:dyDescent="0.4">
      <c r="A1249" t="s">
        <v>15</v>
      </c>
      <c r="B1249" t="s">
        <v>16</v>
      </c>
      <c r="C1249" s="13">
        <v>44562</v>
      </c>
      <c r="D1249" s="13">
        <v>44926</v>
      </c>
      <c r="E1249" t="s">
        <v>17</v>
      </c>
      <c r="F1249">
        <v>0</v>
      </c>
      <c r="G1249" t="s">
        <v>18</v>
      </c>
      <c r="H1249">
        <v>1</v>
      </c>
      <c r="I1249" t="s">
        <v>19</v>
      </c>
      <c r="J1249">
        <v>269</v>
      </c>
      <c r="K1249" t="s">
        <v>3589</v>
      </c>
      <c r="L1249" s="13">
        <v>44671</v>
      </c>
      <c r="M1249" t="s">
        <v>76</v>
      </c>
      <c r="N1249" t="s">
        <v>58</v>
      </c>
      <c r="O1249">
        <v>25.41</v>
      </c>
      <c r="P1249" t="s">
        <v>52</v>
      </c>
    </row>
    <row r="1250" spans="1:16" ht="15" customHeight="1" x14ac:dyDescent="0.4">
      <c r="A1250" t="s">
        <v>15</v>
      </c>
      <c r="B1250" t="s">
        <v>16</v>
      </c>
      <c r="C1250" s="13">
        <v>44562</v>
      </c>
      <c r="D1250" s="13">
        <v>44926</v>
      </c>
      <c r="E1250" t="s">
        <v>17</v>
      </c>
      <c r="F1250">
        <v>0</v>
      </c>
      <c r="G1250" t="s">
        <v>18</v>
      </c>
      <c r="H1250">
        <v>1</v>
      </c>
      <c r="I1250" t="s">
        <v>19</v>
      </c>
      <c r="J1250">
        <v>269</v>
      </c>
      <c r="K1250" t="s">
        <v>3589</v>
      </c>
      <c r="L1250" s="13">
        <v>44701</v>
      </c>
      <c r="M1250" t="s">
        <v>59</v>
      </c>
      <c r="N1250" t="s">
        <v>60</v>
      </c>
      <c r="O1250">
        <v>35.380000000000003</v>
      </c>
      <c r="P1250" t="s">
        <v>52</v>
      </c>
    </row>
    <row r="1251" spans="1:16" ht="15" customHeight="1" x14ac:dyDescent="0.4">
      <c r="A1251" t="s">
        <v>15</v>
      </c>
      <c r="B1251" t="s">
        <v>16</v>
      </c>
      <c r="C1251" s="13">
        <v>44562</v>
      </c>
      <c r="D1251" s="13">
        <v>44926</v>
      </c>
      <c r="E1251" t="s">
        <v>17</v>
      </c>
      <c r="F1251">
        <v>0</v>
      </c>
      <c r="G1251" t="s">
        <v>18</v>
      </c>
      <c r="H1251">
        <v>1</v>
      </c>
      <c r="I1251" t="s">
        <v>19</v>
      </c>
      <c r="J1251">
        <v>269</v>
      </c>
      <c r="K1251" t="s">
        <v>3589</v>
      </c>
      <c r="L1251" s="13">
        <v>44732</v>
      </c>
      <c r="M1251" t="s">
        <v>61</v>
      </c>
      <c r="N1251" t="s">
        <v>62</v>
      </c>
      <c r="O1251">
        <v>197.92</v>
      </c>
      <c r="P1251" t="s">
        <v>52</v>
      </c>
    </row>
    <row r="1252" spans="1:16" ht="15" customHeight="1" x14ac:dyDescent="0.4">
      <c r="A1252" t="s">
        <v>15</v>
      </c>
      <c r="B1252" t="s">
        <v>16</v>
      </c>
      <c r="C1252" s="13">
        <v>44562</v>
      </c>
      <c r="D1252" s="13">
        <v>44926</v>
      </c>
      <c r="E1252" t="s">
        <v>17</v>
      </c>
      <c r="F1252">
        <v>0</v>
      </c>
      <c r="G1252" t="s">
        <v>18</v>
      </c>
      <c r="H1252">
        <v>1</v>
      </c>
      <c r="I1252" t="s">
        <v>19</v>
      </c>
      <c r="J1252">
        <v>269</v>
      </c>
      <c r="K1252" t="s">
        <v>3589</v>
      </c>
      <c r="L1252" s="13">
        <v>44762</v>
      </c>
      <c r="M1252" t="s">
        <v>63</v>
      </c>
      <c r="N1252" t="s">
        <v>64</v>
      </c>
      <c r="O1252">
        <v>265</v>
      </c>
      <c r="P1252" t="s">
        <v>52</v>
      </c>
    </row>
    <row r="1253" spans="1:16" ht="15" customHeight="1" x14ac:dyDescent="0.4">
      <c r="A1253" t="s">
        <v>15</v>
      </c>
      <c r="B1253" t="s">
        <v>16</v>
      </c>
      <c r="C1253" s="13">
        <v>44562</v>
      </c>
      <c r="D1253" s="13">
        <v>44926</v>
      </c>
      <c r="E1253" t="s">
        <v>17</v>
      </c>
      <c r="F1253">
        <v>0</v>
      </c>
      <c r="G1253" t="s">
        <v>18</v>
      </c>
      <c r="H1253">
        <v>1</v>
      </c>
      <c r="I1253" t="s">
        <v>19</v>
      </c>
      <c r="J1253">
        <v>269</v>
      </c>
      <c r="K1253" t="s">
        <v>3589</v>
      </c>
      <c r="L1253" s="13">
        <v>44793</v>
      </c>
      <c r="M1253" t="s">
        <v>65</v>
      </c>
      <c r="N1253" t="s">
        <v>66</v>
      </c>
      <c r="O1253">
        <v>321.19</v>
      </c>
      <c r="P1253" t="s">
        <v>52</v>
      </c>
    </row>
    <row r="1254" spans="1:16" ht="15" customHeight="1" x14ac:dyDescent="0.4">
      <c r="A1254" t="s">
        <v>15</v>
      </c>
      <c r="B1254" t="s">
        <v>16</v>
      </c>
      <c r="C1254" s="13">
        <v>44562</v>
      </c>
      <c r="D1254" s="13">
        <v>44926</v>
      </c>
      <c r="E1254" t="s">
        <v>17</v>
      </c>
      <c r="F1254">
        <v>0</v>
      </c>
      <c r="G1254" t="s">
        <v>18</v>
      </c>
      <c r="H1254">
        <v>1</v>
      </c>
      <c r="I1254" t="s">
        <v>19</v>
      </c>
      <c r="J1254">
        <v>269</v>
      </c>
      <c r="K1254" t="s">
        <v>3589</v>
      </c>
      <c r="L1254" s="13">
        <v>44824</v>
      </c>
      <c r="M1254" t="s">
        <v>67</v>
      </c>
      <c r="N1254" t="s">
        <v>68</v>
      </c>
      <c r="O1254">
        <v>329.23</v>
      </c>
      <c r="P1254" t="s">
        <v>52</v>
      </c>
    </row>
    <row r="1255" spans="1:16" ht="15" customHeight="1" x14ac:dyDescent="0.4">
      <c r="A1255" t="s">
        <v>15</v>
      </c>
      <c r="B1255" t="s">
        <v>16</v>
      </c>
      <c r="C1255" s="13">
        <v>44562</v>
      </c>
      <c r="D1255" s="13">
        <v>44926</v>
      </c>
      <c r="E1255" t="s">
        <v>17</v>
      </c>
      <c r="F1255">
        <v>0</v>
      </c>
      <c r="G1255" t="s">
        <v>18</v>
      </c>
      <c r="H1255">
        <v>1</v>
      </c>
      <c r="I1255" t="s">
        <v>19</v>
      </c>
      <c r="J1255">
        <v>269</v>
      </c>
      <c r="K1255" t="s">
        <v>3589</v>
      </c>
      <c r="L1255" s="13">
        <v>44854</v>
      </c>
      <c r="M1255" t="s">
        <v>69</v>
      </c>
      <c r="N1255" t="s">
        <v>70</v>
      </c>
      <c r="O1255">
        <v>232.15</v>
      </c>
      <c r="P1255" t="s">
        <v>52</v>
      </c>
    </row>
    <row r="1256" spans="1:16" ht="15" customHeight="1" x14ac:dyDescent="0.4">
      <c r="A1256" t="s">
        <v>15</v>
      </c>
      <c r="B1256" t="s">
        <v>16</v>
      </c>
      <c r="C1256" s="13">
        <v>44562</v>
      </c>
      <c r="D1256" s="13">
        <v>44926</v>
      </c>
      <c r="E1256" t="s">
        <v>17</v>
      </c>
      <c r="F1256">
        <v>0</v>
      </c>
      <c r="G1256" t="s">
        <v>18</v>
      </c>
      <c r="H1256">
        <v>1</v>
      </c>
      <c r="I1256" t="s">
        <v>19</v>
      </c>
      <c r="J1256">
        <v>269</v>
      </c>
      <c r="K1256" t="s">
        <v>3589</v>
      </c>
      <c r="L1256" s="13">
        <v>44885</v>
      </c>
      <c r="M1256" t="s">
        <v>71</v>
      </c>
      <c r="N1256" t="s">
        <v>72</v>
      </c>
      <c r="O1256">
        <v>226.61</v>
      </c>
      <c r="P1256" t="s">
        <v>52</v>
      </c>
    </row>
    <row r="1257" spans="1:16" ht="15" customHeight="1" x14ac:dyDescent="0.4">
      <c r="A1257" t="s">
        <v>15</v>
      </c>
      <c r="B1257" t="s">
        <v>16</v>
      </c>
      <c r="C1257" s="13">
        <v>44562</v>
      </c>
      <c r="D1257" s="13">
        <v>44926</v>
      </c>
      <c r="E1257" t="s">
        <v>17</v>
      </c>
      <c r="F1257">
        <v>0</v>
      </c>
      <c r="G1257" t="s">
        <v>18</v>
      </c>
      <c r="H1257">
        <v>1</v>
      </c>
      <c r="I1257" t="s">
        <v>19</v>
      </c>
      <c r="J1257">
        <v>269</v>
      </c>
      <c r="K1257" t="s">
        <v>3589</v>
      </c>
      <c r="L1257" s="13">
        <v>44915</v>
      </c>
      <c r="M1257" t="s">
        <v>73</v>
      </c>
      <c r="N1257" t="s">
        <v>74</v>
      </c>
      <c r="O1257">
        <v>238.24</v>
      </c>
      <c r="P1257" t="s">
        <v>52</v>
      </c>
    </row>
    <row r="1258" spans="1:16" ht="15" customHeight="1" x14ac:dyDescent="0.4">
      <c r="A1258" t="s">
        <v>15</v>
      </c>
      <c r="B1258" t="s">
        <v>16</v>
      </c>
      <c r="C1258" s="13">
        <v>44562</v>
      </c>
      <c r="D1258" s="13">
        <v>44926</v>
      </c>
      <c r="E1258" t="s">
        <v>17</v>
      </c>
      <c r="F1258">
        <v>0</v>
      </c>
      <c r="G1258" t="s">
        <v>18</v>
      </c>
      <c r="H1258">
        <v>1</v>
      </c>
      <c r="I1258" t="s">
        <v>19</v>
      </c>
      <c r="J1258">
        <v>269</v>
      </c>
      <c r="K1258" t="s">
        <v>3589</v>
      </c>
      <c r="L1258" s="13">
        <v>44926</v>
      </c>
      <c r="M1258" t="s">
        <v>77</v>
      </c>
      <c r="N1258" t="s">
        <v>46</v>
      </c>
      <c r="O1258">
        <v>-1959.44</v>
      </c>
      <c r="P1258" t="s">
        <v>46</v>
      </c>
    </row>
    <row r="1259" spans="1:16" ht="15" customHeight="1" x14ac:dyDescent="0.4">
      <c r="A1259" t="s">
        <v>15</v>
      </c>
      <c r="B1259" t="s">
        <v>16</v>
      </c>
      <c r="C1259" s="13">
        <v>44562</v>
      </c>
      <c r="D1259" s="13">
        <v>44926</v>
      </c>
      <c r="E1259" t="s">
        <v>17</v>
      </c>
      <c r="F1259">
        <v>0</v>
      </c>
      <c r="G1259" t="s">
        <v>18</v>
      </c>
      <c r="H1259">
        <v>1</v>
      </c>
      <c r="I1259" t="s">
        <v>19</v>
      </c>
      <c r="J1259">
        <v>281</v>
      </c>
      <c r="K1259" t="s">
        <v>78</v>
      </c>
      <c r="L1259" s="13">
        <v>44609</v>
      </c>
      <c r="M1259" t="s">
        <v>79</v>
      </c>
      <c r="N1259" t="s">
        <v>80</v>
      </c>
      <c r="O1259">
        <v>5918.11</v>
      </c>
      <c r="P1259" t="s">
        <v>81</v>
      </c>
    </row>
    <row r="1260" spans="1:16" ht="15" customHeight="1" x14ac:dyDescent="0.4">
      <c r="A1260" t="s">
        <v>15</v>
      </c>
      <c r="B1260" t="s">
        <v>16</v>
      </c>
      <c r="C1260" s="13">
        <v>44562</v>
      </c>
      <c r="D1260" s="13">
        <v>44926</v>
      </c>
      <c r="E1260" t="s">
        <v>17</v>
      </c>
      <c r="F1260">
        <v>0</v>
      </c>
      <c r="G1260" t="s">
        <v>18</v>
      </c>
      <c r="H1260">
        <v>1</v>
      </c>
      <c r="I1260" t="s">
        <v>19</v>
      </c>
      <c r="J1260">
        <v>281</v>
      </c>
      <c r="K1260" t="s">
        <v>78</v>
      </c>
      <c r="L1260" s="13">
        <v>44809</v>
      </c>
      <c r="M1260" t="s">
        <v>82</v>
      </c>
      <c r="N1260" t="s">
        <v>83</v>
      </c>
      <c r="O1260">
        <v>7131.13</v>
      </c>
      <c r="P1260" t="s">
        <v>81</v>
      </c>
    </row>
    <row r="1261" spans="1:16" ht="15" customHeight="1" x14ac:dyDescent="0.4">
      <c r="A1261" t="s">
        <v>15</v>
      </c>
      <c r="B1261" t="s">
        <v>16</v>
      </c>
      <c r="C1261" s="13">
        <v>44562</v>
      </c>
      <c r="D1261" s="13">
        <v>44926</v>
      </c>
      <c r="E1261" t="s">
        <v>17</v>
      </c>
      <c r="F1261">
        <v>0</v>
      </c>
      <c r="G1261" t="s">
        <v>18</v>
      </c>
      <c r="H1261">
        <v>1</v>
      </c>
      <c r="I1261" t="s">
        <v>19</v>
      </c>
      <c r="J1261">
        <v>281</v>
      </c>
      <c r="K1261" t="s">
        <v>78</v>
      </c>
      <c r="L1261" s="13">
        <v>44926</v>
      </c>
      <c r="M1261" t="s">
        <v>84</v>
      </c>
      <c r="N1261" t="s">
        <v>46</v>
      </c>
      <c r="O1261">
        <v>166.49</v>
      </c>
      <c r="P1261" t="s">
        <v>46</v>
      </c>
    </row>
    <row r="1262" spans="1:16" ht="15" customHeight="1" x14ac:dyDescent="0.4">
      <c r="A1262" t="s">
        <v>15</v>
      </c>
      <c r="B1262" t="s">
        <v>16</v>
      </c>
      <c r="C1262" s="13">
        <v>44562</v>
      </c>
      <c r="D1262" s="13">
        <v>44926</v>
      </c>
      <c r="E1262" t="s">
        <v>17</v>
      </c>
      <c r="F1262">
        <v>0</v>
      </c>
      <c r="G1262" t="s">
        <v>18</v>
      </c>
      <c r="H1262">
        <v>1</v>
      </c>
      <c r="I1262" t="s">
        <v>19</v>
      </c>
      <c r="J1262">
        <v>281</v>
      </c>
      <c r="K1262" t="s">
        <v>78</v>
      </c>
      <c r="L1262" s="13">
        <v>44926</v>
      </c>
      <c r="M1262" t="s">
        <v>87</v>
      </c>
      <c r="N1262" t="s">
        <v>86</v>
      </c>
      <c r="O1262">
        <v>-2014.62</v>
      </c>
      <c r="P1262" t="s">
        <v>46</v>
      </c>
    </row>
    <row r="1263" spans="1:16" ht="15" customHeight="1" x14ac:dyDescent="0.4">
      <c r="A1263" t="s">
        <v>15</v>
      </c>
      <c r="B1263" t="s">
        <v>16</v>
      </c>
      <c r="C1263" s="13">
        <v>44562</v>
      </c>
      <c r="D1263" s="13">
        <v>44926</v>
      </c>
      <c r="E1263" t="s">
        <v>17</v>
      </c>
      <c r="F1263">
        <v>0</v>
      </c>
      <c r="G1263" t="s">
        <v>18</v>
      </c>
      <c r="H1263">
        <v>1</v>
      </c>
      <c r="I1263" t="s">
        <v>19</v>
      </c>
      <c r="J1263">
        <v>281</v>
      </c>
      <c r="K1263" t="s">
        <v>78</v>
      </c>
      <c r="L1263" s="13">
        <v>44926</v>
      </c>
      <c r="M1263" t="s">
        <v>90</v>
      </c>
      <c r="N1263" t="s">
        <v>86</v>
      </c>
      <c r="O1263">
        <v>-1302.8399999999999</v>
      </c>
      <c r="P1263" t="s">
        <v>46</v>
      </c>
    </row>
    <row r="1264" spans="1:16" ht="15" customHeight="1" x14ac:dyDescent="0.4">
      <c r="A1264" t="s">
        <v>15</v>
      </c>
      <c r="B1264" t="s">
        <v>16</v>
      </c>
      <c r="C1264" s="13">
        <v>44562</v>
      </c>
      <c r="D1264" s="13">
        <v>44926</v>
      </c>
      <c r="E1264" t="s">
        <v>17</v>
      </c>
      <c r="F1264">
        <v>0</v>
      </c>
      <c r="G1264" t="s">
        <v>18</v>
      </c>
      <c r="H1264">
        <v>1</v>
      </c>
      <c r="I1264" t="s">
        <v>19</v>
      </c>
      <c r="J1264">
        <v>281</v>
      </c>
      <c r="K1264" t="s">
        <v>78</v>
      </c>
      <c r="L1264" s="13">
        <v>44926</v>
      </c>
      <c r="M1264" t="s">
        <v>89</v>
      </c>
      <c r="N1264" t="s">
        <v>86</v>
      </c>
      <c r="O1264">
        <v>-1277.8699999999999</v>
      </c>
      <c r="P1264" t="s">
        <v>46</v>
      </c>
    </row>
    <row r="1265" spans="1:16" ht="15" customHeight="1" x14ac:dyDescent="0.4">
      <c r="A1265" t="s">
        <v>15</v>
      </c>
      <c r="B1265" t="s">
        <v>16</v>
      </c>
      <c r="C1265" s="13">
        <v>44562</v>
      </c>
      <c r="D1265" s="13">
        <v>44926</v>
      </c>
      <c r="E1265" t="s">
        <v>17</v>
      </c>
      <c r="F1265">
        <v>0</v>
      </c>
      <c r="G1265" t="s">
        <v>18</v>
      </c>
      <c r="H1265">
        <v>1</v>
      </c>
      <c r="I1265" t="s">
        <v>19</v>
      </c>
      <c r="J1265">
        <v>281</v>
      </c>
      <c r="K1265" t="s">
        <v>78</v>
      </c>
      <c r="L1265" s="13">
        <v>44926</v>
      </c>
      <c r="M1265" t="s">
        <v>88</v>
      </c>
      <c r="N1265" t="s">
        <v>86</v>
      </c>
      <c r="O1265">
        <v>-24.97</v>
      </c>
      <c r="P1265" t="s">
        <v>46</v>
      </c>
    </row>
    <row r="1266" spans="1:16" ht="15" customHeight="1" x14ac:dyDescent="0.4">
      <c r="A1266" t="s">
        <v>15</v>
      </c>
      <c r="B1266" t="s">
        <v>16</v>
      </c>
      <c r="C1266" s="13">
        <v>44562</v>
      </c>
      <c r="D1266" s="13">
        <v>44926</v>
      </c>
      <c r="E1266" t="s">
        <v>17</v>
      </c>
      <c r="F1266">
        <v>0</v>
      </c>
      <c r="G1266" t="s">
        <v>18</v>
      </c>
      <c r="H1266">
        <v>1</v>
      </c>
      <c r="I1266" t="s">
        <v>19</v>
      </c>
      <c r="J1266">
        <v>281</v>
      </c>
      <c r="K1266" t="s">
        <v>78</v>
      </c>
      <c r="L1266" s="13">
        <v>44926</v>
      </c>
      <c r="M1266" t="s">
        <v>85</v>
      </c>
      <c r="N1266" t="s">
        <v>86</v>
      </c>
      <c r="O1266">
        <v>-8595.43</v>
      </c>
      <c r="P1266" t="s">
        <v>46</v>
      </c>
    </row>
    <row r="1267" spans="1:16" ht="15" customHeight="1" x14ac:dyDescent="0.4">
      <c r="A1267" t="s">
        <v>15</v>
      </c>
      <c r="B1267" t="s">
        <v>16</v>
      </c>
      <c r="C1267" s="13">
        <v>44562</v>
      </c>
      <c r="D1267" s="13">
        <v>44926</v>
      </c>
      <c r="E1267" t="s">
        <v>17</v>
      </c>
      <c r="F1267">
        <v>0</v>
      </c>
      <c r="G1267" t="s">
        <v>18</v>
      </c>
      <c r="H1267">
        <v>1</v>
      </c>
      <c r="I1267" t="s">
        <v>19</v>
      </c>
      <c r="J1267">
        <v>285</v>
      </c>
      <c r="K1267" t="s">
        <v>91</v>
      </c>
      <c r="L1267" s="13">
        <v>44609</v>
      </c>
      <c r="M1267" t="s">
        <v>92</v>
      </c>
      <c r="N1267" t="s">
        <v>93</v>
      </c>
      <c r="O1267">
        <v>2387.2199999999998</v>
      </c>
      <c r="P1267" t="s">
        <v>81</v>
      </c>
    </row>
    <row r="1268" spans="1:16" ht="15" customHeight="1" x14ac:dyDescent="0.4">
      <c r="A1268" t="s">
        <v>15</v>
      </c>
      <c r="B1268" t="s">
        <v>16</v>
      </c>
      <c r="C1268" s="13">
        <v>44562</v>
      </c>
      <c r="D1268" s="13">
        <v>44926</v>
      </c>
      <c r="E1268" t="s">
        <v>17</v>
      </c>
      <c r="F1268">
        <v>0</v>
      </c>
      <c r="G1268" t="s">
        <v>18</v>
      </c>
      <c r="H1268">
        <v>1</v>
      </c>
      <c r="I1268" t="s">
        <v>19</v>
      </c>
      <c r="J1268">
        <v>285</v>
      </c>
      <c r="K1268" t="s">
        <v>91</v>
      </c>
      <c r="L1268" s="13">
        <v>44809</v>
      </c>
      <c r="M1268" t="s">
        <v>94</v>
      </c>
      <c r="N1268" t="s">
        <v>95</v>
      </c>
      <c r="O1268">
        <v>2821.71</v>
      </c>
      <c r="P1268" t="s">
        <v>81</v>
      </c>
    </row>
    <row r="1269" spans="1:16" ht="15" customHeight="1" x14ac:dyDescent="0.4">
      <c r="A1269" t="s">
        <v>15</v>
      </c>
      <c r="B1269" t="s">
        <v>16</v>
      </c>
      <c r="C1269" s="13">
        <v>44562</v>
      </c>
      <c r="D1269" s="13">
        <v>44926</v>
      </c>
      <c r="E1269" t="s">
        <v>17</v>
      </c>
      <c r="F1269">
        <v>0</v>
      </c>
      <c r="G1269" t="s">
        <v>18</v>
      </c>
      <c r="H1269">
        <v>1</v>
      </c>
      <c r="I1269" t="s">
        <v>19</v>
      </c>
      <c r="J1269">
        <v>289</v>
      </c>
      <c r="K1269" t="s">
        <v>96</v>
      </c>
      <c r="L1269" s="13">
        <v>44926</v>
      </c>
      <c r="M1269" t="s">
        <v>99</v>
      </c>
      <c r="N1269" t="s">
        <v>86</v>
      </c>
      <c r="O1269">
        <v>24.97</v>
      </c>
      <c r="P1269" t="s">
        <v>46</v>
      </c>
    </row>
    <row r="1270" spans="1:16" ht="15" customHeight="1" x14ac:dyDescent="0.4">
      <c r="A1270" t="s">
        <v>15</v>
      </c>
      <c r="B1270" t="s">
        <v>16</v>
      </c>
      <c r="C1270" s="13">
        <v>44562</v>
      </c>
      <c r="D1270" s="13">
        <v>44926</v>
      </c>
      <c r="E1270" t="s">
        <v>17</v>
      </c>
      <c r="F1270">
        <v>0</v>
      </c>
      <c r="G1270" t="s">
        <v>18</v>
      </c>
      <c r="H1270">
        <v>1</v>
      </c>
      <c r="I1270" t="s">
        <v>19</v>
      </c>
      <c r="J1270">
        <v>289</v>
      </c>
      <c r="K1270" t="s">
        <v>96</v>
      </c>
      <c r="L1270" s="13">
        <v>44926</v>
      </c>
      <c r="M1270" t="s">
        <v>97</v>
      </c>
      <c r="N1270" t="s">
        <v>98</v>
      </c>
      <c r="O1270">
        <v>22.72</v>
      </c>
      <c r="P1270" t="s">
        <v>46</v>
      </c>
    </row>
    <row r="1271" spans="1:16" ht="15" customHeight="1" x14ac:dyDescent="0.4">
      <c r="A1271" t="s">
        <v>15</v>
      </c>
      <c r="B1271" t="s">
        <v>16</v>
      </c>
      <c r="C1271" s="13">
        <v>44562</v>
      </c>
      <c r="D1271" s="13">
        <v>44926</v>
      </c>
      <c r="E1271" t="s">
        <v>17</v>
      </c>
      <c r="F1271">
        <v>0</v>
      </c>
      <c r="G1271" t="s">
        <v>18</v>
      </c>
      <c r="H1271">
        <v>1</v>
      </c>
      <c r="I1271" t="s">
        <v>19</v>
      </c>
      <c r="J1271">
        <v>308</v>
      </c>
      <c r="K1271" t="s">
        <v>100</v>
      </c>
      <c r="L1271" s="13">
        <v>44721</v>
      </c>
      <c r="M1271" t="s">
        <v>101</v>
      </c>
      <c r="N1271" t="s">
        <v>102</v>
      </c>
      <c r="O1271">
        <v>88.8</v>
      </c>
      <c r="P1271" t="s">
        <v>103</v>
      </c>
    </row>
    <row r="1272" spans="1:16" ht="15" customHeight="1" x14ac:dyDescent="0.4">
      <c r="A1272" t="s">
        <v>15</v>
      </c>
      <c r="B1272" t="s">
        <v>16</v>
      </c>
      <c r="C1272" s="13">
        <v>44562</v>
      </c>
      <c r="D1272" s="13">
        <v>44926</v>
      </c>
      <c r="E1272" t="s">
        <v>17</v>
      </c>
      <c r="F1272">
        <v>0</v>
      </c>
      <c r="G1272" t="s">
        <v>18</v>
      </c>
      <c r="H1272">
        <v>1</v>
      </c>
      <c r="I1272" t="s">
        <v>19</v>
      </c>
      <c r="J1272">
        <v>321</v>
      </c>
      <c r="K1272" t="s">
        <v>104</v>
      </c>
      <c r="L1272" s="13">
        <v>44568</v>
      </c>
      <c r="M1272" t="s">
        <v>105</v>
      </c>
      <c r="N1272" t="s">
        <v>106</v>
      </c>
      <c r="O1272">
        <v>-0.33</v>
      </c>
      <c r="P1272" t="s">
        <v>107</v>
      </c>
    </row>
    <row r="1273" spans="1:16" ht="15" customHeight="1" x14ac:dyDescent="0.4">
      <c r="A1273" t="s">
        <v>15</v>
      </c>
      <c r="B1273" t="s">
        <v>16</v>
      </c>
      <c r="C1273" s="13">
        <v>44562</v>
      </c>
      <c r="D1273" s="13">
        <v>44926</v>
      </c>
      <c r="E1273" t="s">
        <v>17</v>
      </c>
      <c r="F1273">
        <v>0</v>
      </c>
      <c r="G1273" t="s">
        <v>18</v>
      </c>
      <c r="H1273">
        <v>1</v>
      </c>
      <c r="I1273" t="s">
        <v>19</v>
      </c>
      <c r="J1273">
        <v>321</v>
      </c>
      <c r="K1273" t="s">
        <v>104</v>
      </c>
      <c r="L1273" s="13">
        <v>44586</v>
      </c>
      <c r="M1273" t="s">
        <v>108</v>
      </c>
      <c r="N1273" t="s">
        <v>109</v>
      </c>
      <c r="O1273">
        <v>2266.98</v>
      </c>
      <c r="P1273" t="s">
        <v>34</v>
      </c>
    </row>
    <row r="1274" spans="1:16" ht="15" customHeight="1" x14ac:dyDescent="0.4">
      <c r="A1274" t="s">
        <v>15</v>
      </c>
      <c r="B1274" t="s">
        <v>16</v>
      </c>
      <c r="C1274" s="13">
        <v>44562</v>
      </c>
      <c r="D1274" s="13">
        <v>44926</v>
      </c>
      <c r="E1274" t="s">
        <v>17</v>
      </c>
      <c r="F1274">
        <v>0</v>
      </c>
      <c r="G1274" t="s">
        <v>18</v>
      </c>
      <c r="H1274">
        <v>1</v>
      </c>
      <c r="I1274" t="s">
        <v>19</v>
      </c>
      <c r="J1274">
        <v>321</v>
      </c>
      <c r="K1274" t="s">
        <v>104</v>
      </c>
      <c r="L1274" s="13">
        <v>44595</v>
      </c>
      <c r="M1274" t="s">
        <v>110</v>
      </c>
      <c r="N1274" t="s">
        <v>106</v>
      </c>
      <c r="O1274">
        <v>-7.0000000000000007E-2</v>
      </c>
      <c r="P1274" t="s">
        <v>107</v>
      </c>
    </row>
    <row r="1275" spans="1:16" ht="15" customHeight="1" x14ac:dyDescent="0.4">
      <c r="A1275" t="s">
        <v>15</v>
      </c>
      <c r="B1275" t="s">
        <v>16</v>
      </c>
      <c r="C1275" s="13">
        <v>44562</v>
      </c>
      <c r="D1275" s="13">
        <v>44926</v>
      </c>
      <c r="E1275" t="s">
        <v>17</v>
      </c>
      <c r="F1275">
        <v>0</v>
      </c>
      <c r="G1275" t="s">
        <v>18</v>
      </c>
      <c r="H1275">
        <v>1</v>
      </c>
      <c r="I1275" t="s">
        <v>19</v>
      </c>
      <c r="J1275">
        <v>321</v>
      </c>
      <c r="K1275" t="s">
        <v>104</v>
      </c>
      <c r="L1275" s="13">
        <v>44617</v>
      </c>
      <c r="M1275" t="s">
        <v>111</v>
      </c>
      <c r="N1275" t="s">
        <v>112</v>
      </c>
      <c r="O1275">
        <v>100</v>
      </c>
      <c r="P1275" t="s">
        <v>34</v>
      </c>
    </row>
    <row r="1276" spans="1:16" ht="15" customHeight="1" x14ac:dyDescent="0.4">
      <c r="A1276" t="s">
        <v>15</v>
      </c>
      <c r="B1276" t="s">
        <v>16</v>
      </c>
      <c r="C1276" s="13">
        <v>44562</v>
      </c>
      <c r="D1276" s="13">
        <v>44926</v>
      </c>
      <c r="E1276" t="s">
        <v>17</v>
      </c>
      <c r="F1276">
        <v>0</v>
      </c>
      <c r="G1276" t="s">
        <v>18</v>
      </c>
      <c r="H1276">
        <v>1</v>
      </c>
      <c r="I1276" t="s">
        <v>19</v>
      </c>
      <c r="J1276">
        <v>321</v>
      </c>
      <c r="K1276" t="s">
        <v>104</v>
      </c>
      <c r="L1276" s="13">
        <v>44617</v>
      </c>
      <c r="M1276" t="s">
        <v>113</v>
      </c>
      <c r="N1276" t="s">
        <v>112</v>
      </c>
      <c r="O1276">
        <v>2266.98</v>
      </c>
      <c r="P1276" t="s">
        <v>34</v>
      </c>
    </row>
    <row r="1277" spans="1:16" ht="15" customHeight="1" x14ac:dyDescent="0.4">
      <c r="A1277" t="s">
        <v>15</v>
      </c>
      <c r="B1277" t="s">
        <v>16</v>
      </c>
      <c r="C1277" s="13">
        <v>44562</v>
      </c>
      <c r="D1277" s="13">
        <v>44926</v>
      </c>
      <c r="E1277" t="s">
        <v>17</v>
      </c>
      <c r="F1277">
        <v>0</v>
      </c>
      <c r="G1277" t="s">
        <v>18</v>
      </c>
      <c r="H1277">
        <v>1</v>
      </c>
      <c r="I1277" t="s">
        <v>19</v>
      </c>
      <c r="J1277">
        <v>321</v>
      </c>
      <c r="K1277" t="s">
        <v>104</v>
      </c>
      <c r="L1277" s="13">
        <v>44637</v>
      </c>
      <c r="M1277" t="s">
        <v>114</v>
      </c>
      <c r="N1277" t="s">
        <v>106</v>
      </c>
      <c r="O1277">
        <v>-7.0000000000000007E-2</v>
      </c>
      <c r="P1277" t="s">
        <v>107</v>
      </c>
    </row>
    <row r="1278" spans="1:16" ht="15" customHeight="1" x14ac:dyDescent="0.4">
      <c r="A1278" t="s">
        <v>15</v>
      </c>
      <c r="B1278" t="s">
        <v>16</v>
      </c>
      <c r="C1278" s="13">
        <v>44562</v>
      </c>
      <c r="D1278" s="13">
        <v>44926</v>
      </c>
      <c r="E1278" t="s">
        <v>17</v>
      </c>
      <c r="F1278">
        <v>0</v>
      </c>
      <c r="G1278" t="s">
        <v>18</v>
      </c>
      <c r="H1278">
        <v>1</v>
      </c>
      <c r="I1278" t="s">
        <v>19</v>
      </c>
      <c r="J1278">
        <v>321</v>
      </c>
      <c r="K1278" t="s">
        <v>104</v>
      </c>
      <c r="L1278" s="13">
        <v>44649</v>
      </c>
      <c r="M1278" t="s">
        <v>115</v>
      </c>
      <c r="N1278" t="s">
        <v>116</v>
      </c>
      <c r="O1278">
        <v>2266.98</v>
      </c>
      <c r="P1278" t="s">
        <v>34</v>
      </c>
    </row>
    <row r="1279" spans="1:16" ht="15" customHeight="1" x14ac:dyDescent="0.4">
      <c r="A1279" t="s">
        <v>15</v>
      </c>
      <c r="B1279" t="s">
        <v>16</v>
      </c>
      <c r="C1279" s="13">
        <v>44562</v>
      </c>
      <c r="D1279" s="13">
        <v>44926</v>
      </c>
      <c r="E1279" t="s">
        <v>17</v>
      </c>
      <c r="F1279">
        <v>0</v>
      </c>
      <c r="G1279" t="s">
        <v>18</v>
      </c>
      <c r="H1279">
        <v>1</v>
      </c>
      <c r="I1279" t="s">
        <v>19</v>
      </c>
      <c r="J1279">
        <v>321</v>
      </c>
      <c r="K1279" t="s">
        <v>104</v>
      </c>
      <c r="L1279" s="13">
        <v>44662</v>
      </c>
      <c r="M1279" t="s">
        <v>117</v>
      </c>
      <c r="N1279" t="s">
        <v>106</v>
      </c>
      <c r="O1279">
        <v>-7.0000000000000007E-2</v>
      </c>
      <c r="P1279" t="s">
        <v>107</v>
      </c>
    </row>
    <row r="1280" spans="1:16" ht="15" customHeight="1" x14ac:dyDescent="0.4">
      <c r="A1280" t="s">
        <v>15</v>
      </c>
      <c r="B1280" t="s">
        <v>16</v>
      </c>
      <c r="C1280" s="13">
        <v>44562</v>
      </c>
      <c r="D1280" s="13">
        <v>44926</v>
      </c>
      <c r="E1280" t="s">
        <v>17</v>
      </c>
      <c r="F1280">
        <v>0</v>
      </c>
      <c r="G1280" t="s">
        <v>18</v>
      </c>
      <c r="H1280">
        <v>1</v>
      </c>
      <c r="I1280" t="s">
        <v>19</v>
      </c>
      <c r="J1280">
        <v>321</v>
      </c>
      <c r="K1280" t="s">
        <v>104</v>
      </c>
      <c r="L1280" s="13">
        <v>44679</v>
      </c>
      <c r="M1280" t="s">
        <v>118</v>
      </c>
      <c r="N1280" t="s">
        <v>119</v>
      </c>
      <c r="O1280">
        <v>2270.8200000000002</v>
      </c>
      <c r="P1280" t="s">
        <v>34</v>
      </c>
    </row>
    <row r="1281" spans="1:16" ht="15" customHeight="1" x14ac:dyDescent="0.4">
      <c r="A1281" t="s">
        <v>15</v>
      </c>
      <c r="B1281" t="s">
        <v>16</v>
      </c>
      <c r="C1281" s="13">
        <v>44562</v>
      </c>
      <c r="D1281" s="13">
        <v>44926</v>
      </c>
      <c r="E1281" t="s">
        <v>17</v>
      </c>
      <c r="F1281">
        <v>0</v>
      </c>
      <c r="G1281" t="s">
        <v>18</v>
      </c>
      <c r="H1281">
        <v>1</v>
      </c>
      <c r="I1281" t="s">
        <v>19</v>
      </c>
      <c r="J1281">
        <v>321</v>
      </c>
      <c r="K1281" t="s">
        <v>104</v>
      </c>
      <c r="L1281" s="13">
        <v>44693</v>
      </c>
      <c r="M1281" t="s">
        <v>120</v>
      </c>
      <c r="N1281" t="s">
        <v>106</v>
      </c>
      <c r="O1281">
        <v>-0.13</v>
      </c>
      <c r="P1281" t="s">
        <v>107</v>
      </c>
    </row>
    <row r="1282" spans="1:16" ht="15" customHeight="1" x14ac:dyDescent="0.4">
      <c r="A1282" t="s">
        <v>15</v>
      </c>
      <c r="B1282" t="s">
        <v>16</v>
      </c>
      <c r="C1282" s="13">
        <v>44562</v>
      </c>
      <c r="D1282" s="13">
        <v>44926</v>
      </c>
      <c r="E1282" t="s">
        <v>17</v>
      </c>
      <c r="F1282">
        <v>0</v>
      </c>
      <c r="G1282" t="s">
        <v>18</v>
      </c>
      <c r="H1282">
        <v>1</v>
      </c>
      <c r="I1282" t="s">
        <v>19</v>
      </c>
      <c r="J1282">
        <v>321</v>
      </c>
      <c r="K1282" t="s">
        <v>104</v>
      </c>
      <c r="L1282" s="13">
        <v>44706</v>
      </c>
      <c r="M1282" t="s">
        <v>121</v>
      </c>
      <c r="N1282" t="s">
        <v>122</v>
      </c>
      <c r="O1282">
        <v>2266.98</v>
      </c>
      <c r="P1282" t="s">
        <v>34</v>
      </c>
    </row>
    <row r="1283" spans="1:16" ht="15" customHeight="1" x14ac:dyDescent="0.4">
      <c r="A1283" t="s">
        <v>15</v>
      </c>
      <c r="B1283" t="s">
        <v>16</v>
      </c>
      <c r="C1283" s="13">
        <v>44562</v>
      </c>
      <c r="D1283" s="13">
        <v>44926</v>
      </c>
      <c r="E1283" t="s">
        <v>17</v>
      </c>
      <c r="F1283">
        <v>0</v>
      </c>
      <c r="G1283" t="s">
        <v>18</v>
      </c>
      <c r="H1283">
        <v>1</v>
      </c>
      <c r="I1283" t="s">
        <v>19</v>
      </c>
      <c r="J1283">
        <v>321</v>
      </c>
      <c r="K1283" t="s">
        <v>104</v>
      </c>
      <c r="L1283" s="13">
        <v>44712</v>
      </c>
      <c r="M1283" t="s">
        <v>123</v>
      </c>
      <c r="N1283" t="s">
        <v>106</v>
      </c>
      <c r="O1283">
        <v>-7.0000000000000007E-2</v>
      </c>
      <c r="P1283" t="s">
        <v>107</v>
      </c>
    </row>
    <row r="1284" spans="1:16" ht="15" customHeight="1" x14ac:dyDescent="0.4">
      <c r="A1284" t="s">
        <v>15</v>
      </c>
      <c r="B1284" t="s">
        <v>16</v>
      </c>
      <c r="C1284" s="13">
        <v>44562</v>
      </c>
      <c r="D1284" s="13">
        <v>44926</v>
      </c>
      <c r="E1284" t="s">
        <v>17</v>
      </c>
      <c r="F1284">
        <v>0</v>
      </c>
      <c r="G1284" t="s">
        <v>18</v>
      </c>
      <c r="H1284">
        <v>1</v>
      </c>
      <c r="I1284" t="s">
        <v>19</v>
      </c>
      <c r="J1284">
        <v>321</v>
      </c>
      <c r="K1284" t="s">
        <v>104</v>
      </c>
      <c r="L1284" s="13">
        <v>44739</v>
      </c>
      <c r="M1284" t="s">
        <v>124</v>
      </c>
      <c r="N1284" t="s">
        <v>125</v>
      </c>
      <c r="O1284">
        <v>2382.46</v>
      </c>
      <c r="P1284" t="s">
        <v>34</v>
      </c>
    </row>
    <row r="1285" spans="1:16" ht="15" customHeight="1" x14ac:dyDescent="0.4">
      <c r="A1285" t="s">
        <v>15</v>
      </c>
      <c r="B1285" t="s">
        <v>16</v>
      </c>
      <c r="C1285" s="13">
        <v>44562</v>
      </c>
      <c r="D1285" s="13">
        <v>44926</v>
      </c>
      <c r="E1285" t="s">
        <v>17</v>
      </c>
      <c r="F1285">
        <v>0</v>
      </c>
      <c r="G1285" t="s">
        <v>18</v>
      </c>
      <c r="H1285">
        <v>1</v>
      </c>
      <c r="I1285" t="s">
        <v>19</v>
      </c>
      <c r="J1285">
        <v>321</v>
      </c>
      <c r="K1285" t="s">
        <v>104</v>
      </c>
      <c r="L1285" s="13">
        <v>44750</v>
      </c>
      <c r="M1285" t="s">
        <v>126</v>
      </c>
      <c r="N1285" t="s">
        <v>106</v>
      </c>
      <c r="O1285">
        <v>0.09</v>
      </c>
      <c r="P1285" t="s">
        <v>107</v>
      </c>
    </row>
    <row r="1286" spans="1:16" ht="15" customHeight="1" x14ac:dyDescent="0.4">
      <c r="A1286" t="s">
        <v>15</v>
      </c>
      <c r="B1286" t="s">
        <v>16</v>
      </c>
      <c r="C1286" s="13">
        <v>44562</v>
      </c>
      <c r="D1286" s="13">
        <v>44926</v>
      </c>
      <c r="E1286" t="s">
        <v>17</v>
      </c>
      <c r="F1286">
        <v>0</v>
      </c>
      <c r="G1286" t="s">
        <v>18</v>
      </c>
      <c r="H1286">
        <v>1</v>
      </c>
      <c r="I1286" t="s">
        <v>19</v>
      </c>
      <c r="J1286">
        <v>321</v>
      </c>
      <c r="K1286" t="s">
        <v>104</v>
      </c>
      <c r="L1286" s="13">
        <v>44770</v>
      </c>
      <c r="M1286" t="s">
        <v>127</v>
      </c>
      <c r="N1286" t="s">
        <v>128</v>
      </c>
      <c r="O1286">
        <v>2354.96</v>
      </c>
      <c r="P1286" t="s">
        <v>34</v>
      </c>
    </row>
    <row r="1287" spans="1:16" ht="15" customHeight="1" x14ac:dyDescent="0.4">
      <c r="A1287" t="s">
        <v>15</v>
      </c>
      <c r="B1287" t="s">
        <v>16</v>
      </c>
      <c r="C1287" s="13">
        <v>44562</v>
      </c>
      <c r="D1287" s="13">
        <v>44926</v>
      </c>
      <c r="E1287" t="s">
        <v>17</v>
      </c>
      <c r="F1287">
        <v>0</v>
      </c>
      <c r="G1287" t="s">
        <v>18</v>
      </c>
      <c r="H1287">
        <v>1</v>
      </c>
      <c r="I1287" t="s">
        <v>19</v>
      </c>
      <c r="J1287">
        <v>321</v>
      </c>
      <c r="K1287" t="s">
        <v>104</v>
      </c>
      <c r="L1287" s="13">
        <v>44771</v>
      </c>
      <c r="M1287" t="s">
        <v>129</v>
      </c>
      <c r="N1287" t="s">
        <v>106</v>
      </c>
      <c r="O1287">
        <v>-0.47</v>
      </c>
      <c r="P1287" t="s">
        <v>107</v>
      </c>
    </row>
    <row r="1288" spans="1:16" ht="15" customHeight="1" x14ac:dyDescent="0.4">
      <c r="A1288" t="s">
        <v>15</v>
      </c>
      <c r="B1288" t="s">
        <v>16</v>
      </c>
      <c r="C1288" s="13">
        <v>44562</v>
      </c>
      <c r="D1288" s="13">
        <v>44926</v>
      </c>
      <c r="E1288" t="s">
        <v>17</v>
      </c>
      <c r="F1288">
        <v>0</v>
      </c>
      <c r="G1288" t="s">
        <v>18</v>
      </c>
      <c r="H1288">
        <v>1</v>
      </c>
      <c r="I1288" t="s">
        <v>19</v>
      </c>
      <c r="J1288">
        <v>321</v>
      </c>
      <c r="K1288" t="s">
        <v>104</v>
      </c>
      <c r="L1288" s="13">
        <v>44799</v>
      </c>
      <c r="M1288" t="s">
        <v>130</v>
      </c>
      <c r="N1288" t="s">
        <v>131</v>
      </c>
      <c r="O1288">
        <v>2352.7600000000002</v>
      </c>
      <c r="P1288" t="s">
        <v>34</v>
      </c>
    </row>
    <row r="1289" spans="1:16" ht="15" customHeight="1" x14ac:dyDescent="0.4">
      <c r="A1289" t="s">
        <v>15</v>
      </c>
      <c r="B1289" t="s">
        <v>16</v>
      </c>
      <c r="C1289" s="13">
        <v>44562</v>
      </c>
      <c r="D1289" s="13">
        <v>44926</v>
      </c>
      <c r="E1289" t="s">
        <v>17</v>
      </c>
      <c r="F1289">
        <v>0</v>
      </c>
      <c r="G1289" t="s">
        <v>18</v>
      </c>
      <c r="H1289">
        <v>1</v>
      </c>
      <c r="I1289" t="s">
        <v>19</v>
      </c>
      <c r="J1289">
        <v>321</v>
      </c>
      <c r="K1289" t="s">
        <v>104</v>
      </c>
      <c r="L1289" s="13">
        <v>44805</v>
      </c>
      <c r="M1289" t="s">
        <v>132</v>
      </c>
      <c r="N1289" t="s">
        <v>106</v>
      </c>
      <c r="O1289">
        <v>-0.44</v>
      </c>
      <c r="P1289" t="s">
        <v>107</v>
      </c>
    </row>
    <row r="1290" spans="1:16" ht="15" customHeight="1" x14ac:dyDescent="0.4">
      <c r="A1290" t="s">
        <v>15</v>
      </c>
      <c r="B1290" t="s">
        <v>16</v>
      </c>
      <c r="C1290" s="13">
        <v>44562</v>
      </c>
      <c r="D1290" s="13">
        <v>44926</v>
      </c>
      <c r="E1290" t="s">
        <v>17</v>
      </c>
      <c r="F1290">
        <v>0</v>
      </c>
      <c r="G1290" t="s">
        <v>18</v>
      </c>
      <c r="H1290">
        <v>1</v>
      </c>
      <c r="I1290" t="s">
        <v>19</v>
      </c>
      <c r="J1290">
        <v>321</v>
      </c>
      <c r="K1290" t="s">
        <v>104</v>
      </c>
      <c r="L1290" s="13">
        <v>44831</v>
      </c>
      <c r="M1290" t="s">
        <v>133</v>
      </c>
      <c r="N1290" t="s">
        <v>134</v>
      </c>
      <c r="O1290">
        <v>2352.7600000000002</v>
      </c>
      <c r="P1290" t="s">
        <v>34</v>
      </c>
    </row>
    <row r="1291" spans="1:16" ht="15" customHeight="1" x14ac:dyDescent="0.4">
      <c r="A1291" t="s">
        <v>15</v>
      </c>
      <c r="B1291" t="s">
        <v>16</v>
      </c>
      <c r="C1291" s="13">
        <v>44562</v>
      </c>
      <c r="D1291" s="13">
        <v>44926</v>
      </c>
      <c r="E1291" t="s">
        <v>17</v>
      </c>
      <c r="F1291">
        <v>0</v>
      </c>
      <c r="G1291" t="s">
        <v>18</v>
      </c>
      <c r="H1291">
        <v>1</v>
      </c>
      <c r="I1291" t="s">
        <v>19</v>
      </c>
      <c r="J1291">
        <v>321</v>
      </c>
      <c r="K1291" t="s">
        <v>104</v>
      </c>
      <c r="L1291" s="13">
        <v>44845</v>
      </c>
      <c r="M1291" t="s">
        <v>135</v>
      </c>
      <c r="N1291" t="s">
        <v>106</v>
      </c>
      <c r="O1291">
        <v>-0.31</v>
      </c>
      <c r="P1291" t="s">
        <v>107</v>
      </c>
    </row>
    <row r="1292" spans="1:16" ht="15" customHeight="1" x14ac:dyDescent="0.4">
      <c r="A1292" t="s">
        <v>15</v>
      </c>
      <c r="B1292" t="s">
        <v>16</v>
      </c>
      <c r="C1292" s="13">
        <v>44562</v>
      </c>
      <c r="D1292" s="13">
        <v>44926</v>
      </c>
      <c r="E1292" t="s">
        <v>17</v>
      </c>
      <c r="F1292">
        <v>0</v>
      </c>
      <c r="G1292" t="s">
        <v>18</v>
      </c>
      <c r="H1292">
        <v>1</v>
      </c>
      <c r="I1292" t="s">
        <v>19</v>
      </c>
      <c r="J1292">
        <v>321</v>
      </c>
      <c r="K1292" t="s">
        <v>104</v>
      </c>
      <c r="L1292" s="13">
        <v>44861</v>
      </c>
      <c r="M1292" t="s">
        <v>136</v>
      </c>
      <c r="N1292" t="s">
        <v>137</v>
      </c>
      <c r="O1292">
        <v>2352.7600000000002</v>
      </c>
      <c r="P1292" t="s">
        <v>34</v>
      </c>
    </row>
    <row r="1293" spans="1:16" ht="15" customHeight="1" x14ac:dyDescent="0.4">
      <c r="A1293" t="s">
        <v>15</v>
      </c>
      <c r="B1293" t="s">
        <v>16</v>
      </c>
      <c r="C1293" s="13">
        <v>44562</v>
      </c>
      <c r="D1293" s="13">
        <v>44926</v>
      </c>
      <c r="E1293" t="s">
        <v>17</v>
      </c>
      <c r="F1293">
        <v>0</v>
      </c>
      <c r="G1293" t="s">
        <v>18</v>
      </c>
      <c r="H1293">
        <v>1</v>
      </c>
      <c r="I1293" t="s">
        <v>19</v>
      </c>
      <c r="J1293">
        <v>321</v>
      </c>
      <c r="K1293" t="s">
        <v>104</v>
      </c>
      <c r="L1293" s="13">
        <v>44875</v>
      </c>
      <c r="M1293" t="s">
        <v>138</v>
      </c>
      <c r="N1293" t="s">
        <v>106</v>
      </c>
      <c r="O1293">
        <v>-0.31</v>
      </c>
      <c r="P1293" t="s">
        <v>107</v>
      </c>
    </row>
    <row r="1294" spans="1:16" ht="15" customHeight="1" x14ac:dyDescent="0.4">
      <c r="A1294" t="s">
        <v>15</v>
      </c>
      <c r="B1294" t="s">
        <v>16</v>
      </c>
      <c r="C1294" s="13">
        <v>44562</v>
      </c>
      <c r="D1294" s="13">
        <v>44926</v>
      </c>
      <c r="E1294" t="s">
        <v>17</v>
      </c>
      <c r="F1294">
        <v>0</v>
      </c>
      <c r="G1294" t="s">
        <v>18</v>
      </c>
      <c r="H1294">
        <v>1</v>
      </c>
      <c r="I1294" t="s">
        <v>19</v>
      </c>
      <c r="J1294">
        <v>321</v>
      </c>
      <c r="K1294" t="s">
        <v>104</v>
      </c>
      <c r="L1294" s="13">
        <v>44893</v>
      </c>
      <c r="M1294" t="s">
        <v>139</v>
      </c>
      <c r="N1294" t="s">
        <v>140</v>
      </c>
      <c r="O1294">
        <v>2354.96</v>
      </c>
      <c r="P1294" t="s">
        <v>34</v>
      </c>
    </row>
    <row r="1295" spans="1:16" ht="15" customHeight="1" x14ac:dyDescent="0.4">
      <c r="A1295" t="s">
        <v>15</v>
      </c>
      <c r="B1295" t="s">
        <v>16</v>
      </c>
      <c r="C1295" s="13">
        <v>44562</v>
      </c>
      <c r="D1295" s="13">
        <v>44926</v>
      </c>
      <c r="E1295" t="s">
        <v>17</v>
      </c>
      <c r="F1295">
        <v>0</v>
      </c>
      <c r="G1295" t="s">
        <v>18</v>
      </c>
      <c r="H1295">
        <v>1</v>
      </c>
      <c r="I1295" t="s">
        <v>19</v>
      </c>
      <c r="J1295">
        <v>321</v>
      </c>
      <c r="K1295" t="s">
        <v>104</v>
      </c>
      <c r="L1295" s="13">
        <v>44921</v>
      </c>
      <c r="M1295" t="s">
        <v>141</v>
      </c>
      <c r="N1295" t="s">
        <v>142</v>
      </c>
      <c r="O1295">
        <v>4553.01</v>
      </c>
      <c r="P1295" t="s">
        <v>34</v>
      </c>
    </row>
    <row r="1296" spans="1:16" ht="15" customHeight="1" x14ac:dyDescent="0.4">
      <c r="A1296" t="s">
        <v>15</v>
      </c>
      <c r="B1296" t="s">
        <v>16</v>
      </c>
      <c r="C1296" s="13">
        <v>44562</v>
      </c>
      <c r="D1296" s="13">
        <v>44926</v>
      </c>
      <c r="E1296" t="s">
        <v>17</v>
      </c>
      <c r="F1296">
        <v>0</v>
      </c>
      <c r="G1296" t="s">
        <v>18</v>
      </c>
      <c r="H1296">
        <v>1</v>
      </c>
      <c r="I1296" t="s">
        <v>19</v>
      </c>
      <c r="J1296">
        <v>322</v>
      </c>
      <c r="K1296" t="s">
        <v>143</v>
      </c>
      <c r="L1296" s="13">
        <v>44568</v>
      </c>
      <c r="M1296" t="s">
        <v>144</v>
      </c>
      <c r="N1296" t="s">
        <v>145</v>
      </c>
      <c r="O1296">
        <v>0.6</v>
      </c>
      <c r="P1296" t="s">
        <v>146</v>
      </c>
    </row>
    <row r="1297" spans="1:16" ht="15" customHeight="1" x14ac:dyDescent="0.4">
      <c r="A1297" t="s">
        <v>15</v>
      </c>
      <c r="B1297" t="s">
        <v>16</v>
      </c>
      <c r="C1297" s="13">
        <v>44562</v>
      </c>
      <c r="D1297" s="13">
        <v>44926</v>
      </c>
      <c r="E1297" t="s">
        <v>17</v>
      </c>
      <c r="F1297">
        <v>0</v>
      </c>
      <c r="G1297" t="s">
        <v>18</v>
      </c>
      <c r="H1297">
        <v>1</v>
      </c>
      <c r="I1297" t="s">
        <v>19</v>
      </c>
      <c r="J1297">
        <v>322</v>
      </c>
      <c r="K1297" t="s">
        <v>143</v>
      </c>
      <c r="L1297" s="13">
        <v>44586</v>
      </c>
      <c r="M1297" t="s">
        <v>147</v>
      </c>
      <c r="N1297" t="s">
        <v>109</v>
      </c>
      <c r="O1297">
        <v>531.89</v>
      </c>
      <c r="P1297" t="s">
        <v>34</v>
      </c>
    </row>
    <row r="1298" spans="1:16" ht="15" customHeight="1" x14ac:dyDescent="0.4">
      <c r="A1298" t="s">
        <v>15</v>
      </c>
      <c r="B1298" t="s">
        <v>16</v>
      </c>
      <c r="C1298" s="13">
        <v>44562</v>
      </c>
      <c r="D1298" s="13">
        <v>44926</v>
      </c>
      <c r="E1298" t="s">
        <v>17</v>
      </c>
      <c r="F1298">
        <v>0</v>
      </c>
      <c r="G1298" t="s">
        <v>18</v>
      </c>
      <c r="H1298">
        <v>1</v>
      </c>
      <c r="I1298" t="s">
        <v>19</v>
      </c>
      <c r="J1298">
        <v>322</v>
      </c>
      <c r="K1298" t="s">
        <v>143</v>
      </c>
      <c r="L1298" s="13">
        <v>44595</v>
      </c>
      <c r="M1298" t="s">
        <v>148</v>
      </c>
      <c r="N1298" t="s">
        <v>149</v>
      </c>
      <c r="O1298">
        <v>-1.82</v>
      </c>
      <c r="P1298" t="s">
        <v>146</v>
      </c>
    </row>
    <row r="1299" spans="1:16" ht="15" customHeight="1" x14ac:dyDescent="0.4">
      <c r="A1299" t="s">
        <v>15</v>
      </c>
      <c r="B1299" t="s">
        <v>16</v>
      </c>
      <c r="C1299" s="13">
        <v>44562</v>
      </c>
      <c r="D1299" s="13">
        <v>44926</v>
      </c>
      <c r="E1299" t="s">
        <v>17</v>
      </c>
      <c r="F1299">
        <v>0</v>
      </c>
      <c r="G1299" t="s">
        <v>18</v>
      </c>
      <c r="H1299">
        <v>1</v>
      </c>
      <c r="I1299" t="s">
        <v>19</v>
      </c>
      <c r="J1299">
        <v>322</v>
      </c>
      <c r="K1299" t="s">
        <v>143</v>
      </c>
      <c r="L1299" s="13">
        <v>44617</v>
      </c>
      <c r="M1299" t="s">
        <v>150</v>
      </c>
      <c r="N1299" t="s">
        <v>112</v>
      </c>
      <c r="O1299">
        <v>431.89</v>
      </c>
      <c r="P1299" t="s">
        <v>34</v>
      </c>
    </row>
    <row r="1300" spans="1:16" ht="15" customHeight="1" x14ac:dyDescent="0.4">
      <c r="A1300" t="s">
        <v>15</v>
      </c>
      <c r="B1300" t="s">
        <v>16</v>
      </c>
      <c r="C1300" s="13">
        <v>44562</v>
      </c>
      <c r="D1300" s="13">
        <v>44926</v>
      </c>
      <c r="E1300" t="s">
        <v>17</v>
      </c>
      <c r="F1300">
        <v>0</v>
      </c>
      <c r="G1300" t="s">
        <v>18</v>
      </c>
      <c r="H1300">
        <v>1</v>
      </c>
      <c r="I1300" t="s">
        <v>19</v>
      </c>
      <c r="J1300">
        <v>322</v>
      </c>
      <c r="K1300" t="s">
        <v>143</v>
      </c>
      <c r="L1300" s="13">
        <v>44637</v>
      </c>
      <c r="M1300" t="s">
        <v>151</v>
      </c>
      <c r="N1300" t="s">
        <v>152</v>
      </c>
      <c r="O1300">
        <v>-1.82</v>
      </c>
      <c r="P1300" t="s">
        <v>146</v>
      </c>
    </row>
    <row r="1301" spans="1:16" ht="15" customHeight="1" x14ac:dyDescent="0.4">
      <c r="A1301" t="s">
        <v>15</v>
      </c>
      <c r="B1301" t="s">
        <v>16</v>
      </c>
      <c r="C1301" s="13">
        <v>44562</v>
      </c>
      <c r="D1301" s="13">
        <v>44926</v>
      </c>
      <c r="E1301" t="s">
        <v>17</v>
      </c>
      <c r="F1301">
        <v>0</v>
      </c>
      <c r="G1301" t="s">
        <v>18</v>
      </c>
      <c r="H1301">
        <v>1</v>
      </c>
      <c r="I1301" t="s">
        <v>19</v>
      </c>
      <c r="J1301">
        <v>322</v>
      </c>
      <c r="K1301" t="s">
        <v>143</v>
      </c>
      <c r="L1301" s="13">
        <v>44649</v>
      </c>
      <c r="M1301" t="s">
        <v>153</v>
      </c>
      <c r="N1301" t="s">
        <v>116</v>
      </c>
      <c r="O1301">
        <v>531.89</v>
      </c>
      <c r="P1301" t="s">
        <v>34</v>
      </c>
    </row>
    <row r="1302" spans="1:16" ht="15" customHeight="1" x14ac:dyDescent="0.4">
      <c r="A1302" t="s">
        <v>15</v>
      </c>
      <c r="B1302" t="s">
        <v>16</v>
      </c>
      <c r="C1302" s="13">
        <v>44562</v>
      </c>
      <c r="D1302" s="13">
        <v>44926</v>
      </c>
      <c r="E1302" t="s">
        <v>17</v>
      </c>
      <c r="F1302">
        <v>0</v>
      </c>
      <c r="G1302" t="s">
        <v>18</v>
      </c>
      <c r="H1302">
        <v>1</v>
      </c>
      <c r="I1302" t="s">
        <v>19</v>
      </c>
      <c r="J1302">
        <v>322</v>
      </c>
      <c r="K1302" t="s">
        <v>143</v>
      </c>
      <c r="L1302" s="13">
        <v>44662</v>
      </c>
      <c r="M1302" t="s">
        <v>154</v>
      </c>
      <c r="N1302" t="s">
        <v>155</v>
      </c>
      <c r="O1302">
        <v>-1.82</v>
      </c>
      <c r="P1302" t="s">
        <v>146</v>
      </c>
    </row>
    <row r="1303" spans="1:16" ht="15" customHeight="1" x14ac:dyDescent="0.4">
      <c r="A1303" t="s">
        <v>15</v>
      </c>
      <c r="B1303" t="s">
        <v>16</v>
      </c>
      <c r="C1303" s="13">
        <v>44562</v>
      </c>
      <c r="D1303" s="13">
        <v>44926</v>
      </c>
      <c r="E1303" t="s">
        <v>17</v>
      </c>
      <c r="F1303">
        <v>0</v>
      </c>
      <c r="G1303" t="s">
        <v>18</v>
      </c>
      <c r="H1303">
        <v>1</v>
      </c>
      <c r="I1303" t="s">
        <v>19</v>
      </c>
      <c r="J1303">
        <v>322</v>
      </c>
      <c r="K1303" t="s">
        <v>143</v>
      </c>
      <c r="L1303" s="13">
        <v>44679</v>
      </c>
      <c r="M1303" t="s">
        <v>156</v>
      </c>
      <c r="N1303" t="s">
        <v>119</v>
      </c>
      <c r="O1303">
        <v>534.28</v>
      </c>
      <c r="P1303" t="s">
        <v>34</v>
      </c>
    </row>
    <row r="1304" spans="1:16" ht="15" customHeight="1" x14ac:dyDescent="0.4">
      <c r="A1304" t="s">
        <v>15</v>
      </c>
      <c r="B1304" t="s">
        <v>16</v>
      </c>
      <c r="C1304" s="13">
        <v>44562</v>
      </c>
      <c r="D1304" s="13">
        <v>44926</v>
      </c>
      <c r="E1304" t="s">
        <v>17</v>
      </c>
      <c r="F1304">
        <v>0</v>
      </c>
      <c r="G1304" t="s">
        <v>18</v>
      </c>
      <c r="H1304">
        <v>1</v>
      </c>
      <c r="I1304" t="s">
        <v>19</v>
      </c>
      <c r="J1304">
        <v>322</v>
      </c>
      <c r="K1304" t="s">
        <v>143</v>
      </c>
      <c r="L1304" s="13">
        <v>44693</v>
      </c>
      <c r="M1304" t="s">
        <v>157</v>
      </c>
      <c r="N1304" t="s">
        <v>158</v>
      </c>
      <c r="O1304">
        <v>-0.86</v>
      </c>
      <c r="P1304" t="s">
        <v>146</v>
      </c>
    </row>
    <row r="1305" spans="1:16" ht="15" customHeight="1" x14ac:dyDescent="0.4">
      <c r="A1305" t="s">
        <v>15</v>
      </c>
      <c r="B1305" t="s">
        <v>16</v>
      </c>
      <c r="C1305" s="13">
        <v>44562</v>
      </c>
      <c r="D1305" s="13">
        <v>44926</v>
      </c>
      <c r="E1305" t="s">
        <v>17</v>
      </c>
      <c r="F1305">
        <v>0</v>
      </c>
      <c r="G1305" t="s">
        <v>18</v>
      </c>
      <c r="H1305">
        <v>1</v>
      </c>
      <c r="I1305" t="s">
        <v>19</v>
      </c>
      <c r="J1305">
        <v>322</v>
      </c>
      <c r="K1305" t="s">
        <v>143</v>
      </c>
      <c r="L1305" s="13">
        <v>44706</v>
      </c>
      <c r="M1305" t="s">
        <v>159</v>
      </c>
      <c r="N1305" t="s">
        <v>122</v>
      </c>
      <c r="O1305">
        <v>502.8</v>
      </c>
      <c r="P1305" t="s">
        <v>34</v>
      </c>
    </row>
    <row r="1306" spans="1:16" ht="15" customHeight="1" x14ac:dyDescent="0.4">
      <c r="A1306" t="s">
        <v>15</v>
      </c>
      <c r="B1306" t="s">
        <v>16</v>
      </c>
      <c r="C1306" s="13">
        <v>44562</v>
      </c>
      <c r="D1306" s="13">
        <v>44926</v>
      </c>
      <c r="E1306" t="s">
        <v>17</v>
      </c>
      <c r="F1306">
        <v>0</v>
      </c>
      <c r="G1306" t="s">
        <v>18</v>
      </c>
      <c r="H1306">
        <v>1</v>
      </c>
      <c r="I1306" t="s">
        <v>19</v>
      </c>
      <c r="J1306">
        <v>322</v>
      </c>
      <c r="K1306" t="s">
        <v>143</v>
      </c>
      <c r="L1306" s="13">
        <v>44712</v>
      </c>
      <c r="M1306" t="s">
        <v>160</v>
      </c>
      <c r="N1306" t="s">
        <v>161</v>
      </c>
      <c r="O1306">
        <v>-1.73</v>
      </c>
      <c r="P1306" t="s">
        <v>146</v>
      </c>
    </row>
    <row r="1307" spans="1:16" ht="15" customHeight="1" x14ac:dyDescent="0.4">
      <c r="A1307" t="s">
        <v>15</v>
      </c>
      <c r="B1307" t="s">
        <v>16</v>
      </c>
      <c r="C1307" s="13">
        <v>44562</v>
      </c>
      <c r="D1307" s="13">
        <v>44926</v>
      </c>
      <c r="E1307" t="s">
        <v>17</v>
      </c>
      <c r="F1307">
        <v>0</v>
      </c>
      <c r="G1307" t="s">
        <v>18</v>
      </c>
      <c r="H1307">
        <v>1</v>
      </c>
      <c r="I1307" t="s">
        <v>19</v>
      </c>
      <c r="J1307">
        <v>322</v>
      </c>
      <c r="K1307" t="s">
        <v>143</v>
      </c>
      <c r="L1307" s="13">
        <v>44739</v>
      </c>
      <c r="M1307" t="s">
        <v>162</v>
      </c>
      <c r="N1307" t="s">
        <v>125</v>
      </c>
      <c r="O1307">
        <v>586.6</v>
      </c>
      <c r="P1307" t="s">
        <v>34</v>
      </c>
    </row>
    <row r="1308" spans="1:16" ht="15" customHeight="1" x14ac:dyDescent="0.4">
      <c r="A1308" t="s">
        <v>15</v>
      </c>
      <c r="B1308" t="s">
        <v>16</v>
      </c>
      <c r="C1308" s="13">
        <v>44562</v>
      </c>
      <c r="D1308" s="13">
        <v>44926</v>
      </c>
      <c r="E1308" t="s">
        <v>17</v>
      </c>
      <c r="F1308">
        <v>0</v>
      </c>
      <c r="G1308" t="s">
        <v>18</v>
      </c>
      <c r="H1308">
        <v>1</v>
      </c>
      <c r="I1308" t="s">
        <v>19</v>
      </c>
      <c r="J1308">
        <v>322</v>
      </c>
      <c r="K1308" t="s">
        <v>143</v>
      </c>
      <c r="L1308" s="13">
        <v>44750</v>
      </c>
      <c r="M1308" t="s">
        <v>163</v>
      </c>
      <c r="N1308" t="s">
        <v>164</v>
      </c>
      <c r="O1308">
        <v>-1.07</v>
      </c>
      <c r="P1308" t="s">
        <v>146</v>
      </c>
    </row>
    <row r="1309" spans="1:16" ht="15" customHeight="1" x14ac:dyDescent="0.4">
      <c r="A1309" t="s">
        <v>15</v>
      </c>
      <c r="B1309" t="s">
        <v>16</v>
      </c>
      <c r="C1309" s="13">
        <v>44562</v>
      </c>
      <c r="D1309" s="13">
        <v>44926</v>
      </c>
      <c r="E1309" t="s">
        <v>17</v>
      </c>
      <c r="F1309">
        <v>0</v>
      </c>
      <c r="G1309" t="s">
        <v>18</v>
      </c>
      <c r="H1309">
        <v>1</v>
      </c>
      <c r="I1309" t="s">
        <v>19</v>
      </c>
      <c r="J1309">
        <v>322</v>
      </c>
      <c r="K1309" t="s">
        <v>143</v>
      </c>
      <c r="L1309" s="13">
        <v>44770</v>
      </c>
      <c r="M1309" t="s">
        <v>165</v>
      </c>
      <c r="N1309" t="s">
        <v>128</v>
      </c>
      <c r="O1309">
        <v>565.59</v>
      </c>
      <c r="P1309" t="s">
        <v>34</v>
      </c>
    </row>
    <row r="1310" spans="1:16" ht="15" customHeight="1" x14ac:dyDescent="0.4">
      <c r="A1310" t="s">
        <v>15</v>
      </c>
      <c r="B1310" t="s">
        <v>16</v>
      </c>
      <c r="C1310" s="13">
        <v>44562</v>
      </c>
      <c r="D1310" s="13">
        <v>44926</v>
      </c>
      <c r="E1310" t="s">
        <v>17</v>
      </c>
      <c r="F1310">
        <v>0</v>
      </c>
      <c r="G1310" t="s">
        <v>18</v>
      </c>
      <c r="H1310">
        <v>1</v>
      </c>
      <c r="I1310" t="s">
        <v>19</v>
      </c>
      <c r="J1310">
        <v>322</v>
      </c>
      <c r="K1310" t="s">
        <v>143</v>
      </c>
      <c r="L1310" s="13">
        <v>44771</v>
      </c>
      <c r="M1310" t="s">
        <v>166</v>
      </c>
      <c r="N1310" t="s">
        <v>167</v>
      </c>
      <c r="O1310">
        <v>-1.4</v>
      </c>
      <c r="P1310" t="s">
        <v>146</v>
      </c>
    </row>
    <row r="1311" spans="1:16" ht="15" customHeight="1" x14ac:dyDescent="0.4">
      <c r="A1311" t="s">
        <v>15</v>
      </c>
      <c r="B1311" t="s">
        <v>16</v>
      </c>
      <c r="C1311" s="13">
        <v>44562</v>
      </c>
      <c r="D1311" s="13">
        <v>44926</v>
      </c>
      <c r="E1311" t="s">
        <v>17</v>
      </c>
      <c r="F1311">
        <v>0</v>
      </c>
      <c r="G1311" t="s">
        <v>18</v>
      </c>
      <c r="H1311">
        <v>1</v>
      </c>
      <c r="I1311" t="s">
        <v>19</v>
      </c>
      <c r="J1311">
        <v>322</v>
      </c>
      <c r="K1311" t="s">
        <v>143</v>
      </c>
      <c r="L1311" s="13">
        <v>44799</v>
      </c>
      <c r="M1311" t="s">
        <v>168</v>
      </c>
      <c r="N1311" t="s">
        <v>131</v>
      </c>
      <c r="O1311">
        <v>541.96</v>
      </c>
      <c r="P1311" t="s">
        <v>34</v>
      </c>
    </row>
    <row r="1312" spans="1:16" ht="15" customHeight="1" x14ac:dyDescent="0.4">
      <c r="A1312" t="s">
        <v>15</v>
      </c>
      <c r="B1312" t="s">
        <v>16</v>
      </c>
      <c r="C1312" s="13">
        <v>44562</v>
      </c>
      <c r="D1312" s="13">
        <v>44926</v>
      </c>
      <c r="E1312" t="s">
        <v>17</v>
      </c>
      <c r="F1312">
        <v>0</v>
      </c>
      <c r="G1312" t="s">
        <v>18</v>
      </c>
      <c r="H1312">
        <v>1</v>
      </c>
      <c r="I1312" t="s">
        <v>19</v>
      </c>
      <c r="J1312">
        <v>322</v>
      </c>
      <c r="K1312" t="s">
        <v>143</v>
      </c>
      <c r="L1312" s="13">
        <v>44805</v>
      </c>
      <c r="M1312" t="s">
        <v>169</v>
      </c>
      <c r="N1312" t="s">
        <v>170</v>
      </c>
      <c r="O1312">
        <v>-0.4</v>
      </c>
      <c r="P1312" t="s">
        <v>146</v>
      </c>
    </row>
    <row r="1313" spans="1:16" ht="15" customHeight="1" x14ac:dyDescent="0.4">
      <c r="A1313" t="s">
        <v>15</v>
      </c>
      <c r="B1313" t="s">
        <v>16</v>
      </c>
      <c r="C1313" s="13">
        <v>44562</v>
      </c>
      <c r="D1313" s="13">
        <v>44926</v>
      </c>
      <c r="E1313" t="s">
        <v>17</v>
      </c>
      <c r="F1313">
        <v>0</v>
      </c>
      <c r="G1313" t="s">
        <v>18</v>
      </c>
      <c r="H1313">
        <v>1</v>
      </c>
      <c r="I1313" t="s">
        <v>19</v>
      </c>
      <c r="J1313">
        <v>322</v>
      </c>
      <c r="K1313" t="s">
        <v>143</v>
      </c>
      <c r="L1313" s="13">
        <v>44831</v>
      </c>
      <c r="M1313" t="s">
        <v>171</v>
      </c>
      <c r="N1313" t="s">
        <v>134</v>
      </c>
      <c r="O1313">
        <v>540.59</v>
      </c>
      <c r="P1313" t="s">
        <v>34</v>
      </c>
    </row>
    <row r="1314" spans="1:16" ht="15" customHeight="1" x14ac:dyDescent="0.4">
      <c r="A1314" t="s">
        <v>15</v>
      </c>
      <c r="B1314" t="s">
        <v>16</v>
      </c>
      <c r="C1314" s="13">
        <v>44562</v>
      </c>
      <c r="D1314" s="13">
        <v>44926</v>
      </c>
      <c r="E1314" t="s">
        <v>17</v>
      </c>
      <c r="F1314">
        <v>0</v>
      </c>
      <c r="G1314" t="s">
        <v>18</v>
      </c>
      <c r="H1314">
        <v>1</v>
      </c>
      <c r="I1314" t="s">
        <v>19</v>
      </c>
      <c r="J1314">
        <v>322</v>
      </c>
      <c r="K1314" t="s">
        <v>143</v>
      </c>
      <c r="L1314" s="13">
        <v>44845</v>
      </c>
      <c r="M1314" t="s">
        <v>172</v>
      </c>
      <c r="N1314" t="s">
        <v>173</v>
      </c>
      <c r="O1314">
        <v>-0.03</v>
      </c>
      <c r="P1314" t="s">
        <v>146</v>
      </c>
    </row>
    <row r="1315" spans="1:16" ht="15" customHeight="1" x14ac:dyDescent="0.4">
      <c r="A1315" t="s">
        <v>15</v>
      </c>
      <c r="B1315" t="s">
        <v>16</v>
      </c>
      <c r="C1315" s="13">
        <v>44562</v>
      </c>
      <c r="D1315" s="13">
        <v>44926</v>
      </c>
      <c r="E1315" t="s">
        <v>17</v>
      </c>
      <c r="F1315">
        <v>0</v>
      </c>
      <c r="G1315" t="s">
        <v>18</v>
      </c>
      <c r="H1315">
        <v>1</v>
      </c>
      <c r="I1315" t="s">
        <v>19</v>
      </c>
      <c r="J1315">
        <v>322</v>
      </c>
      <c r="K1315" t="s">
        <v>143</v>
      </c>
      <c r="L1315" s="13">
        <v>44861</v>
      </c>
      <c r="M1315" t="s">
        <v>174</v>
      </c>
      <c r="N1315" t="s">
        <v>137</v>
      </c>
      <c r="O1315">
        <v>541.66999999999996</v>
      </c>
      <c r="P1315" t="s">
        <v>34</v>
      </c>
    </row>
    <row r="1316" spans="1:16" ht="15" customHeight="1" x14ac:dyDescent="0.4">
      <c r="A1316" t="s">
        <v>15</v>
      </c>
      <c r="B1316" t="s">
        <v>16</v>
      </c>
      <c r="C1316" s="13">
        <v>44562</v>
      </c>
      <c r="D1316" s="13">
        <v>44926</v>
      </c>
      <c r="E1316" t="s">
        <v>17</v>
      </c>
      <c r="F1316">
        <v>0</v>
      </c>
      <c r="G1316" t="s">
        <v>18</v>
      </c>
      <c r="H1316">
        <v>1</v>
      </c>
      <c r="I1316" t="s">
        <v>19</v>
      </c>
      <c r="J1316">
        <v>322</v>
      </c>
      <c r="K1316" t="s">
        <v>143</v>
      </c>
      <c r="L1316" s="13">
        <v>44875</v>
      </c>
      <c r="M1316" t="s">
        <v>175</v>
      </c>
      <c r="N1316" t="s">
        <v>176</v>
      </c>
      <c r="O1316">
        <v>-0.11</v>
      </c>
      <c r="P1316" t="s">
        <v>146</v>
      </c>
    </row>
    <row r="1317" spans="1:16" ht="15" customHeight="1" x14ac:dyDescent="0.4">
      <c r="A1317" t="s">
        <v>15</v>
      </c>
      <c r="B1317" t="s">
        <v>16</v>
      </c>
      <c r="C1317" s="13">
        <v>44562</v>
      </c>
      <c r="D1317" s="13">
        <v>44926</v>
      </c>
      <c r="E1317" t="s">
        <v>17</v>
      </c>
      <c r="F1317">
        <v>0</v>
      </c>
      <c r="G1317" t="s">
        <v>18</v>
      </c>
      <c r="H1317">
        <v>1</v>
      </c>
      <c r="I1317" t="s">
        <v>19</v>
      </c>
      <c r="J1317">
        <v>322</v>
      </c>
      <c r="K1317" t="s">
        <v>143</v>
      </c>
      <c r="L1317" s="13">
        <v>44893</v>
      </c>
      <c r="M1317" t="s">
        <v>177</v>
      </c>
      <c r="N1317" t="s">
        <v>140</v>
      </c>
      <c r="O1317">
        <v>544.42999999999995</v>
      </c>
      <c r="P1317" t="s">
        <v>34</v>
      </c>
    </row>
    <row r="1318" spans="1:16" ht="15" customHeight="1" x14ac:dyDescent="0.4">
      <c r="A1318" t="s">
        <v>15</v>
      </c>
      <c r="B1318" t="s">
        <v>16</v>
      </c>
      <c r="C1318" s="13">
        <v>44562</v>
      </c>
      <c r="D1318" s="13">
        <v>44926</v>
      </c>
      <c r="E1318" t="s">
        <v>17</v>
      </c>
      <c r="F1318">
        <v>0</v>
      </c>
      <c r="G1318" t="s">
        <v>18</v>
      </c>
      <c r="H1318">
        <v>1</v>
      </c>
      <c r="I1318" t="s">
        <v>19</v>
      </c>
      <c r="J1318">
        <v>322</v>
      </c>
      <c r="K1318" t="s">
        <v>143</v>
      </c>
      <c r="L1318" s="13">
        <v>44911</v>
      </c>
      <c r="M1318" t="s">
        <v>178</v>
      </c>
      <c r="N1318" t="s">
        <v>179</v>
      </c>
      <c r="O1318">
        <v>-1.58</v>
      </c>
      <c r="P1318" t="s">
        <v>46</v>
      </c>
    </row>
    <row r="1319" spans="1:16" ht="15" customHeight="1" x14ac:dyDescent="0.4">
      <c r="A1319" t="s">
        <v>15</v>
      </c>
      <c r="B1319" t="s">
        <v>16</v>
      </c>
      <c r="C1319" s="13">
        <v>44562</v>
      </c>
      <c r="D1319" s="13">
        <v>44926</v>
      </c>
      <c r="E1319" t="s">
        <v>17</v>
      </c>
      <c r="F1319">
        <v>0</v>
      </c>
      <c r="G1319" t="s">
        <v>18</v>
      </c>
      <c r="H1319">
        <v>1</v>
      </c>
      <c r="I1319" t="s">
        <v>19</v>
      </c>
      <c r="J1319">
        <v>322</v>
      </c>
      <c r="K1319" t="s">
        <v>143</v>
      </c>
      <c r="L1319" s="13">
        <v>44921</v>
      </c>
      <c r="M1319" t="s">
        <v>180</v>
      </c>
      <c r="N1319" t="s">
        <v>142</v>
      </c>
      <c r="O1319">
        <v>2134.23</v>
      </c>
      <c r="P1319" t="s">
        <v>34</v>
      </c>
    </row>
    <row r="1320" spans="1:16" ht="15" customHeight="1" x14ac:dyDescent="0.4">
      <c r="A1320" t="s">
        <v>15</v>
      </c>
      <c r="B1320" t="s">
        <v>16</v>
      </c>
      <c r="C1320" s="13">
        <v>44562</v>
      </c>
      <c r="D1320" s="13">
        <v>44926</v>
      </c>
      <c r="E1320" t="s">
        <v>17</v>
      </c>
      <c r="F1320">
        <v>0</v>
      </c>
      <c r="G1320" t="s">
        <v>18</v>
      </c>
      <c r="H1320">
        <v>1</v>
      </c>
      <c r="I1320" t="s">
        <v>19</v>
      </c>
      <c r="J1320">
        <v>323</v>
      </c>
      <c r="K1320" t="s">
        <v>181</v>
      </c>
      <c r="L1320" s="13">
        <v>44586</v>
      </c>
      <c r="M1320" t="s">
        <v>182</v>
      </c>
      <c r="N1320" t="s">
        <v>109</v>
      </c>
      <c r="O1320">
        <v>126.11</v>
      </c>
      <c r="P1320" t="s">
        <v>34</v>
      </c>
    </row>
    <row r="1321" spans="1:16" ht="15" customHeight="1" x14ac:dyDescent="0.4">
      <c r="A1321" t="s">
        <v>15</v>
      </c>
      <c r="B1321" t="s">
        <v>16</v>
      </c>
      <c r="C1321" s="13">
        <v>44562</v>
      </c>
      <c r="D1321" s="13">
        <v>44926</v>
      </c>
      <c r="E1321" t="s">
        <v>17</v>
      </c>
      <c r="F1321">
        <v>0</v>
      </c>
      <c r="G1321" t="s">
        <v>18</v>
      </c>
      <c r="H1321">
        <v>1</v>
      </c>
      <c r="I1321" t="s">
        <v>19</v>
      </c>
      <c r="J1321">
        <v>323</v>
      </c>
      <c r="K1321" t="s">
        <v>181</v>
      </c>
      <c r="L1321" s="13">
        <v>44595</v>
      </c>
      <c r="M1321" t="s">
        <v>183</v>
      </c>
      <c r="N1321" t="s">
        <v>106</v>
      </c>
      <c r="O1321">
        <v>0.01</v>
      </c>
      <c r="P1321" t="s">
        <v>184</v>
      </c>
    </row>
    <row r="1322" spans="1:16" ht="15" customHeight="1" x14ac:dyDescent="0.4">
      <c r="A1322" t="s">
        <v>15</v>
      </c>
      <c r="B1322" t="s">
        <v>16</v>
      </c>
      <c r="C1322" s="13">
        <v>44562</v>
      </c>
      <c r="D1322" s="13">
        <v>44926</v>
      </c>
      <c r="E1322" t="s">
        <v>17</v>
      </c>
      <c r="F1322">
        <v>0</v>
      </c>
      <c r="G1322" t="s">
        <v>18</v>
      </c>
      <c r="H1322">
        <v>1</v>
      </c>
      <c r="I1322" t="s">
        <v>19</v>
      </c>
      <c r="J1322">
        <v>323</v>
      </c>
      <c r="K1322" t="s">
        <v>181</v>
      </c>
      <c r="L1322" s="13">
        <v>44617</v>
      </c>
      <c r="M1322" t="s">
        <v>185</v>
      </c>
      <c r="N1322" t="s">
        <v>112</v>
      </c>
      <c r="O1322">
        <v>126.11</v>
      </c>
      <c r="P1322" t="s">
        <v>34</v>
      </c>
    </row>
    <row r="1323" spans="1:16" ht="15" customHeight="1" x14ac:dyDescent="0.4">
      <c r="A1323" t="s">
        <v>15</v>
      </c>
      <c r="B1323" t="s">
        <v>16</v>
      </c>
      <c r="C1323" s="13">
        <v>44562</v>
      </c>
      <c r="D1323" s="13">
        <v>44926</v>
      </c>
      <c r="E1323" t="s">
        <v>17</v>
      </c>
      <c r="F1323">
        <v>0</v>
      </c>
      <c r="G1323" t="s">
        <v>18</v>
      </c>
      <c r="H1323">
        <v>1</v>
      </c>
      <c r="I1323" t="s">
        <v>19</v>
      </c>
      <c r="J1323">
        <v>323</v>
      </c>
      <c r="K1323" t="s">
        <v>181</v>
      </c>
      <c r="L1323" s="13">
        <v>44637</v>
      </c>
      <c r="M1323" t="s">
        <v>186</v>
      </c>
      <c r="N1323" t="s">
        <v>106</v>
      </c>
      <c r="O1323">
        <v>0.01</v>
      </c>
      <c r="P1323" t="s">
        <v>184</v>
      </c>
    </row>
    <row r="1324" spans="1:16" ht="15" customHeight="1" x14ac:dyDescent="0.4">
      <c r="A1324" t="s">
        <v>15</v>
      </c>
      <c r="B1324" t="s">
        <v>16</v>
      </c>
      <c r="C1324" s="13">
        <v>44562</v>
      </c>
      <c r="D1324" s="13">
        <v>44926</v>
      </c>
      <c r="E1324" t="s">
        <v>17</v>
      </c>
      <c r="F1324">
        <v>0</v>
      </c>
      <c r="G1324" t="s">
        <v>18</v>
      </c>
      <c r="H1324">
        <v>1</v>
      </c>
      <c r="I1324" t="s">
        <v>19</v>
      </c>
      <c r="J1324">
        <v>323</v>
      </c>
      <c r="K1324" t="s">
        <v>181</v>
      </c>
      <c r="L1324" s="13">
        <v>44649</v>
      </c>
      <c r="M1324" t="s">
        <v>187</v>
      </c>
      <c r="N1324" t="s">
        <v>116</v>
      </c>
      <c r="O1324">
        <v>126.11</v>
      </c>
      <c r="P1324" t="s">
        <v>34</v>
      </c>
    </row>
    <row r="1325" spans="1:16" ht="15" customHeight="1" x14ac:dyDescent="0.4">
      <c r="A1325" t="s">
        <v>15</v>
      </c>
      <c r="B1325" t="s">
        <v>16</v>
      </c>
      <c r="C1325" s="13">
        <v>44562</v>
      </c>
      <c r="D1325" s="13">
        <v>44926</v>
      </c>
      <c r="E1325" t="s">
        <v>17</v>
      </c>
      <c r="F1325">
        <v>0</v>
      </c>
      <c r="G1325" t="s">
        <v>18</v>
      </c>
      <c r="H1325">
        <v>1</v>
      </c>
      <c r="I1325" t="s">
        <v>19</v>
      </c>
      <c r="J1325">
        <v>323</v>
      </c>
      <c r="K1325" t="s">
        <v>181</v>
      </c>
      <c r="L1325" s="13">
        <v>44662</v>
      </c>
      <c r="M1325" t="s">
        <v>188</v>
      </c>
      <c r="N1325" t="s">
        <v>106</v>
      </c>
      <c r="O1325">
        <v>0.01</v>
      </c>
      <c r="P1325" t="s">
        <v>184</v>
      </c>
    </row>
    <row r="1326" spans="1:16" ht="15" customHeight="1" x14ac:dyDescent="0.4">
      <c r="A1326" t="s">
        <v>15</v>
      </c>
      <c r="B1326" t="s">
        <v>16</v>
      </c>
      <c r="C1326" s="13">
        <v>44562</v>
      </c>
      <c r="D1326" s="13">
        <v>44926</v>
      </c>
      <c r="E1326" t="s">
        <v>17</v>
      </c>
      <c r="F1326">
        <v>0</v>
      </c>
      <c r="G1326" t="s">
        <v>18</v>
      </c>
      <c r="H1326">
        <v>1</v>
      </c>
      <c r="I1326" t="s">
        <v>19</v>
      </c>
      <c r="J1326">
        <v>323</v>
      </c>
      <c r="K1326" t="s">
        <v>181</v>
      </c>
      <c r="L1326" s="13">
        <v>44679</v>
      </c>
      <c r="M1326" t="s">
        <v>189</v>
      </c>
      <c r="N1326" t="s">
        <v>119</v>
      </c>
      <c r="O1326">
        <v>126.67</v>
      </c>
      <c r="P1326" t="s">
        <v>34</v>
      </c>
    </row>
    <row r="1327" spans="1:16" ht="15" customHeight="1" x14ac:dyDescent="0.4">
      <c r="A1327" t="s">
        <v>15</v>
      </c>
      <c r="B1327" t="s">
        <v>16</v>
      </c>
      <c r="C1327" s="13">
        <v>44562</v>
      </c>
      <c r="D1327" s="13">
        <v>44926</v>
      </c>
      <c r="E1327" t="s">
        <v>17</v>
      </c>
      <c r="F1327">
        <v>0</v>
      </c>
      <c r="G1327" t="s">
        <v>18</v>
      </c>
      <c r="H1327">
        <v>1</v>
      </c>
      <c r="I1327" t="s">
        <v>19</v>
      </c>
      <c r="J1327">
        <v>323</v>
      </c>
      <c r="K1327" t="s">
        <v>181</v>
      </c>
      <c r="L1327" s="13">
        <v>44706</v>
      </c>
      <c r="M1327" t="s">
        <v>190</v>
      </c>
      <c r="N1327" t="s">
        <v>122</v>
      </c>
      <c r="O1327">
        <v>119.37</v>
      </c>
      <c r="P1327" t="s">
        <v>34</v>
      </c>
    </row>
    <row r="1328" spans="1:16" ht="15" customHeight="1" x14ac:dyDescent="0.4">
      <c r="A1328" t="s">
        <v>15</v>
      </c>
      <c r="B1328" t="s">
        <v>16</v>
      </c>
      <c r="C1328" s="13">
        <v>44562</v>
      </c>
      <c r="D1328" s="13">
        <v>44926</v>
      </c>
      <c r="E1328" t="s">
        <v>17</v>
      </c>
      <c r="F1328">
        <v>0</v>
      </c>
      <c r="G1328" t="s">
        <v>18</v>
      </c>
      <c r="H1328">
        <v>1</v>
      </c>
      <c r="I1328" t="s">
        <v>19</v>
      </c>
      <c r="J1328">
        <v>323</v>
      </c>
      <c r="K1328" t="s">
        <v>181</v>
      </c>
      <c r="L1328" s="13">
        <v>44712</v>
      </c>
      <c r="M1328" t="s">
        <v>191</v>
      </c>
      <c r="N1328" t="s">
        <v>106</v>
      </c>
      <c r="O1328">
        <v>0.01</v>
      </c>
      <c r="P1328" t="s">
        <v>184</v>
      </c>
    </row>
    <row r="1329" spans="1:16" ht="15" customHeight="1" x14ac:dyDescent="0.4">
      <c r="A1329" t="s">
        <v>15</v>
      </c>
      <c r="B1329" t="s">
        <v>16</v>
      </c>
      <c r="C1329" s="13">
        <v>44562</v>
      </c>
      <c r="D1329" s="13">
        <v>44926</v>
      </c>
      <c r="E1329" t="s">
        <v>17</v>
      </c>
      <c r="F1329">
        <v>0</v>
      </c>
      <c r="G1329" t="s">
        <v>18</v>
      </c>
      <c r="H1329">
        <v>1</v>
      </c>
      <c r="I1329" t="s">
        <v>19</v>
      </c>
      <c r="J1329">
        <v>323</v>
      </c>
      <c r="K1329" t="s">
        <v>181</v>
      </c>
      <c r="L1329" s="13">
        <v>44739</v>
      </c>
      <c r="M1329" t="s">
        <v>192</v>
      </c>
      <c r="N1329" t="s">
        <v>125</v>
      </c>
      <c r="O1329">
        <v>138.94</v>
      </c>
      <c r="P1329" t="s">
        <v>34</v>
      </c>
    </row>
    <row r="1330" spans="1:16" ht="15" customHeight="1" x14ac:dyDescent="0.4">
      <c r="A1330" t="s">
        <v>15</v>
      </c>
      <c r="B1330" t="s">
        <v>16</v>
      </c>
      <c r="C1330" s="13">
        <v>44562</v>
      </c>
      <c r="D1330" s="13">
        <v>44926</v>
      </c>
      <c r="E1330" t="s">
        <v>17</v>
      </c>
      <c r="F1330">
        <v>0</v>
      </c>
      <c r="G1330" t="s">
        <v>18</v>
      </c>
      <c r="H1330">
        <v>1</v>
      </c>
      <c r="I1330" t="s">
        <v>19</v>
      </c>
      <c r="J1330">
        <v>323</v>
      </c>
      <c r="K1330" t="s">
        <v>181</v>
      </c>
      <c r="L1330" s="13">
        <v>44770</v>
      </c>
      <c r="M1330" t="s">
        <v>193</v>
      </c>
      <c r="N1330" t="s">
        <v>128</v>
      </c>
      <c r="O1330">
        <v>134.03</v>
      </c>
      <c r="P1330" t="s">
        <v>34</v>
      </c>
    </row>
    <row r="1331" spans="1:16" ht="15" customHeight="1" x14ac:dyDescent="0.4">
      <c r="A1331" t="s">
        <v>15</v>
      </c>
      <c r="B1331" t="s">
        <v>16</v>
      </c>
      <c r="C1331" s="13">
        <v>44562</v>
      </c>
      <c r="D1331" s="13">
        <v>44926</v>
      </c>
      <c r="E1331" t="s">
        <v>17</v>
      </c>
      <c r="F1331">
        <v>0</v>
      </c>
      <c r="G1331" t="s">
        <v>18</v>
      </c>
      <c r="H1331">
        <v>1</v>
      </c>
      <c r="I1331" t="s">
        <v>19</v>
      </c>
      <c r="J1331">
        <v>323</v>
      </c>
      <c r="K1331" t="s">
        <v>181</v>
      </c>
      <c r="L1331" s="13">
        <v>44799</v>
      </c>
      <c r="M1331" t="s">
        <v>194</v>
      </c>
      <c r="N1331" t="s">
        <v>131</v>
      </c>
      <c r="O1331">
        <v>128.56</v>
      </c>
      <c r="P1331" t="s">
        <v>34</v>
      </c>
    </row>
    <row r="1332" spans="1:16" ht="15" customHeight="1" x14ac:dyDescent="0.4">
      <c r="A1332" t="s">
        <v>15</v>
      </c>
      <c r="B1332" t="s">
        <v>16</v>
      </c>
      <c r="C1332" s="13">
        <v>44562</v>
      </c>
      <c r="D1332" s="13">
        <v>44926</v>
      </c>
      <c r="E1332" t="s">
        <v>17</v>
      </c>
      <c r="F1332">
        <v>0</v>
      </c>
      <c r="G1332" t="s">
        <v>18</v>
      </c>
      <c r="H1332">
        <v>1</v>
      </c>
      <c r="I1332" t="s">
        <v>19</v>
      </c>
      <c r="J1332">
        <v>323</v>
      </c>
      <c r="K1332" t="s">
        <v>181</v>
      </c>
      <c r="L1332" s="13">
        <v>44831</v>
      </c>
      <c r="M1332" t="s">
        <v>195</v>
      </c>
      <c r="N1332" t="s">
        <v>134</v>
      </c>
      <c r="O1332">
        <v>128.24</v>
      </c>
      <c r="P1332" t="s">
        <v>34</v>
      </c>
    </row>
    <row r="1333" spans="1:16" ht="15" customHeight="1" x14ac:dyDescent="0.4">
      <c r="A1333" t="s">
        <v>15</v>
      </c>
      <c r="B1333" t="s">
        <v>16</v>
      </c>
      <c r="C1333" s="13">
        <v>44562</v>
      </c>
      <c r="D1333" s="13">
        <v>44926</v>
      </c>
      <c r="E1333" t="s">
        <v>17</v>
      </c>
      <c r="F1333">
        <v>0</v>
      </c>
      <c r="G1333" t="s">
        <v>18</v>
      </c>
      <c r="H1333">
        <v>1</v>
      </c>
      <c r="I1333" t="s">
        <v>19</v>
      </c>
      <c r="J1333">
        <v>323</v>
      </c>
      <c r="K1333" t="s">
        <v>181</v>
      </c>
      <c r="L1333" s="13">
        <v>44861</v>
      </c>
      <c r="M1333" t="s">
        <v>196</v>
      </c>
      <c r="N1333" t="s">
        <v>137</v>
      </c>
      <c r="O1333">
        <v>128.49</v>
      </c>
      <c r="P1333" t="s">
        <v>34</v>
      </c>
    </row>
    <row r="1334" spans="1:16" ht="15" customHeight="1" x14ac:dyDescent="0.4">
      <c r="A1334" t="s">
        <v>15</v>
      </c>
      <c r="B1334" t="s">
        <v>16</v>
      </c>
      <c r="C1334" s="13">
        <v>44562</v>
      </c>
      <c r="D1334" s="13">
        <v>44926</v>
      </c>
      <c r="E1334" t="s">
        <v>17</v>
      </c>
      <c r="F1334">
        <v>0</v>
      </c>
      <c r="G1334" t="s">
        <v>18</v>
      </c>
      <c r="H1334">
        <v>1</v>
      </c>
      <c r="I1334" t="s">
        <v>19</v>
      </c>
      <c r="J1334">
        <v>323</v>
      </c>
      <c r="K1334" t="s">
        <v>181</v>
      </c>
      <c r="L1334" s="13">
        <v>44893</v>
      </c>
      <c r="M1334" t="s">
        <v>197</v>
      </c>
      <c r="N1334" t="s">
        <v>140</v>
      </c>
      <c r="O1334">
        <v>129.13</v>
      </c>
      <c r="P1334" t="s">
        <v>34</v>
      </c>
    </row>
    <row r="1335" spans="1:16" ht="15" customHeight="1" x14ac:dyDescent="0.4">
      <c r="A1335" t="s">
        <v>15</v>
      </c>
      <c r="B1335" t="s">
        <v>16</v>
      </c>
      <c r="C1335" s="13">
        <v>44562</v>
      </c>
      <c r="D1335" s="13">
        <v>44926</v>
      </c>
      <c r="E1335" t="s">
        <v>17</v>
      </c>
      <c r="F1335">
        <v>0</v>
      </c>
      <c r="G1335" t="s">
        <v>18</v>
      </c>
      <c r="H1335">
        <v>1</v>
      </c>
      <c r="I1335" t="s">
        <v>19</v>
      </c>
      <c r="J1335">
        <v>323</v>
      </c>
      <c r="K1335" t="s">
        <v>181</v>
      </c>
      <c r="L1335" s="13">
        <v>44921</v>
      </c>
      <c r="M1335" t="s">
        <v>198</v>
      </c>
      <c r="N1335" t="s">
        <v>142</v>
      </c>
      <c r="O1335">
        <v>500.26</v>
      </c>
      <c r="P1335" t="s">
        <v>34</v>
      </c>
    </row>
    <row r="1336" spans="1:16" ht="15" customHeight="1" x14ac:dyDescent="0.4">
      <c r="A1336" t="s">
        <v>15</v>
      </c>
      <c r="B1336" t="s">
        <v>16</v>
      </c>
      <c r="C1336" s="13">
        <v>44562</v>
      </c>
      <c r="D1336" s="13">
        <v>44926</v>
      </c>
      <c r="E1336" t="s">
        <v>17</v>
      </c>
      <c r="F1336">
        <v>0</v>
      </c>
      <c r="G1336" t="s">
        <v>18</v>
      </c>
      <c r="H1336">
        <v>1</v>
      </c>
      <c r="I1336" t="s">
        <v>19</v>
      </c>
      <c r="J1336">
        <v>326</v>
      </c>
      <c r="K1336" t="s">
        <v>199</v>
      </c>
      <c r="L1336" s="13">
        <v>44926</v>
      </c>
      <c r="M1336" t="s">
        <v>200</v>
      </c>
      <c r="N1336" t="s">
        <v>201</v>
      </c>
      <c r="O1336">
        <v>3005</v>
      </c>
      <c r="P1336" t="s">
        <v>202</v>
      </c>
    </row>
    <row r="1337" spans="1:16" ht="15" customHeight="1" x14ac:dyDescent="0.4">
      <c r="A1337" t="s">
        <v>15</v>
      </c>
      <c r="B1337" t="s">
        <v>16</v>
      </c>
      <c r="C1337" s="13">
        <v>44562</v>
      </c>
      <c r="D1337" s="13">
        <v>44926</v>
      </c>
      <c r="E1337" t="s">
        <v>17</v>
      </c>
      <c r="F1337">
        <v>0</v>
      </c>
      <c r="G1337" t="s">
        <v>18</v>
      </c>
      <c r="H1337">
        <v>1</v>
      </c>
      <c r="I1337" t="s">
        <v>19</v>
      </c>
      <c r="J1337">
        <v>337</v>
      </c>
      <c r="K1337" t="s">
        <v>203</v>
      </c>
      <c r="L1337" s="13">
        <v>44568</v>
      </c>
      <c r="M1337" t="s">
        <v>204</v>
      </c>
      <c r="N1337" t="s">
        <v>106</v>
      </c>
      <c r="O1337">
        <v>0.01</v>
      </c>
      <c r="P1337" t="s">
        <v>205</v>
      </c>
    </row>
    <row r="1338" spans="1:16" ht="15" customHeight="1" x14ac:dyDescent="0.4">
      <c r="A1338" t="s">
        <v>15</v>
      </c>
      <c r="B1338" t="s">
        <v>16</v>
      </c>
      <c r="C1338" s="13">
        <v>44562</v>
      </c>
      <c r="D1338" s="13">
        <v>44926</v>
      </c>
      <c r="E1338" t="s">
        <v>17</v>
      </c>
      <c r="F1338">
        <v>0</v>
      </c>
      <c r="G1338" t="s">
        <v>18</v>
      </c>
      <c r="H1338">
        <v>1</v>
      </c>
      <c r="I1338" t="s">
        <v>19</v>
      </c>
      <c r="J1338">
        <v>337</v>
      </c>
      <c r="K1338" t="s">
        <v>203</v>
      </c>
      <c r="L1338" s="13">
        <v>44586</v>
      </c>
      <c r="M1338" t="s">
        <v>207</v>
      </c>
      <c r="N1338" t="s">
        <v>109</v>
      </c>
      <c r="O1338">
        <v>35.89</v>
      </c>
      <c r="P1338" t="s">
        <v>34</v>
      </c>
    </row>
    <row r="1339" spans="1:16" ht="15" customHeight="1" x14ac:dyDescent="0.4">
      <c r="A1339" t="s">
        <v>15</v>
      </c>
      <c r="B1339" t="s">
        <v>16</v>
      </c>
      <c r="C1339" s="13">
        <v>44562</v>
      </c>
      <c r="D1339" s="13">
        <v>44926</v>
      </c>
      <c r="E1339" t="s">
        <v>17</v>
      </c>
      <c r="F1339">
        <v>0</v>
      </c>
      <c r="G1339" t="s">
        <v>18</v>
      </c>
      <c r="H1339">
        <v>1</v>
      </c>
      <c r="I1339" t="s">
        <v>19</v>
      </c>
      <c r="J1339">
        <v>337</v>
      </c>
      <c r="K1339" t="s">
        <v>203</v>
      </c>
      <c r="L1339" s="13">
        <v>44586</v>
      </c>
      <c r="M1339" t="s">
        <v>206</v>
      </c>
      <c r="N1339" t="s">
        <v>109</v>
      </c>
      <c r="O1339">
        <v>19.72</v>
      </c>
      <c r="P1339" t="s">
        <v>34</v>
      </c>
    </row>
    <row r="1340" spans="1:16" ht="15" customHeight="1" x14ac:dyDescent="0.4">
      <c r="A1340" t="s">
        <v>15</v>
      </c>
      <c r="B1340" t="s">
        <v>16</v>
      </c>
      <c r="C1340" s="13">
        <v>44562</v>
      </c>
      <c r="D1340" s="13">
        <v>44926</v>
      </c>
      <c r="E1340" t="s">
        <v>17</v>
      </c>
      <c r="F1340">
        <v>0</v>
      </c>
      <c r="G1340" t="s">
        <v>18</v>
      </c>
      <c r="H1340">
        <v>1</v>
      </c>
      <c r="I1340" t="s">
        <v>19</v>
      </c>
      <c r="J1340">
        <v>337</v>
      </c>
      <c r="K1340" t="s">
        <v>203</v>
      </c>
      <c r="L1340" s="13">
        <v>44595</v>
      </c>
      <c r="M1340" t="s">
        <v>208</v>
      </c>
      <c r="N1340" t="s">
        <v>106</v>
      </c>
      <c r="O1340">
        <v>0.01</v>
      </c>
      <c r="P1340" t="s">
        <v>205</v>
      </c>
    </row>
    <row r="1341" spans="1:16" ht="15" customHeight="1" x14ac:dyDescent="0.4">
      <c r="A1341" t="s">
        <v>15</v>
      </c>
      <c r="B1341" t="s">
        <v>16</v>
      </c>
      <c r="C1341" s="13">
        <v>44562</v>
      </c>
      <c r="D1341" s="13">
        <v>44926</v>
      </c>
      <c r="E1341" t="s">
        <v>17</v>
      </c>
      <c r="F1341">
        <v>0</v>
      </c>
      <c r="G1341" t="s">
        <v>18</v>
      </c>
      <c r="H1341">
        <v>1</v>
      </c>
      <c r="I1341" t="s">
        <v>19</v>
      </c>
      <c r="J1341">
        <v>337</v>
      </c>
      <c r="K1341" t="s">
        <v>203</v>
      </c>
      <c r="L1341" s="13">
        <v>44617</v>
      </c>
      <c r="M1341" t="s">
        <v>209</v>
      </c>
      <c r="N1341" t="s">
        <v>112</v>
      </c>
      <c r="O1341">
        <v>35.89</v>
      </c>
      <c r="P1341" t="s">
        <v>34</v>
      </c>
    </row>
    <row r="1342" spans="1:16" ht="15" customHeight="1" x14ac:dyDescent="0.4">
      <c r="A1342" t="s">
        <v>15</v>
      </c>
      <c r="B1342" t="s">
        <v>16</v>
      </c>
      <c r="C1342" s="13">
        <v>44562</v>
      </c>
      <c r="D1342" s="13">
        <v>44926</v>
      </c>
      <c r="E1342" t="s">
        <v>17</v>
      </c>
      <c r="F1342">
        <v>0</v>
      </c>
      <c r="G1342" t="s">
        <v>18</v>
      </c>
      <c r="H1342">
        <v>1</v>
      </c>
      <c r="I1342" t="s">
        <v>19</v>
      </c>
      <c r="J1342">
        <v>337</v>
      </c>
      <c r="K1342" t="s">
        <v>203</v>
      </c>
      <c r="L1342" s="13">
        <v>44617</v>
      </c>
      <c r="M1342" t="s">
        <v>210</v>
      </c>
      <c r="N1342" t="s">
        <v>112</v>
      </c>
      <c r="O1342">
        <v>19.72</v>
      </c>
      <c r="P1342" t="s">
        <v>34</v>
      </c>
    </row>
    <row r="1343" spans="1:16" ht="15" customHeight="1" x14ac:dyDescent="0.4">
      <c r="A1343" t="s">
        <v>15</v>
      </c>
      <c r="B1343" t="s">
        <v>16</v>
      </c>
      <c r="C1343" s="13">
        <v>44562</v>
      </c>
      <c r="D1343" s="13">
        <v>44926</v>
      </c>
      <c r="E1343" t="s">
        <v>17</v>
      </c>
      <c r="F1343">
        <v>0</v>
      </c>
      <c r="G1343" t="s">
        <v>18</v>
      </c>
      <c r="H1343">
        <v>1</v>
      </c>
      <c r="I1343" t="s">
        <v>19</v>
      </c>
      <c r="J1343">
        <v>337</v>
      </c>
      <c r="K1343" t="s">
        <v>203</v>
      </c>
      <c r="L1343" s="13">
        <v>44637</v>
      </c>
      <c r="M1343" t="s">
        <v>211</v>
      </c>
      <c r="N1343" t="s">
        <v>106</v>
      </c>
      <c r="O1343">
        <v>0.01</v>
      </c>
      <c r="P1343" t="s">
        <v>205</v>
      </c>
    </row>
    <row r="1344" spans="1:16" ht="15" customHeight="1" x14ac:dyDescent="0.4">
      <c r="A1344" t="s">
        <v>15</v>
      </c>
      <c r="B1344" t="s">
        <v>16</v>
      </c>
      <c r="C1344" s="13">
        <v>44562</v>
      </c>
      <c r="D1344" s="13">
        <v>44926</v>
      </c>
      <c r="E1344" t="s">
        <v>17</v>
      </c>
      <c r="F1344">
        <v>0</v>
      </c>
      <c r="G1344" t="s">
        <v>18</v>
      </c>
      <c r="H1344">
        <v>1</v>
      </c>
      <c r="I1344" t="s">
        <v>19</v>
      </c>
      <c r="J1344">
        <v>337</v>
      </c>
      <c r="K1344" t="s">
        <v>203</v>
      </c>
      <c r="L1344" s="13">
        <v>44649</v>
      </c>
      <c r="M1344" t="s">
        <v>213</v>
      </c>
      <c r="N1344" t="s">
        <v>116</v>
      </c>
      <c r="O1344">
        <v>19.72</v>
      </c>
      <c r="P1344" t="s">
        <v>34</v>
      </c>
    </row>
    <row r="1345" spans="1:16" ht="15" customHeight="1" x14ac:dyDescent="0.4">
      <c r="A1345" t="s">
        <v>15</v>
      </c>
      <c r="B1345" t="s">
        <v>16</v>
      </c>
      <c r="C1345" s="13">
        <v>44562</v>
      </c>
      <c r="D1345" s="13">
        <v>44926</v>
      </c>
      <c r="E1345" t="s">
        <v>17</v>
      </c>
      <c r="F1345">
        <v>0</v>
      </c>
      <c r="G1345" t="s">
        <v>18</v>
      </c>
      <c r="H1345">
        <v>1</v>
      </c>
      <c r="I1345" t="s">
        <v>19</v>
      </c>
      <c r="J1345">
        <v>337</v>
      </c>
      <c r="K1345" t="s">
        <v>203</v>
      </c>
      <c r="L1345" s="13">
        <v>44649</v>
      </c>
      <c r="M1345" t="s">
        <v>212</v>
      </c>
      <c r="N1345" t="s">
        <v>116</v>
      </c>
      <c r="O1345">
        <v>35.89</v>
      </c>
      <c r="P1345" t="s">
        <v>34</v>
      </c>
    </row>
    <row r="1346" spans="1:16" ht="15" customHeight="1" x14ac:dyDescent="0.4">
      <c r="A1346" t="s">
        <v>15</v>
      </c>
      <c r="B1346" t="s">
        <v>16</v>
      </c>
      <c r="C1346" s="13">
        <v>44562</v>
      </c>
      <c r="D1346" s="13">
        <v>44926</v>
      </c>
      <c r="E1346" t="s">
        <v>17</v>
      </c>
      <c r="F1346">
        <v>0</v>
      </c>
      <c r="G1346" t="s">
        <v>18</v>
      </c>
      <c r="H1346">
        <v>1</v>
      </c>
      <c r="I1346" t="s">
        <v>19</v>
      </c>
      <c r="J1346">
        <v>337</v>
      </c>
      <c r="K1346" t="s">
        <v>203</v>
      </c>
      <c r="L1346" s="13">
        <v>44662</v>
      </c>
      <c r="M1346" t="s">
        <v>214</v>
      </c>
      <c r="N1346" t="s">
        <v>106</v>
      </c>
      <c r="O1346">
        <v>0.01</v>
      </c>
      <c r="P1346" t="s">
        <v>205</v>
      </c>
    </row>
    <row r="1347" spans="1:16" ht="15" customHeight="1" x14ac:dyDescent="0.4">
      <c r="A1347" t="s">
        <v>15</v>
      </c>
      <c r="B1347" t="s">
        <v>16</v>
      </c>
      <c r="C1347" s="13">
        <v>44562</v>
      </c>
      <c r="D1347" s="13">
        <v>44926</v>
      </c>
      <c r="E1347" t="s">
        <v>17</v>
      </c>
      <c r="F1347">
        <v>0</v>
      </c>
      <c r="G1347" t="s">
        <v>18</v>
      </c>
      <c r="H1347">
        <v>1</v>
      </c>
      <c r="I1347" t="s">
        <v>19</v>
      </c>
      <c r="J1347">
        <v>337</v>
      </c>
      <c r="K1347" t="s">
        <v>203</v>
      </c>
      <c r="L1347" s="13">
        <v>44679</v>
      </c>
      <c r="M1347" t="s">
        <v>216</v>
      </c>
      <c r="N1347" t="s">
        <v>119</v>
      </c>
      <c r="O1347">
        <v>19.760000000000002</v>
      </c>
      <c r="P1347" t="s">
        <v>34</v>
      </c>
    </row>
    <row r="1348" spans="1:16" ht="15" customHeight="1" x14ac:dyDescent="0.4">
      <c r="A1348" t="s">
        <v>15</v>
      </c>
      <c r="B1348" t="s">
        <v>16</v>
      </c>
      <c r="C1348" s="13">
        <v>44562</v>
      </c>
      <c r="D1348" s="13">
        <v>44926</v>
      </c>
      <c r="E1348" t="s">
        <v>17</v>
      </c>
      <c r="F1348">
        <v>0</v>
      </c>
      <c r="G1348" t="s">
        <v>18</v>
      </c>
      <c r="H1348">
        <v>1</v>
      </c>
      <c r="I1348" t="s">
        <v>19</v>
      </c>
      <c r="J1348">
        <v>337</v>
      </c>
      <c r="K1348" t="s">
        <v>203</v>
      </c>
      <c r="L1348" s="13">
        <v>44679</v>
      </c>
      <c r="M1348" t="s">
        <v>215</v>
      </c>
      <c r="N1348" t="s">
        <v>119</v>
      </c>
      <c r="O1348">
        <v>35.89</v>
      </c>
      <c r="P1348" t="s">
        <v>34</v>
      </c>
    </row>
    <row r="1349" spans="1:16" ht="15" customHeight="1" x14ac:dyDescent="0.4">
      <c r="A1349" t="s">
        <v>15</v>
      </c>
      <c r="B1349" t="s">
        <v>16</v>
      </c>
      <c r="C1349" s="13">
        <v>44562</v>
      </c>
      <c r="D1349" s="13">
        <v>44926</v>
      </c>
      <c r="E1349" t="s">
        <v>17</v>
      </c>
      <c r="F1349">
        <v>0</v>
      </c>
      <c r="G1349" t="s">
        <v>18</v>
      </c>
      <c r="H1349">
        <v>1</v>
      </c>
      <c r="I1349" t="s">
        <v>19</v>
      </c>
      <c r="J1349">
        <v>337</v>
      </c>
      <c r="K1349" t="s">
        <v>203</v>
      </c>
      <c r="L1349" s="13">
        <v>44693</v>
      </c>
      <c r="M1349" t="s">
        <v>217</v>
      </c>
      <c r="N1349" t="s">
        <v>106</v>
      </c>
      <c r="O1349">
        <v>-0.01</v>
      </c>
      <c r="P1349" t="s">
        <v>205</v>
      </c>
    </row>
    <row r="1350" spans="1:16" ht="15" customHeight="1" x14ac:dyDescent="0.4">
      <c r="A1350" t="s">
        <v>15</v>
      </c>
      <c r="B1350" t="s">
        <v>16</v>
      </c>
      <c r="C1350" s="13">
        <v>44562</v>
      </c>
      <c r="D1350" s="13">
        <v>44926</v>
      </c>
      <c r="E1350" t="s">
        <v>17</v>
      </c>
      <c r="F1350">
        <v>0</v>
      </c>
      <c r="G1350" t="s">
        <v>18</v>
      </c>
      <c r="H1350">
        <v>1</v>
      </c>
      <c r="I1350" t="s">
        <v>19</v>
      </c>
      <c r="J1350">
        <v>337</v>
      </c>
      <c r="K1350" t="s">
        <v>203</v>
      </c>
      <c r="L1350" s="13">
        <v>44706</v>
      </c>
      <c r="M1350" t="s">
        <v>218</v>
      </c>
      <c r="N1350" t="s">
        <v>122</v>
      </c>
      <c r="O1350">
        <v>35.89</v>
      </c>
      <c r="P1350" t="s">
        <v>34</v>
      </c>
    </row>
    <row r="1351" spans="1:16" ht="15" customHeight="1" x14ac:dyDescent="0.4">
      <c r="A1351" t="s">
        <v>15</v>
      </c>
      <c r="B1351" t="s">
        <v>16</v>
      </c>
      <c r="C1351" s="13">
        <v>44562</v>
      </c>
      <c r="D1351" s="13">
        <v>44926</v>
      </c>
      <c r="E1351" t="s">
        <v>17</v>
      </c>
      <c r="F1351">
        <v>0</v>
      </c>
      <c r="G1351" t="s">
        <v>18</v>
      </c>
      <c r="H1351">
        <v>1</v>
      </c>
      <c r="I1351" t="s">
        <v>19</v>
      </c>
      <c r="J1351">
        <v>337</v>
      </c>
      <c r="K1351" t="s">
        <v>203</v>
      </c>
      <c r="L1351" s="13">
        <v>44706</v>
      </c>
      <c r="M1351" t="s">
        <v>219</v>
      </c>
      <c r="N1351" t="s">
        <v>122</v>
      </c>
      <c r="O1351">
        <v>19.72</v>
      </c>
      <c r="P1351" t="s">
        <v>34</v>
      </c>
    </row>
    <row r="1352" spans="1:16" ht="15" customHeight="1" x14ac:dyDescent="0.4">
      <c r="A1352" t="s">
        <v>15</v>
      </c>
      <c r="B1352" t="s">
        <v>16</v>
      </c>
      <c r="C1352" s="13">
        <v>44562</v>
      </c>
      <c r="D1352" s="13">
        <v>44926</v>
      </c>
      <c r="E1352" t="s">
        <v>17</v>
      </c>
      <c r="F1352">
        <v>0</v>
      </c>
      <c r="G1352" t="s">
        <v>18</v>
      </c>
      <c r="H1352">
        <v>1</v>
      </c>
      <c r="I1352" t="s">
        <v>19</v>
      </c>
      <c r="J1352">
        <v>337</v>
      </c>
      <c r="K1352" t="s">
        <v>203</v>
      </c>
      <c r="L1352" s="13">
        <v>44712</v>
      </c>
      <c r="M1352" t="s">
        <v>220</v>
      </c>
      <c r="N1352" t="s">
        <v>106</v>
      </c>
      <c r="O1352">
        <v>0.01</v>
      </c>
      <c r="P1352" t="s">
        <v>205</v>
      </c>
    </row>
    <row r="1353" spans="1:16" ht="15" customHeight="1" x14ac:dyDescent="0.4">
      <c r="A1353" t="s">
        <v>15</v>
      </c>
      <c r="B1353" t="s">
        <v>16</v>
      </c>
      <c r="C1353" s="13">
        <v>44562</v>
      </c>
      <c r="D1353" s="13">
        <v>44926</v>
      </c>
      <c r="E1353" t="s">
        <v>17</v>
      </c>
      <c r="F1353">
        <v>0</v>
      </c>
      <c r="G1353" t="s">
        <v>18</v>
      </c>
      <c r="H1353">
        <v>1</v>
      </c>
      <c r="I1353" t="s">
        <v>19</v>
      </c>
      <c r="J1353">
        <v>337</v>
      </c>
      <c r="K1353" t="s">
        <v>203</v>
      </c>
      <c r="L1353" s="13">
        <v>44739</v>
      </c>
      <c r="M1353" t="s">
        <v>221</v>
      </c>
      <c r="N1353" t="s">
        <v>125</v>
      </c>
      <c r="O1353">
        <v>20.73</v>
      </c>
      <c r="P1353" t="s">
        <v>34</v>
      </c>
    </row>
    <row r="1354" spans="1:16" ht="15" customHeight="1" x14ac:dyDescent="0.4">
      <c r="A1354" t="s">
        <v>15</v>
      </c>
      <c r="B1354" t="s">
        <v>16</v>
      </c>
      <c r="C1354" s="13">
        <v>44562</v>
      </c>
      <c r="D1354" s="13">
        <v>44926</v>
      </c>
      <c r="E1354" t="s">
        <v>17</v>
      </c>
      <c r="F1354">
        <v>0</v>
      </c>
      <c r="G1354" t="s">
        <v>18</v>
      </c>
      <c r="H1354">
        <v>1</v>
      </c>
      <c r="I1354" t="s">
        <v>19</v>
      </c>
      <c r="J1354">
        <v>337</v>
      </c>
      <c r="K1354" t="s">
        <v>203</v>
      </c>
      <c r="L1354" s="13">
        <v>44739</v>
      </c>
      <c r="M1354" t="s">
        <v>222</v>
      </c>
      <c r="N1354" t="s">
        <v>125</v>
      </c>
      <c r="O1354">
        <v>35.89</v>
      </c>
      <c r="P1354" t="s">
        <v>34</v>
      </c>
    </row>
    <row r="1355" spans="1:16" ht="15" customHeight="1" x14ac:dyDescent="0.4">
      <c r="A1355" t="s">
        <v>15</v>
      </c>
      <c r="B1355" t="s">
        <v>16</v>
      </c>
      <c r="C1355" s="13">
        <v>44562</v>
      </c>
      <c r="D1355" s="13">
        <v>44926</v>
      </c>
      <c r="E1355" t="s">
        <v>17</v>
      </c>
      <c r="F1355">
        <v>0</v>
      </c>
      <c r="G1355" t="s">
        <v>18</v>
      </c>
      <c r="H1355">
        <v>1</v>
      </c>
      <c r="I1355" t="s">
        <v>19</v>
      </c>
      <c r="J1355">
        <v>337</v>
      </c>
      <c r="K1355" t="s">
        <v>203</v>
      </c>
      <c r="L1355" s="13">
        <v>44750</v>
      </c>
      <c r="M1355" t="s">
        <v>223</v>
      </c>
      <c r="N1355" t="s">
        <v>106</v>
      </c>
      <c r="O1355">
        <v>-0.01</v>
      </c>
      <c r="P1355" t="s">
        <v>205</v>
      </c>
    </row>
    <row r="1356" spans="1:16" ht="15" customHeight="1" x14ac:dyDescent="0.4">
      <c r="A1356" t="s">
        <v>15</v>
      </c>
      <c r="B1356" t="s">
        <v>16</v>
      </c>
      <c r="C1356" s="13">
        <v>44562</v>
      </c>
      <c r="D1356" s="13">
        <v>44926</v>
      </c>
      <c r="E1356" t="s">
        <v>17</v>
      </c>
      <c r="F1356">
        <v>0</v>
      </c>
      <c r="G1356" t="s">
        <v>18</v>
      </c>
      <c r="H1356">
        <v>1</v>
      </c>
      <c r="I1356" t="s">
        <v>19</v>
      </c>
      <c r="J1356">
        <v>337</v>
      </c>
      <c r="K1356" t="s">
        <v>203</v>
      </c>
      <c r="L1356" s="13">
        <v>44770</v>
      </c>
      <c r="M1356" t="s">
        <v>224</v>
      </c>
      <c r="N1356" t="s">
        <v>128</v>
      </c>
      <c r="O1356">
        <v>35.89</v>
      </c>
      <c r="P1356" t="s">
        <v>34</v>
      </c>
    </row>
    <row r="1357" spans="1:16" ht="15" customHeight="1" x14ac:dyDescent="0.4">
      <c r="A1357" t="s">
        <v>15</v>
      </c>
      <c r="B1357" t="s">
        <v>16</v>
      </c>
      <c r="C1357" s="13">
        <v>44562</v>
      </c>
      <c r="D1357" s="13">
        <v>44926</v>
      </c>
      <c r="E1357" t="s">
        <v>17</v>
      </c>
      <c r="F1357">
        <v>0</v>
      </c>
      <c r="G1357" t="s">
        <v>18</v>
      </c>
      <c r="H1357">
        <v>1</v>
      </c>
      <c r="I1357" t="s">
        <v>19</v>
      </c>
      <c r="J1357">
        <v>337</v>
      </c>
      <c r="K1357" t="s">
        <v>203</v>
      </c>
      <c r="L1357" s="13">
        <v>44770</v>
      </c>
      <c r="M1357" t="s">
        <v>225</v>
      </c>
      <c r="N1357" t="s">
        <v>128</v>
      </c>
      <c r="O1357">
        <v>20.49</v>
      </c>
      <c r="P1357" t="s">
        <v>34</v>
      </c>
    </row>
    <row r="1358" spans="1:16" ht="15" customHeight="1" x14ac:dyDescent="0.4">
      <c r="A1358" t="s">
        <v>15</v>
      </c>
      <c r="B1358" t="s">
        <v>16</v>
      </c>
      <c r="C1358" s="13">
        <v>44562</v>
      </c>
      <c r="D1358" s="13">
        <v>44926</v>
      </c>
      <c r="E1358" t="s">
        <v>17</v>
      </c>
      <c r="F1358">
        <v>0</v>
      </c>
      <c r="G1358" t="s">
        <v>18</v>
      </c>
      <c r="H1358">
        <v>1</v>
      </c>
      <c r="I1358" t="s">
        <v>19</v>
      </c>
      <c r="J1358">
        <v>337</v>
      </c>
      <c r="K1358" t="s">
        <v>203</v>
      </c>
      <c r="L1358" s="13">
        <v>44799</v>
      </c>
      <c r="M1358" t="s">
        <v>227</v>
      </c>
      <c r="N1358" t="s">
        <v>131</v>
      </c>
      <c r="O1358">
        <v>35.89</v>
      </c>
      <c r="P1358" t="s">
        <v>34</v>
      </c>
    </row>
    <row r="1359" spans="1:16" ht="15" customHeight="1" x14ac:dyDescent="0.4">
      <c r="A1359" t="s">
        <v>15</v>
      </c>
      <c r="B1359" t="s">
        <v>16</v>
      </c>
      <c r="C1359" s="13">
        <v>44562</v>
      </c>
      <c r="D1359" s="13">
        <v>44926</v>
      </c>
      <c r="E1359" t="s">
        <v>17</v>
      </c>
      <c r="F1359">
        <v>0</v>
      </c>
      <c r="G1359" t="s">
        <v>18</v>
      </c>
      <c r="H1359">
        <v>1</v>
      </c>
      <c r="I1359" t="s">
        <v>19</v>
      </c>
      <c r="J1359">
        <v>337</v>
      </c>
      <c r="K1359" t="s">
        <v>203</v>
      </c>
      <c r="L1359" s="13">
        <v>44799</v>
      </c>
      <c r="M1359" t="s">
        <v>226</v>
      </c>
      <c r="N1359" t="s">
        <v>131</v>
      </c>
      <c r="O1359">
        <v>20.47</v>
      </c>
      <c r="P1359" t="s">
        <v>34</v>
      </c>
    </row>
    <row r="1360" spans="1:16" ht="15" customHeight="1" x14ac:dyDescent="0.4">
      <c r="A1360" t="s">
        <v>15</v>
      </c>
      <c r="B1360" t="s">
        <v>16</v>
      </c>
      <c r="C1360" s="13">
        <v>44562</v>
      </c>
      <c r="D1360" s="13">
        <v>44926</v>
      </c>
      <c r="E1360" t="s">
        <v>17</v>
      </c>
      <c r="F1360">
        <v>0</v>
      </c>
      <c r="G1360" t="s">
        <v>18</v>
      </c>
      <c r="H1360">
        <v>1</v>
      </c>
      <c r="I1360" t="s">
        <v>19</v>
      </c>
      <c r="J1360">
        <v>337</v>
      </c>
      <c r="K1360" t="s">
        <v>203</v>
      </c>
      <c r="L1360" s="13">
        <v>44831</v>
      </c>
      <c r="M1360" t="s">
        <v>228</v>
      </c>
      <c r="N1360" t="s">
        <v>134</v>
      </c>
      <c r="O1360">
        <v>20.47</v>
      </c>
      <c r="P1360" t="s">
        <v>34</v>
      </c>
    </row>
    <row r="1361" spans="1:16" ht="15" customHeight="1" x14ac:dyDescent="0.4">
      <c r="A1361" t="s">
        <v>15</v>
      </c>
      <c r="B1361" t="s">
        <v>16</v>
      </c>
      <c r="C1361" s="13">
        <v>44562</v>
      </c>
      <c r="D1361" s="13">
        <v>44926</v>
      </c>
      <c r="E1361" t="s">
        <v>17</v>
      </c>
      <c r="F1361">
        <v>0</v>
      </c>
      <c r="G1361" t="s">
        <v>18</v>
      </c>
      <c r="H1361">
        <v>1</v>
      </c>
      <c r="I1361" t="s">
        <v>19</v>
      </c>
      <c r="J1361">
        <v>337</v>
      </c>
      <c r="K1361" t="s">
        <v>203</v>
      </c>
      <c r="L1361" s="13">
        <v>44831</v>
      </c>
      <c r="M1361" t="s">
        <v>229</v>
      </c>
      <c r="N1361" t="s">
        <v>134</v>
      </c>
      <c r="O1361">
        <v>35.89</v>
      </c>
      <c r="P1361" t="s">
        <v>34</v>
      </c>
    </row>
    <row r="1362" spans="1:16" ht="15" customHeight="1" x14ac:dyDescent="0.4">
      <c r="A1362" t="s">
        <v>15</v>
      </c>
      <c r="B1362" t="s">
        <v>16</v>
      </c>
      <c r="C1362" s="13">
        <v>44562</v>
      </c>
      <c r="D1362" s="13">
        <v>44926</v>
      </c>
      <c r="E1362" t="s">
        <v>17</v>
      </c>
      <c r="F1362">
        <v>0</v>
      </c>
      <c r="G1362" t="s">
        <v>18</v>
      </c>
      <c r="H1362">
        <v>1</v>
      </c>
      <c r="I1362" t="s">
        <v>19</v>
      </c>
      <c r="J1362">
        <v>337</v>
      </c>
      <c r="K1362" t="s">
        <v>203</v>
      </c>
      <c r="L1362" s="13">
        <v>44861</v>
      </c>
      <c r="M1362" t="s">
        <v>230</v>
      </c>
      <c r="N1362" t="s">
        <v>137</v>
      </c>
      <c r="O1362">
        <v>35.89</v>
      </c>
      <c r="P1362" t="s">
        <v>34</v>
      </c>
    </row>
    <row r="1363" spans="1:16" ht="15" customHeight="1" x14ac:dyDescent="0.4">
      <c r="A1363" t="s">
        <v>15</v>
      </c>
      <c r="B1363" t="s">
        <v>16</v>
      </c>
      <c r="C1363" s="13">
        <v>44562</v>
      </c>
      <c r="D1363" s="13">
        <v>44926</v>
      </c>
      <c r="E1363" t="s">
        <v>17</v>
      </c>
      <c r="F1363">
        <v>0</v>
      </c>
      <c r="G1363" t="s">
        <v>18</v>
      </c>
      <c r="H1363">
        <v>1</v>
      </c>
      <c r="I1363" t="s">
        <v>19</v>
      </c>
      <c r="J1363">
        <v>337</v>
      </c>
      <c r="K1363" t="s">
        <v>203</v>
      </c>
      <c r="L1363" s="13">
        <v>44861</v>
      </c>
      <c r="M1363" t="s">
        <v>231</v>
      </c>
      <c r="N1363" t="s">
        <v>137</v>
      </c>
      <c r="O1363">
        <v>20.47</v>
      </c>
      <c r="P1363" t="s">
        <v>34</v>
      </c>
    </row>
    <row r="1364" spans="1:16" ht="15" customHeight="1" x14ac:dyDescent="0.4">
      <c r="A1364" t="s">
        <v>15</v>
      </c>
      <c r="B1364" t="s">
        <v>16</v>
      </c>
      <c r="C1364" s="13">
        <v>44562</v>
      </c>
      <c r="D1364" s="13">
        <v>44926</v>
      </c>
      <c r="E1364" t="s">
        <v>17</v>
      </c>
      <c r="F1364">
        <v>0</v>
      </c>
      <c r="G1364" t="s">
        <v>18</v>
      </c>
      <c r="H1364">
        <v>1</v>
      </c>
      <c r="I1364" t="s">
        <v>19</v>
      </c>
      <c r="J1364">
        <v>337</v>
      </c>
      <c r="K1364" t="s">
        <v>203</v>
      </c>
      <c r="L1364" s="13">
        <v>44893</v>
      </c>
      <c r="M1364" t="s">
        <v>233</v>
      </c>
      <c r="N1364" t="s">
        <v>140</v>
      </c>
      <c r="O1364">
        <v>20.49</v>
      </c>
      <c r="P1364" t="s">
        <v>34</v>
      </c>
    </row>
    <row r="1365" spans="1:16" ht="15" customHeight="1" x14ac:dyDescent="0.4">
      <c r="A1365" t="s">
        <v>15</v>
      </c>
      <c r="B1365" t="s">
        <v>16</v>
      </c>
      <c r="C1365" s="13">
        <v>44562</v>
      </c>
      <c r="D1365" s="13">
        <v>44926</v>
      </c>
      <c r="E1365" t="s">
        <v>17</v>
      </c>
      <c r="F1365">
        <v>0</v>
      </c>
      <c r="G1365" t="s">
        <v>18</v>
      </c>
      <c r="H1365">
        <v>1</v>
      </c>
      <c r="I1365" t="s">
        <v>19</v>
      </c>
      <c r="J1365">
        <v>337</v>
      </c>
      <c r="K1365" t="s">
        <v>203</v>
      </c>
      <c r="L1365" s="13">
        <v>44893</v>
      </c>
      <c r="M1365" t="s">
        <v>232</v>
      </c>
      <c r="N1365" t="s">
        <v>140</v>
      </c>
      <c r="O1365">
        <v>35.89</v>
      </c>
      <c r="P1365" t="s">
        <v>34</v>
      </c>
    </row>
    <row r="1366" spans="1:16" ht="15" customHeight="1" x14ac:dyDescent="0.4">
      <c r="A1366" t="s">
        <v>15</v>
      </c>
      <c r="B1366" t="s">
        <v>16</v>
      </c>
      <c r="C1366" s="13">
        <v>44562</v>
      </c>
      <c r="D1366" s="13">
        <v>44926</v>
      </c>
      <c r="E1366" t="s">
        <v>17</v>
      </c>
      <c r="F1366">
        <v>0</v>
      </c>
      <c r="G1366" t="s">
        <v>18</v>
      </c>
      <c r="H1366">
        <v>1</v>
      </c>
      <c r="I1366" t="s">
        <v>19</v>
      </c>
      <c r="J1366">
        <v>337</v>
      </c>
      <c r="K1366" t="s">
        <v>203</v>
      </c>
      <c r="L1366" s="13">
        <v>44921</v>
      </c>
      <c r="M1366" t="s">
        <v>235</v>
      </c>
      <c r="N1366" t="s">
        <v>142</v>
      </c>
      <c r="O1366">
        <v>35.89</v>
      </c>
      <c r="P1366" t="s">
        <v>34</v>
      </c>
    </row>
    <row r="1367" spans="1:16" ht="15" customHeight="1" x14ac:dyDescent="0.4">
      <c r="A1367" t="s">
        <v>15</v>
      </c>
      <c r="B1367" t="s">
        <v>16</v>
      </c>
      <c r="C1367" s="13">
        <v>44562</v>
      </c>
      <c r="D1367" s="13">
        <v>44926</v>
      </c>
      <c r="E1367" t="s">
        <v>17</v>
      </c>
      <c r="F1367">
        <v>0</v>
      </c>
      <c r="G1367" t="s">
        <v>18</v>
      </c>
      <c r="H1367">
        <v>1</v>
      </c>
      <c r="I1367" t="s">
        <v>19</v>
      </c>
      <c r="J1367">
        <v>337</v>
      </c>
      <c r="K1367" t="s">
        <v>203</v>
      </c>
      <c r="L1367" s="13">
        <v>44921</v>
      </c>
      <c r="M1367" t="s">
        <v>234</v>
      </c>
      <c r="N1367" t="s">
        <v>142</v>
      </c>
      <c r="O1367">
        <v>39.61</v>
      </c>
      <c r="P1367" t="s">
        <v>34</v>
      </c>
    </row>
    <row r="1368" spans="1:16" ht="15" customHeight="1" x14ac:dyDescent="0.4">
      <c r="A1368" t="s">
        <v>15</v>
      </c>
      <c r="B1368" t="s">
        <v>16</v>
      </c>
      <c r="C1368" s="13">
        <v>44562</v>
      </c>
      <c r="D1368" s="13">
        <v>44926</v>
      </c>
      <c r="E1368" t="s">
        <v>17</v>
      </c>
      <c r="F1368">
        <v>0</v>
      </c>
      <c r="G1368" t="s">
        <v>18</v>
      </c>
      <c r="H1368">
        <v>1</v>
      </c>
      <c r="I1368" t="s">
        <v>19</v>
      </c>
      <c r="J1368">
        <v>349</v>
      </c>
      <c r="K1368" t="s">
        <v>236</v>
      </c>
      <c r="L1368" s="13">
        <v>44584</v>
      </c>
      <c r="M1368" t="s">
        <v>237</v>
      </c>
      <c r="N1368" t="s">
        <v>238</v>
      </c>
      <c r="O1368">
        <v>20.440000000000001</v>
      </c>
      <c r="P1368" t="s">
        <v>239</v>
      </c>
    </row>
    <row r="1369" spans="1:16" ht="15" customHeight="1" x14ac:dyDescent="0.4">
      <c r="A1369" t="s">
        <v>15</v>
      </c>
      <c r="B1369" t="s">
        <v>16</v>
      </c>
      <c r="C1369" s="13">
        <v>44562</v>
      </c>
      <c r="D1369" s="13">
        <v>44926</v>
      </c>
      <c r="E1369" t="s">
        <v>17</v>
      </c>
      <c r="F1369">
        <v>0</v>
      </c>
      <c r="G1369" t="s">
        <v>18</v>
      </c>
      <c r="H1369">
        <v>1</v>
      </c>
      <c r="I1369" t="s">
        <v>19</v>
      </c>
      <c r="J1369">
        <v>349</v>
      </c>
      <c r="K1369" t="s">
        <v>236</v>
      </c>
      <c r="L1369" s="13">
        <v>44642</v>
      </c>
      <c r="M1369" t="s">
        <v>240</v>
      </c>
      <c r="N1369" t="s">
        <v>241</v>
      </c>
      <c r="O1369">
        <v>18.579999999999998</v>
      </c>
      <c r="P1369" t="s">
        <v>239</v>
      </c>
    </row>
    <row r="1370" spans="1:16" ht="15" customHeight="1" x14ac:dyDescent="0.4">
      <c r="A1370" t="s">
        <v>15</v>
      </c>
      <c r="B1370" t="s">
        <v>16</v>
      </c>
      <c r="C1370" s="13">
        <v>44562</v>
      </c>
      <c r="D1370" s="13">
        <v>44926</v>
      </c>
      <c r="E1370" t="s">
        <v>17</v>
      </c>
      <c r="F1370">
        <v>0</v>
      </c>
      <c r="G1370" t="s">
        <v>18</v>
      </c>
      <c r="H1370">
        <v>1</v>
      </c>
      <c r="I1370" t="s">
        <v>19</v>
      </c>
      <c r="J1370">
        <v>349</v>
      </c>
      <c r="K1370" t="s">
        <v>236</v>
      </c>
      <c r="L1370" s="13">
        <v>44703</v>
      </c>
      <c r="M1370" t="s">
        <v>242</v>
      </c>
      <c r="N1370" t="s">
        <v>243</v>
      </c>
      <c r="O1370">
        <v>17.57</v>
      </c>
      <c r="P1370" t="s">
        <v>239</v>
      </c>
    </row>
    <row r="1371" spans="1:16" ht="15" customHeight="1" x14ac:dyDescent="0.4">
      <c r="A1371" t="s">
        <v>15</v>
      </c>
      <c r="B1371" t="s">
        <v>16</v>
      </c>
      <c r="C1371" s="13">
        <v>44562</v>
      </c>
      <c r="D1371" s="13">
        <v>44926</v>
      </c>
      <c r="E1371" t="s">
        <v>17</v>
      </c>
      <c r="F1371">
        <v>0</v>
      </c>
      <c r="G1371" t="s">
        <v>18</v>
      </c>
      <c r="H1371">
        <v>1</v>
      </c>
      <c r="I1371" t="s">
        <v>19</v>
      </c>
      <c r="J1371">
        <v>349</v>
      </c>
      <c r="K1371" t="s">
        <v>236</v>
      </c>
      <c r="L1371" s="13">
        <v>44764</v>
      </c>
      <c r="M1371" t="s">
        <v>244</v>
      </c>
      <c r="N1371" t="s">
        <v>245</v>
      </c>
      <c r="O1371">
        <v>17.420000000000002</v>
      </c>
      <c r="P1371" t="s">
        <v>239</v>
      </c>
    </row>
    <row r="1372" spans="1:16" ht="15" customHeight="1" x14ac:dyDescent="0.4">
      <c r="A1372" t="s">
        <v>15</v>
      </c>
      <c r="B1372" t="s">
        <v>16</v>
      </c>
      <c r="C1372" s="13">
        <v>44562</v>
      </c>
      <c r="D1372" s="13">
        <v>44926</v>
      </c>
      <c r="E1372" t="s">
        <v>17</v>
      </c>
      <c r="F1372">
        <v>0</v>
      </c>
      <c r="G1372" t="s">
        <v>18</v>
      </c>
      <c r="H1372">
        <v>1</v>
      </c>
      <c r="I1372" t="s">
        <v>19</v>
      </c>
      <c r="J1372">
        <v>349</v>
      </c>
      <c r="K1372" t="s">
        <v>236</v>
      </c>
      <c r="L1372" s="13">
        <v>44826</v>
      </c>
      <c r="M1372" t="s">
        <v>246</v>
      </c>
      <c r="N1372" t="s">
        <v>247</v>
      </c>
      <c r="O1372">
        <v>17.510000000000002</v>
      </c>
      <c r="P1372" t="s">
        <v>239</v>
      </c>
    </row>
    <row r="1373" spans="1:16" ht="15" customHeight="1" x14ac:dyDescent="0.4">
      <c r="A1373" t="s">
        <v>15</v>
      </c>
      <c r="B1373" t="s">
        <v>16</v>
      </c>
      <c r="C1373" s="13">
        <v>44562</v>
      </c>
      <c r="D1373" s="13">
        <v>44926</v>
      </c>
      <c r="E1373" t="s">
        <v>17</v>
      </c>
      <c r="F1373">
        <v>0</v>
      </c>
      <c r="G1373" t="s">
        <v>18</v>
      </c>
      <c r="H1373">
        <v>1</v>
      </c>
      <c r="I1373" t="s">
        <v>19</v>
      </c>
      <c r="J1373">
        <v>349</v>
      </c>
      <c r="K1373" t="s">
        <v>236</v>
      </c>
      <c r="L1373" s="13">
        <v>44887</v>
      </c>
      <c r="M1373" t="s">
        <v>248</v>
      </c>
      <c r="N1373" t="s">
        <v>249</v>
      </c>
      <c r="O1373">
        <v>17.62</v>
      </c>
      <c r="P1373" t="s">
        <v>239</v>
      </c>
    </row>
    <row r="1374" spans="1:16" ht="15" customHeight="1" x14ac:dyDescent="0.4">
      <c r="A1374" t="s">
        <v>15</v>
      </c>
      <c r="B1374" t="s">
        <v>16</v>
      </c>
      <c r="C1374" s="13">
        <v>44562</v>
      </c>
      <c r="D1374" s="13">
        <v>44926</v>
      </c>
      <c r="E1374" t="s">
        <v>17</v>
      </c>
      <c r="F1374">
        <v>0</v>
      </c>
      <c r="G1374" t="s">
        <v>18</v>
      </c>
      <c r="H1374">
        <v>1</v>
      </c>
      <c r="I1374" t="s">
        <v>19</v>
      </c>
      <c r="J1374">
        <v>355</v>
      </c>
      <c r="K1374" t="s">
        <v>250</v>
      </c>
      <c r="L1374" s="13">
        <v>44656</v>
      </c>
      <c r="M1374" t="s">
        <v>251</v>
      </c>
      <c r="N1374" t="s">
        <v>46</v>
      </c>
      <c r="O1374">
        <v>26.4</v>
      </c>
      <c r="P1374" t="s">
        <v>46</v>
      </c>
    </row>
    <row r="1375" spans="1:16" ht="15" customHeight="1" x14ac:dyDescent="0.4">
      <c r="A1375" t="s">
        <v>15</v>
      </c>
      <c r="B1375" t="s">
        <v>16</v>
      </c>
      <c r="C1375" s="13">
        <v>44562</v>
      </c>
      <c r="D1375" s="13">
        <v>44926</v>
      </c>
      <c r="E1375" t="s">
        <v>17</v>
      </c>
      <c r="F1375">
        <v>0</v>
      </c>
      <c r="G1375" t="s">
        <v>18</v>
      </c>
      <c r="H1375">
        <v>1</v>
      </c>
      <c r="I1375" t="s">
        <v>19</v>
      </c>
      <c r="J1375">
        <v>355</v>
      </c>
      <c r="K1375" t="s">
        <v>250</v>
      </c>
      <c r="L1375" s="13">
        <v>44747</v>
      </c>
      <c r="M1375" t="s">
        <v>251</v>
      </c>
      <c r="N1375" t="s">
        <v>46</v>
      </c>
      <c r="O1375">
        <v>26.4</v>
      </c>
      <c r="P1375" t="s">
        <v>46</v>
      </c>
    </row>
    <row r="1376" spans="1:16" ht="15" customHeight="1" x14ac:dyDescent="0.4">
      <c r="A1376" t="s">
        <v>15</v>
      </c>
      <c r="B1376" t="s">
        <v>16</v>
      </c>
      <c r="C1376" s="13">
        <v>44562</v>
      </c>
      <c r="D1376" s="13">
        <v>44926</v>
      </c>
      <c r="E1376" t="s">
        <v>17</v>
      </c>
      <c r="F1376">
        <v>0</v>
      </c>
      <c r="G1376" t="s">
        <v>18</v>
      </c>
      <c r="H1376">
        <v>1</v>
      </c>
      <c r="I1376" t="s">
        <v>19</v>
      </c>
      <c r="J1376">
        <v>355</v>
      </c>
      <c r="K1376" t="s">
        <v>250</v>
      </c>
      <c r="L1376" s="13">
        <v>44839</v>
      </c>
      <c r="M1376" t="s">
        <v>251</v>
      </c>
      <c r="N1376" t="s">
        <v>46</v>
      </c>
      <c r="O1376">
        <v>26.4</v>
      </c>
      <c r="P1376" t="s">
        <v>46</v>
      </c>
    </row>
    <row r="1377" spans="1:16" ht="15" customHeight="1" x14ac:dyDescent="0.4">
      <c r="A1377" t="s">
        <v>15</v>
      </c>
      <c r="B1377" t="s">
        <v>16</v>
      </c>
      <c r="C1377" s="13">
        <v>44562</v>
      </c>
      <c r="D1377" s="13">
        <v>44926</v>
      </c>
      <c r="E1377" t="s">
        <v>17</v>
      </c>
      <c r="F1377">
        <v>0</v>
      </c>
      <c r="G1377" t="s">
        <v>18</v>
      </c>
      <c r="H1377">
        <v>1</v>
      </c>
      <c r="I1377" t="s">
        <v>19</v>
      </c>
      <c r="J1377">
        <v>355</v>
      </c>
      <c r="K1377" t="s">
        <v>250</v>
      </c>
      <c r="L1377" s="13">
        <v>44925</v>
      </c>
      <c r="M1377" t="s">
        <v>252</v>
      </c>
      <c r="N1377" t="s">
        <v>46</v>
      </c>
      <c r="O1377">
        <v>20</v>
      </c>
      <c r="P1377" t="s">
        <v>46</v>
      </c>
    </row>
    <row r="1378" spans="1:16" ht="15" customHeight="1" x14ac:dyDescent="0.4">
      <c r="A1378" t="s">
        <v>15</v>
      </c>
      <c r="B1378" t="s">
        <v>16</v>
      </c>
      <c r="C1378" s="13">
        <v>44562</v>
      </c>
      <c r="D1378" s="13">
        <v>44926</v>
      </c>
      <c r="E1378" t="s">
        <v>17</v>
      </c>
      <c r="F1378">
        <v>0</v>
      </c>
      <c r="G1378" t="s">
        <v>18</v>
      </c>
      <c r="H1378">
        <v>1</v>
      </c>
      <c r="I1378" t="s">
        <v>19</v>
      </c>
      <c r="J1378">
        <v>355</v>
      </c>
      <c r="K1378" t="s">
        <v>250</v>
      </c>
      <c r="L1378" s="13">
        <v>44926</v>
      </c>
      <c r="M1378" t="s">
        <v>251</v>
      </c>
      <c r="N1378" t="s">
        <v>46</v>
      </c>
      <c r="O1378">
        <v>26.4</v>
      </c>
      <c r="P1378" t="s">
        <v>46</v>
      </c>
    </row>
    <row r="1379" spans="1:16" ht="15" customHeight="1" x14ac:dyDescent="0.4">
      <c r="A1379" t="s">
        <v>15</v>
      </c>
      <c r="B1379" t="s">
        <v>16</v>
      </c>
      <c r="C1379" s="13">
        <v>44562</v>
      </c>
      <c r="D1379" s="13">
        <v>44926</v>
      </c>
      <c r="E1379" t="s">
        <v>17</v>
      </c>
      <c r="F1379">
        <v>0</v>
      </c>
      <c r="G1379" t="s">
        <v>18</v>
      </c>
      <c r="H1379">
        <v>1</v>
      </c>
      <c r="I1379" t="s">
        <v>19</v>
      </c>
      <c r="J1379">
        <v>382</v>
      </c>
      <c r="K1379" t="s">
        <v>253</v>
      </c>
      <c r="L1379" s="13">
        <v>44588</v>
      </c>
      <c r="M1379" t="s">
        <v>254</v>
      </c>
      <c r="N1379" t="s">
        <v>255</v>
      </c>
      <c r="O1379">
        <v>2400</v>
      </c>
      <c r="P1379" t="s">
        <v>256</v>
      </c>
    </row>
    <row r="1380" spans="1:16" ht="15" customHeight="1" x14ac:dyDescent="0.4">
      <c r="A1380" t="s">
        <v>15</v>
      </c>
      <c r="B1380" t="s">
        <v>16</v>
      </c>
      <c r="C1380" s="13">
        <v>44562</v>
      </c>
      <c r="D1380" s="13">
        <v>44926</v>
      </c>
      <c r="E1380" t="s">
        <v>30</v>
      </c>
      <c r="F1380">
        <v>0</v>
      </c>
      <c r="G1380" t="s">
        <v>18</v>
      </c>
      <c r="H1380">
        <v>1</v>
      </c>
      <c r="I1380" t="s">
        <v>19</v>
      </c>
      <c r="J1380">
        <v>391</v>
      </c>
      <c r="K1380" t="s">
        <v>257</v>
      </c>
      <c r="L1380" s="13">
        <v>44809</v>
      </c>
      <c r="M1380" t="s">
        <v>258</v>
      </c>
      <c r="N1380" t="s">
        <v>259</v>
      </c>
      <c r="O1380">
        <v>600</v>
      </c>
      <c r="P1380" t="s">
        <v>260</v>
      </c>
    </row>
    <row r="1381" spans="1:16" ht="15" customHeight="1" x14ac:dyDescent="0.4">
      <c r="A1381" t="s">
        <v>15</v>
      </c>
      <c r="B1381" t="s">
        <v>16</v>
      </c>
      <c r="C1381" s="13">
        <v>44562</v>
      </c>
      <c r="D1381" s="13">
        <v>44926</v>
      </c>
      <c r="E1381" t="s">
        <v>30</v>
      </c>
      <c r="F1381">
        <v>0</v>
      </c>
      <c r="G1381" t="s">
        <v>18</v>
      </c>
      <c r="H1381">
        <v>1</v>
      </c>
      <c r="I1381" t="s">
        <v>19</v>
      </c>
      <c r="J1381">
        <v>403</v>
      </c>
      <c r="K1381" t="s">
        <v>261</v>
      </c>
      <c r="L1381" s="13">
        <v>44926</v>
      </c>
      <c r="M1381" t="s">
        <v>262</v>
      </c>
      <c r="N1381" t="s">
        <v>263</v>
      </c>
      <c r="O1381">
        <v>192</v>
      </c>
      <c r="P1381" t="s">
        <v>264</v>
      </c>
    </row>
    <row r="1382" spans="1:16" ht="15" customHeight="1" x14ac:dyDescent="0.4">
      <c r="A1382" t="s">
        <v>15</v>
      </c>
      <c r="B1382" t="s">
        <v>16</v>
      </c>
      <c r="C1382" s="13">
        <v>44562</v>
      </c>
      <c r="D1382" s="13">
        <v>44926</v>
      </c>
      <c r="E1382" t="s">
        <v>30</v>
      </c>
      <c r="F1382">
        <v>0</v>
      </c>
      <c r="G1382" t="s">
        <v>18</v>
      </c>
      <c r="H1382">
        <v>1</v>
      </c>
      <c r="I1382" t="s">
        <v>19</v>
      </c>
      <c r="J1382">
        <v>403</v>
      </c>
      <c r="K1382" t="s">
        <v>261</v>
      </c>
      <c r="L1382" s="13">
        <v>44926</v>
      </c>
      <c r="M1382" t="s">
        <v>265</v>
      </c>
      <c r="N1382" t="s">
        <v>266</v>
      </c>
      <c r="O1382">
        <v>480</v>
      </c>
      <c r="P1382" t="s">
        <v>267</v>
      </c>
    </row>
    <row r="1383" spans="1:16" ht="15" customHeight="1" x14ac:dyDescent="0.4">
      <c r="A1383" t="s">
        <v>15</v>
      </c>
      <c r="B1383" t="s">
        <v>16</v>
      </c>
      <c r="C1383" s="13">
        <v>44562</v>
      </c>
      <c r="D1383" s="13">
        <v>44926</v>
      </c>
      <c r="E1383" t="s">
        <v>17</v>
      </c>
      <c r="F1383">
        <v>0</v>
      </c>
      <c r="G1383" t="s">
        <v>18</v>
      </c>
      <c r="H1383">
        <v>1</v>
      </c>
      <c r="I1383" t="s">
        <v>19</v>
      </c>
      <c r="J1383">
        <v>441</v>
      </c>
      <c r="K1383" t="s">
        <v>268</v>
      </c>
      <c r="L1383" s="13">
        <v>44562</v>
      </c>
      <c r="M1383" t="s">
        <v>269</v>
      </c>
      <c r="N1383" t="s">
        <v>270</v>
      </c>
      <c r="O1383">
        <v>9788.06</v>
      </c>
      <c r="P1383" t="s">
        <v>271</v>
      </c>
    </row>
    <row r="1384" spans="1:16" ht="15" customHeight="1" x14ac:dyDescent="0.4">
      <c r="A1384" t="s">
        <v>15</v>
      </c>
      <c r="B1384" t="s">
        <v>16</v>
      </c>
      <c r="C1384" s="13">
        <v>44562</v>
      </c>
      <c r="D1384" s="13">
        <v>44926</v>
      </c>
      <c r="E1384" t="s">
        <v>17</v>
      </c>
      <c r="F1384">
        <v>0</v>
      </c>
      <c r="G1384" t="s">
        <v>18</v>
      </c>
      <c r="H1384">
        <v>1</v>
      </c>
      <c r="I1384" t="s">
        <v>19</v>
      </c>
      <c r="J1384">
        <v>461</v>
      </c>
      <c r="K1384" t="s">
        <v>272</v>
      </c>
      <c r="L1384" s="13">
        <v>44579</v>
      </c>
      <c r="M1384" t="s">
        <v>274</v>
      </c>
      <c r="N1384" t="s">
        <v>46</v>
      </c>
      <c r="O1384">
        <v>506</v>
      </c>
      <c r="P1384" t="s">
        <v>46</v>
      </c>
    </row>
    <row r="1385" spans="1:16" ht="15" customHeight="1" x14ac:dyDescent="0.4">
      <c r="A1385" t="s">
        <v>15</v>
      </c>
      <c r="B1385" t="s">
        <v>16</v>
      </c>
      <c r="C1385" s="13">
        <v>44562</v>
      </c>
      <c r="D1385" s="13">
        <v>44926</v>
      </c>
      <c r="E1385" t="s">
        <v>17</v>
      </c>
      <c r="F1385">
        <v>0</v>
      </c>
      <c r="G1385" t="s">
        <v>18</v>
      </c>
      <c r="H1385">
        <v>1</v>
      </c>
      <c r="I1385" t="s">
        <v>19</v>
      </c>
      <c r="J1385">
        <v>461</v>
      </c>
      <c r="K1385" t="s">
        <v>272</v>
      </c>
      <c r="L1385" s="13">
        <v>44579</v>
      </c>
      <c r="M1385" t="s">
        <v>273</v>
      </c>
      <c r="N1385" t="s">
        <v>46</v>
      </c>
      <c r="O1385">
        <v>412.5</v>
      </c>
      <c r="P1385" t="s">
        <v>46</v>
      </c>
    </row>
    <row r="1386" spans="1:16" ht="15" customHeight="1" x14ac:dyDescent="0.4">
      <c r="A1386" t="s">
        <v>15</v>
      </c>
      <c r="B1386" t="s">
        <v>16</v>
      </c>
      <c r="C1386" s="13">
        <v>44562</v>
      </c>
      <c r="D1386" s="13">
        <v>44926</v>
      </c>
      <c r="E1386" t="s">
        <v>17</v>
      </c>
      <c r="F1386">
        <v>0</v>
      </c>
      <c r="G1386" t="s">
        <v>18</v>
      </c>
      <c r="H1386">
        <v>1</v>
      </c>
      <c r="I1386" t="s">
        <v>19</v>
      </c>
      <c r="J1386">
        <v>702</v>
      </c>
      <c r="K1386" t="s">
        <v>275</v>
      </c>
      <c r="L1386" s="13">
        <v>44926</v>
      </c>
      <c r="M1386" t="s">
        <v>276</v>
      </c>
      <c r="N1386" t="s">
        <v>46</v>
      </c>
      <c r="O1386">
        <v>45.92</v>
      </c>
      <c r="P1386" t="s">
        <v>46</v>
      </c>
    </row>
    <row r="1387" spans="1:16" ht="15" customHeight="1" x14ac:dyDescent="0.4">
      <c r="A1387" t="s">
        <v>15</v>
      </c>
      <c r="B1387" t="s">
        <v>16</v>
      </c>
      <c r="C1387" s="13">
        <v>44562</v>
      </c>
      <c r="D1387" s="13">
        <v>44926</v>
      </c>
      <c r="E1387" t="s">
        <v>17</v>
      </c>
      <c r="F1387">
        <v>0</v>
      </c>
      <c r="G1387" t="s">
        <v>18</v>
      </c>
      <c r="H1387">
        <v>1</v>
      </c>
      <c r="I1387" t="s">
        <v>19</v>
      </c>
      <c r="J1387">
        <v>791</v>
      </c>
      <c r="K1387" t="s">
        <v>277</v>
      </c>
      <c r="L1387" s="13">
        <v>44562</v>
      </c>
      <c r="M1387" t="s">
        <v>278</v>
      </c>
      <c r="N1387" t="s">
        <v>279</v>
      </c>
      <c r="O1387">
        <v>317.79000000000002</v>
      </c>
      <c r="P1387" t="s">
        <v>280</v>
      </c>
    </row>
    <row r="1388" spans="1:16" ht="15" customHeight="1" x14ac:dyDescent="0.4">
      <c r="A1388" t="s">
        <v>15</v>
      </c>
      <c r="B1388" t="s">
        <v>16</v>
      </c>
      <c r="C1388" s="13">
        <v>44562</v>
      </c>
      <c r="D1388" s="13">
        <v>44926</v>
      </c>
      <c r="E1388" t="s">
        <v>17</v>
      </c>
      <c r="F1388">
        <v>0</v>
      </c>
      <c r="G1388" t="s">
        <v>18</v>
      </c>
      <c r="H1388">
        <v>1</v>
      </c>
      <c r="I1388" t="s">
        <v>19</v>
      </c>
      <c r="J1388">
        <v>791</v>
      </c>
      <c r="K1388" t="s">
        <v>277</v>
      </c>
      <c r="L1388" s="13">
        <v>44628</v>
      </c>
      <c r="M1388" t="s">
        <v>281</v>
      </c>
      <c r="N1388" t="s">
        <v>282</v>
      </c>
      <c r="O1388">
        <v>317.79000000000002</v>
      </c>
      <c r="P1388" t="s">
        <v>280</v>
      </c>
    </row>
    <row r="1389" spans="1:16" ht="15" customHeight="1" x14ac:dyDescent="0.4">
      <c r="A1389" t="s">
        <v>15</v>
      </c>
      <c r="B1389" t="s">
        <v>16</v>
      </c>
      <c r="C1389" s="13">
        <v>44562</v>
      </c>
      <c r="D1389" s="13">
        <v>44926</v>
      </c>
      <c r="E1389" t="s">
        <v>17</v>
      </c>
      <c r="F1389">
        <v>0</v>
      </c>
      <c r="G1389" t="s">
        <v>18</v>
      </c>
      <c r="H1389">
        <v>1</v>
      </c>
      <c r="I1389" t="s">
        <v>19</v>
      </c>
      <c r="J1389">
        <v>791</v>
      </c>
      <c r="K1389" t="s">
        <v>277</v>
      </c>
      <c r="L1389" s="13">
        <v>44719</v>
      </c>
      <c r="M1389" t="s">
        <v>283</v>
      </c>
      <c r="N1389" t="s">
        <v>284</v>
      </c>
      <c r="O1389">
        <v>317.79000000000002</v>
      </c>
      <c r="P1389" t="s">
        <v>280</v>
      </c>
    </row>
    <row r="1390" spans="1:16" ht="15" customHeight="1" x14ac:dyDescent="0.4">
      <c r="A1390" t="s">
        <v>15</v>
      </c>
      <c r="B1390" t="s">
        <v>16</v>
      </c>
      <c r="C1390" s="13">
        <v>44562</v>
      </c>
      <c r="D1390" s="13">
        <v>44926</v>
      </c>
      <c r="E1390" t="s">
        <v>17</v>
      </c>
      <c r="F1390">
        <v>0</v>
      </c>
      <c r="G1390" t="s">
        <v>18</v>
      </c>
      <c r="H1390">
        <v>1</v>
      </c>
      <c r="I1390" t="s">
        <v>19</v>
      </c>
      <c r="J1390">
        <v>791</v>
      </c>
      <c r="K1390" t="s">
        <v>277</v>
      </c>
      <c r="L1390" s="13">
        <v>44810</v>
      </c>
      <c r="M1390" t="s">
        <v>285</v>
      </c>
      <c r="N1390" t="s">
        <v>286</v>
      </c>
      <c r="O1390">
        <v>317.79000000000002</v>
      </c>
      <c r="P1390" t="s">
        <v>280</v>
      </c>
    </row>
    <row r="1391" spans="1:16" ht="15" customHeight="1" x14ac:dyDescent="0.4">
      <c r="A1391" t="s">
        <v>15</v>
      </c>
      <c r="B1391" t="s">
        <v>16</v>
      </c>
      <c r="C1391" s="13">
        <v>44562</v>
      </c>
      <c r="D1391" s="13">
        <v>44926</v>
      </c>
      <c r="E1391" t="s">
        <v>17</v>
      </c>
      <c r="F1391">
        <v>0</v>
      </c>
      <c r="G1391" t="s">
        <v>18</v>
      </c>
      <c r="H1391">
        <v>1</v>
      </c>
      <c r="I1391" t="s">
        <v>19</v>
      </c>
      <c r="J1391">
        <v>791</v>
      </c>
      <c r="K1391" t="s">
        <v>277</v>
      </c>
      <c r="L1391" s="13">
        <v>44926</v>
      </c>
      <c r="M1391" t="s">
        <v>287</v>
      </c>
      <c r="N1391" t="s">
        <v>288</v>
      </c>
      <c r="O1391">
        <v>-423.68</v>
      </c>
      <c r="P1391" t="s">
        <v>46</v>
      </c>
    </row>
    <row r="1392" spans="1:16" ht="15" customHeight="1" x14ac:dyDescent="0.4">
      <c r="A1392" t="s">
        <v>15</v>
      </c>
      <c r="B1392" t="s">
        <v>16</v>
      </c>
      <c r="C1392" s="13">
        <v>44562</v>
      </c>
      <c r="D1392" s="13">
        <v>44926</v>
      </c>
      <c r="E1392" t="s">
        <v>17</v>
      </c>
      <c r="F1392">
        <v>0</v>
      </c>
      <c r="G1392" t="s">
        <v>18</v>
      </c>
      <c r="H1392">
        <v>1</v>
      </c>
      <c r="I1392" t="s">
        <v>19</v>
      </c>
      <c r="J1392">
        <v>841</v>
      </c>
      <c r="K1392" t="s">
        <v>289</v>
      </c>
      <c r="L1392" s="13">
        <v>44592</v>
      </c>
      <c r="M1392" t="s">
        <v>290</v>
      </c>
      <c r="N1392" t="s">
        <v>291</v>
      </c>
      <c r="O1392">
        <v>974.4</v>
      </c>
      <c r="P1392" t="s">
        <v>292</v>
      </c>
    </row>
    <row r="1393" spans="1:16" ht="15" customHeight="1" x14ac:dyDescent="0.4">
      <c r="A1393" t="s">
        <v>15</v>
      </c>
      <c r="B1393" t="s">
        <v>16</v>
      </c>
      <c r="C1393" s="13">
        <v>44562</v>
      </c>
      <c r="D1393" s="13">
        <v>44926</v>
      </c>
      <c r="E1393" t="s">
        <v>17</v>
      </c>
      <c r="F1393">
        <v>0</v>
      </c>
      <c r="G1393" t="s">
        <v>18</v>
      </c>
      <c r="H1393">
        <v>1</v>
      </c>
      <c r="I1393" t="s">
        <v>19</v>
      </c>
      <c r="J1393">
        <v>841</v>
      </c>
      <c r="K1393" t="s">
        <v>289</v>
      </c>
      <c r="L1393" s="13">
        <v>44607</v>
      </c>
      <c r="M1393" t="s">
        <v>293</v>
      </c>
      <c r="N1393" t="s">
        <v>294</v>
      </c>
      <c r="O1393">
        <v>974.4</v>
      </c>
      <c r="P1393" t="s">
        <v>292</v>
      </c>
    </row>
    <row r="1394" spans="1:16" ht="15" customHeight="1" x14ac:dyDescent="0.4">
      <c r="A1394" t="s">
        <v>15</v>
      </c>
      <c r="B1394" t="s">
        <v>16</v>
      </c>
      <c r="C1394" s="13">
        <v>44562</v>
      </c>
      <c r="D1394" s="13">
        <v>44926</v>
      </c>
      <c r="E1394" t="s">
        <v>17</v>
      </c>
      <c r="F1394">
        <v>0</v>
      </c>
      <c r="G1394" t="s">
        <v>18</v>
      </c>
      <c r="H1394">
        <v>1</v>
      </c>
      <c r="I1394" t="s">
        <v>19</v>
      </c>
      <c r="J1394">
        <v>841</v>
      </c>
      <c r="K1394" t="s">
        <v>289</v>
      </c>
      <c r="L1394" s="13">
        <v>44635</v>
      </c>
      <c r="M1394" t="s">
        <v>295</v>
      </c>
      <c r="N1394" t="s">
        <v>296</v>
      </c>
      <c r="O1394">
        <v>974.4</v>
      </c>
      <c r="P1394" t="s">
        <v>292</v>
      </c>
    </row>
    <row r="1395" spans="1:16" ht="15" customHeight="1" x14ac:dyDescent="0.4">
      <c r="A1395" t="s">
        <v>15</v>
      </c>
      <c r="B1395" t="s">
        <v>16</v>
      </c>
      <c r="C1395" s="13">
        <v>44562</v>
      </c>
      <c r="D1395" s="13">
        <v>44926</v>
      </c>
      <c r="E1395" t="s">
        <v>17</v>
      </c>
      <c r="F1395">
        <v>0</v>
      </c>
      <c r="G1395" t="s">
        <v>18</v>
      </c>
      <c r="H1395">
        <v>1</v>
      </c>
      <c r="I1395" t="s">
        <v>19</v>
      </c>
      <c r="J1395">
        <v>841</v>
      </c>
      <c r="K1395" t="s">
        <v>289</v>
      </c>
      <c r="L1395" s="13">
        <v>44681</v>
      </c>
      <c r="M1395" t="s">
        <v>297</v>
      </c>
      <c r="N1395" t="s">
        <v>298</v>
      </c>
      <c r="O1395">
        <v>976.73</v>
      </c>
      <c r="P1395" t="s">
        <v>292</v>
      </c>
    </row>
    <row r="1396" spans="1:16" ht="15" customHeight="1" x14ac:dyDescent="0.4">
      <c r="A1396" t="s">
        <v>15</v>
      </c>
      <c r="B1396" t="s">
        <v>16</v>
      </c>
      <c r="C1396" s="13">
        <v>44562</v>
      </c>
      <c r="D1396" s="13">
        <v>44926</v>
      </c>
      <c r="E1396" t="s">
        <v>17</v>
      </c>
      <c r="F1396">
        <v>0</v>
      </c>
      <c r="G1396" t="s">
        <v>18</v>
      </c>
      <c r="H1396">
        <v>1</v>
      </c>
      <c r="I1396" t="s">
        <v>19</v>
      </c>
      <c r="J1396">
        <v>841</v>
      </c>
      <c r="K1396" t="s">
        <v>289</v>
      </c>
      <c r="L1396" s="13">
        <v>44712</v>
      </c>
      <c r="M1396" t="s">
        <v>299</v>
      </c>
      <c r="N1396" t="s">
        <v>300</v>
      </c>
      <c r="O1396">
        <v>976.73</v>
      </c>
      <c r="P1396" t="s">
        <v>292</v>
      </c>
    </row>
    <row r="1397" spans="1:16" ht="15" customHeight="1" x14ac:dyDescent="0.4">
      <c r="A1397" t="s">
        <v>15</v>
      </c>
      <c r="B1397" t="s">
        <v>16</v>
      </c>
      <c r="C1397" s="13">
        <v>44562</v>
      </c>
      <c r="D1397" s="13">
        <v>44926</v>
      </c>
      <c r="E1397" t="s">
        <v>17</v>
      </c>
      <c r="F1397">
        <v>0</v>
      </c>
      <c r="G1397" t="s">
        <v>18</v>
      </c>
      <c r="H1397">
        <v>1</v>
      </c>
      <c r="I1397" t="s">
        <v>19</v>
      </c>
      <c r="J1397">
        <v>841</v>
      </c>
      <c r="K1397" t="s">
        <v>289</v>
      </c>
      <c r="L1397" s="13">
        <v>44742</v>
      </c>
      <c r="M1397" t="s">
        <v>301</v>
      </c>
      <c r="N1397" t="s">
        <v>302</v>
      </c>
      <c r="O1397">
        <v>976.73</v>
      </c>
      <c r="P1397" t="s">
        <v>292</v>
      </c>
    </row>
    <row r="1398" spans="1:16" ht="15" customHeight="1" x14ac:dyDescent="0.4">
      <c r="A1398" t="s">
        <v>15</v>
      </c>
      <c r="B1398" t="s">
        <v>16</v>
      </c>
      <c r="C1398" s="13">
        <v>44562</v>
      </c>
      <c r="D1398" s="13">
        <v>44926</v>
      </c>
      <c r="E1398" t="s">
        <v>17</v>
      </c>
      <c r="F1398">
        <v>0</v>
      </c>
      <c r="G1398" t="s">
        <v>18</v>
      </c>
      <c r="H1398">
        <v>1</v>
      </c>
      <c r="I1398" t="s">
        <v>19</v>
      </c>
      <c r="J1398">
        <v>841</v>
      </c>
      <c r="K1398" t="s">
        <v>289</v>
      </c>
      <c r="L1398" s="13">
        <v>44773</v>
      </c>
      <c r="M1398" t="s">
        <v>303</v>
      </c>
      <c r="N1398" t="s">
        <v>304</v>
      </c>
      <c r="O1398">
        <v>976.73</v>
      </c>
      <c r="P1398" t="s">
        <v>292</v>
      </c>
    </row>
    <row r="1399" spans="1:16" ht="15" customHeight="1" x14ac:dyDescent="0.4">
      <c r="A1399" t="s">
        <v>15</v>
      </c>
      <c r="B1399" t="s">
        <v>16</v>
      </c>
      <c r="C1399" s="13">
        <v>44562</v>
      </c>
      <c r="D1399" s="13">
        <v>44926</v>
      </c>
      <c r="E1399" t="s">
        <v>17</v>
      </c>
      <c r="F1399">
        <v>0</v>
      </c>
      <c r="G1399" t="s">
        <v>18</v>
      </c>
      <c r="H1399">
        <v>1</v>
      </c>
      <c r="I1399" t="s">
        <v>19</v>
      </c>
      <c r="J1399">
        <v>841</v>
      </c>
      <c r="K1399" t="s">
        <v>289</v>
      </c>
      <c r="L1399" s="13">
        <v>44804</v>
      </c>
      <c r="M1399" t="s">
        <v>305</v>
      </c>
      <c r="N1399" t="s">
        <v>306</v>
      </c>
      <c r="O1399">
        <v>976.73</v>
      </c>
      <c r="P1399" t="s">
        <v>292</v>
      </c>
    </row>
    <row r="1400" spans="1:16" ht="15" customHeight="1" x14ac:dyDescent="0.4">
      <c r="A1400" t="s">
        <v>15</v>
      </c>
      <c r="B1400" t="s">
        <v>16</v>
      </c>
      <c r="C1400" s="13">
        <v>44562</v>
      </c>
      <c r="D1400" s="13">
        <v>44926</v>
      </c>
      <c r="E1400" t="s">
        <v>17</v>
      </c>
      <c r="F1400">
        <v>0</v>
      </c>
      <c r="G1400" t="s">
        <v>18</v>
      </c>
      <c r="H1400">
        <v>1</v>
      </c>
      <c r="I1400" t="s">
        <v>19</v>
      </c>
      <c r="J1400">
        <v>841</v>
      </c>
      <c r="K1400" t="s">
        <v>289</v>
      </c>
      <c r="L1400" s="13">
        <v>44834</v>
      </c>
      <c r="M1400" t="s">
        <v>307</v>
      </c>
      <c r="N1400" t="s">
        <v>308</v>
      </c>
      <c r="O1400">
        <v>976.73</v>
      </c>
      <c r="P1400" t="s">
        <v>292</v>
      </c>
    </row>
    <row r="1401" spans="1:16" ht="15" customHeight="1" x14ac:dyDescent="0.4">
      <c r="A1401" t="s">
        <v>15</v>
      </c>
      <c r="B1401" t="s">
        <v>16</v>
      </c>
      <c r="C1401" s="13">
        <v>44562</v>
      </c>
      <c r="D1401" s="13">
        <v>44926</v>
      </c>
      <c r="E1401" t="s">
        <v>17</v>
      </c>
      <c r="F1401">
        <v>0</v>
      </c>
      <c r="G1401" t="s">
        <v>18</v>
      </c>
      <c r="H1401">
        <v>1</v>
      </c>
      <c r="I1401" t="s">
        <v>19</v>
      </c>
      <c r="J1401">
        <v>841</v>
      </c>
      <c r="K1401" t="s">
        <v>289</v>
      </c>
      <c r="L1401" s="13">
        <v>44865</v>
      </c>
      <c r="M1401" t="s">
        <v>309</v>
      </c>
      <c r="N1401" t="s">
        <v>310</v>
      </c>
      <c r="O1401">
        <v>976.73</v>
      </c>
      <c r="P1401" t="s">
        <v>292</v>
      </c>
    </row>
    <row r="1402" spans="1:16" ht="15" customHeight="1" x14ac:dyDescent="0.4">
      <c r="A1402" t="s">
        <v>15</v>
      </c>
      <c r="B1402" t="s">
        <v>16</v>
      </c>
      <c r="C1402" s="13">
        <v>44562</v>
      </c>
      <c r="D1402" s="13">
        <v>44926</v>
      </c>
      <c r="E1402" t="s">
        <v>17</v>
      </c>
      <c r="F1402">
        <v>0</v>
      </c>
      <c r="G1402" t="s">
        <v>18</v>
      </c>
      <c r="H1402">
        <v>1</v>
      </c>
      <c r="I1402" t="s">
        <v>19</v>
      </c>
      <c r="J1402">
        <v>841</v>
      </c>
      <c r="K1402" t="s">
        <v>289</v>
      </c>
      <c r="L1402" s="13">
        <v>44895</v>
      </c>
      <c r="M1402" t="s">
        <v>311</v>
      </c>
      <c r="N1402" t="s">
        <v>312</v>
      </c>
      <c r="O1402">
        <v>976.73</v>
      </c>
      <c r="P1402" t="s">
        <v>292</v>
      </c>
    </row>
    <row r="1403" spans="1:16" ht="15" customHeight="1" x14ac:dyDescent="0.4">
      <c r="A1403" t="s">
        <v>15</v>
      </c>
      <c r="B1403" t="s">
        <v>16</v>
      </c>
      <c r="C1403" s="13">
        <v>44562</v>
      </c>
      <c r="D1403" s="13">
        <v>44926</v>
      </c>
      <c r="E1403" t="s">
        <v>17</v>
      </c>
      <c r="F1403">
        <v>0</v>
      </c>
      <c r="G1403" t="s">
        <v>18</v>
      </c>
      <c r="H1403">
        <v>1</v>
      </c>
      <c r="I1403" t="s">
        <v>19</v>
      </c>
      <c r="J1403">
        <v>841</v>
      </c>
      <c r="K1403" t="s">
        <v>289</v>
      </c>
      <c r="L1403" s="13">
        <v>44926</v>
      </c>
      <c r="M1403" t="s">
        <v>313</v>
      </c>
      <c r="N1403" t="s">
        <v>314</v>
      </c>
      <c r="O1403">
        <v>976.73</v>
      </c>
      <c r="P1403" t="s">
        <v>292</v>
      </c>
    </row>
    <row r="1404" spans="1:16" ht="15" customHeight="1" x14ac:dyDescent="0.4">
      <c r="A1404" t="s">
        <v>15</v>
      </c>
      <c r="B1404" t="s">
        <v>16</v>
      </c>
      <c r="C1404" s="13">
        <v>44562</v>
      </c>
      <c r="D1404" s="13">
        <v>44926</v>
      </c>
      <c r="E1404" t="s">
        <v>17</v>
      </c>
      <c r="F1404">
        <v>0</v>
      </c>
      <c r="G1404" t="s">
        <v>18</v>
      </c>
      <c r="H1404">
        <v>1</v>
      </c>
      <c r="I1404" t="s">
        <v>19</v>
      </c>
      <c r="J1404">
        <v>845</v>
      </c>
      <c r="K1404" t="s">
        <v>315</v>
      </c>
      <c r="L1404" s="13">
        <v>44680</v>
      </c>
      <c r="M1404" t="s">
        <v>316</v>
      </c>
      <c r="N1404" t="s">
        <v>317</v>
      </c>
      <c r="O1404">
        <v>992.92</v>
      </c>
      <c r="P1404" t="s">
        <v>292</v>
      </c>
    </row>
    <row r="1405" spans="1:16" ht="15" customHeight="1" x14ac:dyDescent="0.4">
      <c r="A1405" t="s">
        <v>15</v>
      </c>
      <c r="B1405" t="s">
        <v>16</v>
      </c>
      <c r="C1405" s="13">
        <v>44562</v>
      </c>
      <c r="D1405" s="13">
        <v>44926</v>
      </c>
      <c r="E1405" t="s">
        <v>17</v>
      </c>
      <c r="F1405">
        <v>0</v>
      </c>
      <c r="G1405" t="s">
        <v>18</v>
      </c>
      <c r="H1405">
        <v>1</v>
      </c>
      <c r="I1405" t="s">
        <v>19</v>
      </c>
      <c r="J1405">
        <v>845</v>
      </c>
      <c r="K1405" t="s">
        <v>315</v>
      </c>
      <c r="L1405" s="13">
        <v>44702</v>
      </c>
      <c r="M1405" t="s">
        <v>318</v>
      </c>
      <c r="N1405" t="s">
        <v>319</v>
      </c>
      <c r="O1405">
        <v>490.13</v>
      </c>
      <c r="P1405" t="s">
        <v>292</v>
      </c>
    </row>
    <row r="1406" spans="1:16" ht="15" customHeight="1" x14ac:dyDescent="0.4">
      <c r="A1406" t="s">
        <v>15</v>
      </c>
      <c r="B1406" t="s">
        <v>16</v>
      </c>
      <c r="C1406" s="13">
        <v>44562</v>
      </c>
      <c r="D1406" s="13">
        <v>44926</v>
      </c>
      <c r="E1406" t="s">
        <v>17</v>
      </c>
      <c r="F1406">
        <v>0</v>
      </c>
      <c r="G1406" t="s">
        <v>18</v>
      </c>
      <c r="H1406">
        <v>1</v>
      </c>
      <c r="I1406" t="s">
        <v>19</v>
      </c>
      <c r="J1406">
        <v>845</v>
      </c>
      <c r="K1406" t="s">
        <v>315</v>
      </c>
      <c r="L1406" s="13">
        <v>44886</v>
      </c>
      <c r="M1406" t="s">
        <v>320</v>
      </c>
      <c r="N1406" t="s">
        <v>321</v>
      </c>
      <c r="O1406">
        <v>540</v>
      </c>
      <c r="P1406" t="s">
        <v>292</v>
      </c>
    </row>
    <row r="1407" spans="1:16" ht="15" customHeight="1" x14ac:dyDescent="0.4">
      <c r="A1407" t="s">
        <v>15</v>
      </c>
      <c r="B1407" t="s">
        <v>16</v>
      </c>
      <c r="C1407" s="13">
        <v>44562</v>
      </c>
      <c r="D1407" s="13">
        <v>44926</v>
      </c>
      <c r="E1407" t="s">
        <v>17</v>
      </c>
      <c r="F1407">
        <v>0</v>
      </c>
      <c r="G1407" t="s">
        <v>18</v>
      </c>
      <c r="H1407">
        <v>1</v>
      </c>
      <c r="I1407" t="s">
        <v>19</v>
      </c>
      <c r="J1407">
        <v>845</v>
      </c>
      <c r="K1407" t="s">
        <v>315</v>
      </c>
      <c r="L1407" s="13">
        <v>44889</v>
      </c>
      <c r="M1407" t="s">
        <v>322</v>
      </c>
      <c r="N1407" t="s">
        <v>323</v>
      </c>
      <c r="O1407">
        <v>300</v>
      </c>
      <c r="P1407" t="s">
        <v>292</v>
      </c>
    </row>
    <row r="1408" spans="1:16" ht="15" customHeight="1" x14ac:dyDescent="0.4">
      <c r="A1408" t="s">
        <v>15</v>
      </c>
      <c r="B1408" t="s">
        <v>16</v>
      </c>
      <c r="C1408" s="13">
        <v>44562</v>
      </c>
      <c r="D1408" s="13">
        <v>44926</v>
      </c>
      <c r="E1408" t="s">
        <v>30</v>
      </c>
      <c r="F1408">
        <v>0</v>
      </c>
      <c r="G1408" t="s">
        <v>18</v>
      </c>
      <c r="H1408">
        <v>1</v>
      </c>
      <c r="I1408" t="s">
        <v>19</v>
      </c>
      <c r="J1408">
        <v>847</v>
      </c>
      <c r="K1408" t="s">
        <v>324</v>
      </c>
      <c r="L1408" s="13">
        <v>44573</v>
      </c>
      <c r="M1408" t="s">
        <v>325</v>
      </c>
      <c r="N1408" t="s">
        <v>326</v>
      </c>
      <c r="O1408">
        <v>600</v>
      </c>
      <c r="P1408" t="s">
        <v>292</v>
      </c>
    </row>
    <row r="1409" spans="1:16" ht="15" customHeight="1" x14ac:dyDescent="0.4">
      <c r="A1409" t="s">
        <v>15</v>
      </c>
      <c r="B1409" t="s">
        <v>16</v>
      </c>
      <c r="C1409" s="13">
        <v>44562</v>
      </c>
      <c r="D1409" s="13">
        <v>44926</v>
      </c>
      <c r="E1409" t="s">
        <v>17</v>
      </c>
      <c r="F1409">
        <v>0</v>
      </c>
      <c r="G1409" t="s">
        <v>18</v>
      </c>
      <c r="H1409">
        <v>1</v>
      </c>
      <c r="I1409" t="s">
        <v>19</v>
      </c>
      <c r="J1409">
        <v>881</v>
      </c>
      <c r="K1409" t="s">
        <v>327</v>
      </c>
      <c r="L1409" s="13">
        <v>44926</v>
      </c>
      <c r="M1409" t="s">
        <v>328</v>
      </c>
      <c r="N1409" t="s">
        <v>329</v>
      </c>
      <c r="O1409">
        <v>30.22</v>
      </c>
      <c r="P1409" t="s">
        <v>46</v>
      </c>
    </row>
    <row r="1410" spans="1:16" ht="15" customHeight="1" x14ac:dyDescent="0.4">
      <c r="A1410" t="s">
        <v>15</v>
      </c>
      <c r="B1410" t="s">
        <v>16</v>
      </c>
      <c r="C1410" s="13">
        <v>44562</v>
      </c>
      <c r="D1410" s="13">
        <v>44926</v>
      </c>
      <c r="E1410" t="s">
        <v>17</v>
      </c>
      <c r="F1410">
        <v>0</v>
      </c>
      <c r="G1410" t="s">
        <v>18</v>
      </c>
      <c r="H1410">
        <v>1</v>
      </c>
      <c r="I1410" t="s">
        <v>19</v>
      </c>
      <c r="J1410">
        <v>883</v>
      </c>
      <c r="K1410" t="s">
        <v>330</v>
      </c>
      <c r="L1410" s="13">
        <v>44607</v>
      </c>
      <c r="M1410" t="s">
        <v>331</v>
      </c>
      <c r="N1410" t="s">
        <v>332</v>
      </c>
      <c r="O1410">
        <v>129.08000000000001</v>
      </c>
      <c r="P1410" t="s">
        <v>333</v>
      </c>
    </row>
    <row r="1411" spans="1:16" ht="15" customHeight="1" x14ac:dyDescent="0.4">
      <c r="A1411" t="s">
        <v>15</v>
      </c>
      <c r="B1411" t="s">
        <v>16</v>
      </c>
      <c r="C1411" s="13">
        <v>44562</v>
      </c>
      <c r="D1411" s="13">
        <v>44926</v>
      </c>
      <c r="E1411" t="s">
        <v>17</v>
      </c>
      <c r="F1411">
        <v>0</v>
      </c>
      <c r="G1411" t="s">
        <v>18</v>
      </c>
      <c r="H1411">
        <v>1</v>
      </c>
      <c r="I1411" t="s">
        <v>19</v>
      </c>
      <c r="J1411">
        <v>909</v>
      </c>
      <c r="K1411" t="s">
        <v>334</v>
      </c>
      <c r="L1411" s="13">
        <v>44926</v>
      </c>
      <c r="M1411" t="s">
        <v>335</v>
      </c>
      <c r="N1411" t="s">
        <v>46</v>
      </c>
      <c r="O1411">
        <v>-44990.8</v>
      </c>
      <c r="P1411" t="s">
        <v>46</v>
      </c>
    </row>
    <row r="1412" spans="1:16" ht="15" customHeight="1" x14ac:dyDescent="0.4">
      <c r="A1412" t="s">
        <v>15</v>
      </c>
      <c r="B1412" t="s">
        <v>16</v>
      </c>
      <c r="C1412" s="13">
        <v>44562</v>
      </c>
      <c r="D1412" s="13">
        <v>44926</v>
      </c>
      <c r="E1412" t="s">
        <v>17</v>
      </c>
      <c r="F1412">
        <v>0</v>
      </c>
      <c r="G1412" t="s">
        <v>18</v>
      </c>
      <c r="H1412">
        <v>1</v>
      </c>
      <c r="I1412" t="s">
        <v>19</v>
      </c>
      <c r="J1412">
        <v>952</v>
      </c>
      <c r="K1412" t="s">
        <v>336</v>
      </c>
      <c r="L1412" s="13">
        <v>44748</v>
      </c>
      <c r="M1412" t="s">
        <v>337</v>
      </c>
      <c r="N1412" t="s">
        <v>338</v>
      </c>
      <c r="O1412">
        <v>-918.5</v>
      </c>
      <c r="P1412" t="s">
        <v>46</v>
      </c>
    </row>
    <row r="1413" spans="1:16" ht="15" customHeight="1" x14ac:dyDescent="0.4">
      <c r="A1413" t="s">
        <v>15</v>
      </c>
      <c r="B1413" t="s">
        <v>16</v>
      </c>
      <c r="C1413" s="13">
        <v>44562</v>
      </c>
      <c r="D1413" s="13">
        <v>44926</v>
      </c>
      <c r="E1413" t="s">
        <v>17</v>
      </c>
      <c r="F1413">
        <v>0</v>
      </c>
      <c r="G1413" t="s">
        <v>18</v>
      </c>
      <c r="H1413">
        <v>1</v>
      </c>
      <c r="I1413" t="s">
        <v>19</v>
      </c>
      <c r="J1413">
        <v>988</v>
      </c>
      <c r="K1413" t="s">
        <v>339</v>
      </c>
      <c r="L1413" s="13">
        <v>44562</v>
      </c>
      <c r="M1413" t="s">
        <v>340</v>
      </c>
      <c r="N1413" t="s">
        <v>341</v>
      </c>
      <c r="O1413">
        <v>-0.59</v>
      </c>
      <c r="P1413" t="s">
        <v>46</v>
      </c>
    </row>
    <row r="1414" spans="1:16" ht="15" customHeight="1" x14ac:dyDescent="0.4">
      <c r="A1414" t="s">
        <v>15</v>
      </c>
      <c r="B1414" t="s">
        <v>16</v>
      </c>
      <c r="C1414" s="13">
        <v>44562</v>
      </c>
      <c r="D1414" s="13">
        <v>44926</v>
      </c>
      <c r="E1414" t="s">
        <v>17</v>
      </c>
      <c r="F1414">
        <v>0</v>
      </c>
      <c r="G1414" t="s">
        <v>342</v>
      </c>
      <c r="H1414">
        <v>2</v>
      </c>
      <c r="I1414" t="s">
        <v>343</v>
      </c>
      <c r="J1414">
        <v>205</v>
      </c>
      <c r="K1414" t="s">
        <v>344</v>
      </c>
      <c r="L1414" s="13">
        <v>44763</v>
      </c>
      <c r="M1414" t="s">
        <v>345</v>
      </c>
      <c r="N1414" t="s">
        <v>346</v>
      </c>
      <c r="O1414">
        <v>198</v>
      </c>
      <c r="P1414" t="s">
        <v>347</v>
      </c>
    </row>
    <row r="1415" spans="1:16" ht="15" customHeight="1" x14ac:dyDescent="0.4">
      <c r="A1415" t="s">
        <v>15</v>
      </c>
      <c r="B1415" t="s">
        <v>16</v>
      </c>
      <c r="C1415" s="13">
        <v>44562</v>
      </c>
      <c r="D1415" s="13">
        <v>44926</v>
      </c>
      <c r="E1415" t="s">
        <v>17</v>
      </c>
      <c r="F1415">
        <v>0</v>
      </c>
      <c r="G1415" t="s">
        <v>342</v>
      </c>
      <c r="H1415">
        <v>2</v>
      </c>
      <c r="I1415" t="s">
        <v>343</v>
      </c>
      <c r="J1415">
        <v>242</v>
      </c>
      <c r="K1415" t="s">
        <v>348</v>
      </c>
      <c r="L1415" s="13">
        <v>44926</v>
      </c>
      <c r="M1415" t="s">
        <v>349</v>
      </c>
      <c r="N1415" t="s">
        <v>45</v>
      </c>
      <c r="O1415">
        <v>464.5</v>
      </c>
      <c r="P1415" t="s">
        <v>46</v>
      </c>
    </row>
    <row r="1416" spans="1:16" ht="15" customHeight="1" x14ac:dyDescent="0.4">
      <c r="A1416" t="s">
        <v>15</v>
      </c>
      <c r="B1416" t="s">
        <v>16</v>
      </c>
      <c r="C1416" s="13">
        <v>44562</v>
      </c>
      <c r="D1416" s="13">
        <v>44926</v>
      </c>
      <c r="E1416" t="s">
        <v>17</v>
      </c>
      <c r="F1416">
        <v>0</v>
      </c>
      <c r="G1416" t="s">
        <v>342</v>
      </c>
      <c r="H1416">
        <v>2</v>
      </c>
      <c r="I1416" t="s">
        <v>343</v>
      </c>
      <c r="J1416">
        <v>269</v>
      </c>
      <c r="K1416" t="s">
        <v>3656</v>
      </c>
      <c r="L1416" s="13">
        <v>44583</v>
      </c>
      <c r="M1416" t="s">
        <v>351</v>
      </c>
      <c r="N1416" t="s">
        <v>352</v>
      </c>
      <c r="O1416">
        <v>38.299999999999997</v>
      </c>
      <c r="P1416" t="s">
        <v>52</v>
      </c>
    </row>
    <row r="1417" spans="1:16" ht="15" customHeight="1" x14ac:dyDescent="0.4">
      <c r="A1417" t="s">
        <v>15</v>
      </c>
      <c r="B1417" t="s">
        <v>16</v>
      </c>
      <c r="C1417" s="13">
        <v>44562</v>
      </c>
      <c r="D1417" s="13">
        <v>44926</v>
      </c>
      <c r="E1417" t="s">
        <v>17</v>
      </c>
      <c r="F1417">
        <v>0</v>
      </c>
      <c r="G1417" t="s">
        <v>342</v>
      </c>
      <c r="H1417">
        <v>2</v>
      </c>
      <c r="I1417" t="s">
        <v>343</v>
      </c>
      <c r="J1417">
        <v>269</v>
      </c>
      <c r="K1417" t="s">
        <v>3656</v>
      </c>
      <c r="L1417" s="13">
        <v>44614</v>
      </c>
      <c r="M1417" t="s">
        <v>351</v>
      </c>
      <c r="N1417" t="s">
        <v>353</v>
      </c>
      <c r="O1417">
        <v>27.97</v>
      </c>
      <c r="P1417" t="s">
        <v>52</v>
      </c>
    </row>
    <row r="1418" spans="1:16" ht="15" customHeight="1" x14ac:dyDescent="0.4">
      <c r="A1418" t="s">
        <v>15</v>
      </c>
      <c r="B1418" t="s">
        <v>16</v>
      </c>
      <c r="C1418" s="13">
        <v>44562</v>
      </c>
      <c r="D1418" s="13">
        <v>44926</v>
      </c>
      <c r="E1418" t="s">
        <v>17</v>
      </c>
      <c r="F1418">
        <v>0</v>
      </c>
      <c r="G1418" t="s">
        <v>342</v>
      </c>
      <c r="H1418">
        <v>2</v>
      </c>
      <c r="I1418" t="s">
        <v>343</v>
      </c>
      <c r="J1418">
        <v>269</v>
      </c>
      <c r="K1418" t="s">
        <v>3656</v>
      </c>
      <c r="L1418" s="13">
        <v>44642</v>
      </c>
      <c r="M1418" t="s">
        <v>351</v>
      </c>
      <c r="N1418" t="s">
        <v>354</v>
      </c>
      <c r="O1418">
        <v>21.79</v>
      </c>
      <c r="P1418" t="s">
        <v>52</v>
      </c>
    </row>
    <row r="1419" spans="1:16" ht="15" customHeight="1" x14ac:dyDescent="0.4">
      <c r="A1419" t="s">
        <v>15</v>
      </c>
      <c r="B1419" t="s">
        <v>16</v>
      </c>
      <c r="C1419" s="13">
        <v>44562</v>
      </c>
      <c r="D1419" s="13">
        <v>44926</v>
      </c>
      <c r="E1419" t="s">
        <v>17</v>
      </c>
      <c r="F1419">
        <v>0</v>
      </c>
      <c r="G1419" t="s">
        <v>342</v>
      </c>
      <c r="H1419">
        <v>2</v>
      </c>
      <c r="I1419" t="s">
        <v>343</v>
      </c>
      <c r="J1419">
        <v>269</v>
      </c>
      <c r="K1419" t="s">
        <v>3656</v>
      </c>
      <c r="L1419" s="13">
        <v>44673</v>
      </c>
      <c r="M1419" t="s">
        <v>351</v>
      </c>
      <c r="N1419" t="s">
        <v>355</v>
      </c>
      <c r="O1419">
        <v>26.3</v>
      </c>
      <c r="P1419" t="s">
        <v>52</v>
      </c>
    </row>
    <row r="1420" spans="1:16" ht="15" customHeight="1" x14ac:dyDescent="0.4">
      <c r="A1420" t="s">
        <v>15</v>
      </c>
      <c r="B1420" t="s">
        <v>16</v>
      </c>
      <c r="C1420" s="13">
        <v>44562</v>
      </c>
      <c r="D1420" s="13">
        <v>44926</v>
      </c>
      <c r="E1420" t="s">
        <v>17</v>
      </c>
      <c r="F1420">
        <v>0</v>
      </c>
      <c r="G1420" t="s">
        <v>342</v>
      </c>
      <c r="H1420">
        <v>2</v>
      </c>
      <c r="I1420" t="s">
        <v>343</v>
      </c>
      <c r="J1420">
        <v>269</v>
      </c>
      <c r="K1420" t="s">
        <v>3656</v>
      </c>
      <c r="L1420" s="13">
        <v>44703</v>
      </c>
      <c r="M1420" t="s">
        <v>351</v>
      </c>
      <c r="N1420" t="s">
        <v>356</v>
      </c>
      <c r="O1420">
        <v>22.21</v>
      </c>
      <c r="P1420" t="s">
        <v>52</v>
      </c>
    </row>
    <row r="1421" spans="1:16" ht="15" customHeight="1" x14ac:dyDescent="0.4">
      <c r="A1421" t="s">
        <v>15</v>
      </c>
      <c r="B1421" t="s">
        <v>16</v>
      </c>
      <c r="C1421" s="13">
        <v>44562</v>
      </c>
      <c r="D1421" s="13">
        <v>44926</v>
      </c>
      <c r="E1421" t="s">
        <v>17</v>
      </c>
      <c r="F1421">
        <v>0</v>
      </c>
      <c r="G1421" t="s">
        <v>342</v>
      </c>
      <c r="H1421">
        <v>2</v>
      </c>
      <c r="I1421" t="s">
        <v>343</v>
      </c>
      <c r="J1421">
        <v>269</v>
      </c>
      <c r="K1421" t="s">
        <v>3656</v>
      </c>
      <c r="L1421" s="13">
        <v>44734</v>
      </c>
      <c r="M1421" t="s">
        <v>351</v>
      </c>
      <c r="N1421" t="s">
        <v>357</v>
      </c>
      <c r="O1421">
        <v>18.71</v>
      </c>
      <c r="P1421" t="s">
        <v>52</v>
      </c>
    </row>
    <row r="1422" spans="1:16" ht="15" customHeight="1" x14ac:dyDescent="0.4">
      <c r="A1422" t="s">
        <v>15</v>
      </c>
      <c r="B1422" t="s">
        <v>16</v>
      </c>
      <c r="C1422" s="13">
        <v>44562</v>
      </c>
      <c r="D1422" s="13">
        <v>44926</v>
      </c>
      <c r="E1422" t="s">
        <v>17</v>
      </c>
      <c r="F1422">
        <v>0</v>
      </c>
      <c r="G1422" t="s">
        <v>342</v>
      </c>
      <c r="H1422">
        <v>2</v>
      </c>
      <c r="I1422" t="s">
        <v>343</v>
      </c>
      <c r="J1422">
        <v>269</v>
      </c>
      <c r="K1422" t="s">
        <v>3656</v>
      </c>
      <c r="L1422" s="13">
        <v>44764</v>
      </c>
      <c r="M1422" t="s">
        <v>351</v>
      </c>
      <c r="N1422" t="s">
        <v>358</v>
      </c>
      <c r="O1422">
        <v>21.96</v>
      </c>
      <c r="P1422" t="s">
        <v>52</v>
      </c>
    </row>
    <row r="1423" spans="1:16" ht="15" customHeight="1" x14ac:dyDescent="0.4">
      <c r="A1423" t="s">
        <v>15</v>
      </c>
      <c r="B1423" t="s">
        <v>16</v>
      </c>
      <c r="C1423" s="13">
        <v>44562</v>
      </c>
      <c r="D1423" s="13">
        <v>44926</v>
      </c>
      <c r="E1423" t="s">
        <v>17</v>
      </c>
      <c r="F1423">
        <v>0</v>
      </c>
      <c r="G1423" t="s">
        <v>342</v>
      </c>
      <c r="H1423">
        <v>2</v>
      </c>
      <c r="I1423" t="s">
        <v>343</v>
      </c>
      <c r="J1423">
        <v>269</v>
      </c>
      <c r="K1423" t="s">
        <v>3656</v>
      </c>
      <c r="L1423" s="13">
        <v>44795</v>
      </c>
      <c r="M1423" t="s">
        <v>351</v>
      </c>
      <c r="N1423" t="s">
        <v>359</v>
      </c>
      <c r="O1423">
        <v>23.07</v>
      </c>
      <c r="P1423" t="s">
        <v>52</v>
      </c>
    </row>
    <row r="1424" spans="1:16" ht="15" customHeight="1" x14ac:dyDescent="0.4">
      <c r="A1424" t="s">
        <v>15</v>
      </c>
      <c r="B1424" t="s">
        <v>16</v>
      </c>
      <c r="C1424" s="13">
        <v>44562</v>
      </c>
      <c r="D1424" s="13">
        <v>44926</v>
      </c>
      <c r="E1424" t="s">
        <v>17</v>
      </c>
      <c r="F1424">
        <v>0</v>
      </c>
      <c r="G1424" t="s">
        <v>342</v>
      </c>
      <c r="H1424">
        <v>2</v>
      </c>
      <c r="I1424" t="s">
        <v>343</v>
      </c>
      <c r="J1424">
        <v>269</v>
      </c>
      <c r="K1424" t="s">
        <v>3656</v>
      </c>
      <c r="L1424" s="13">
        <v>44826</v>
      </c>
      <c r="M1424" t="s">
        <v>351</v>
      </c>
      <c r="N1424" t="s">
        <v>360</v>
      </c>
      <c r="O1424">
        <v>20.3</v>
      </c>
      <c r="P1424" t="s">
        <v>52</v>
      </c>
    </row>
    <row r="1425" spans="1:16" ht="15" customHeight="1" x14ac:dyDescent="0.4">
      <c r="A1425" t="s">
        <v>15</v>
      </c>
      <c r="B1425" t="s">
        <v>16</v>
      </c>
      <c r="C1425" s="13">
        <v>44562</v>
      </c>
      <c r="D1425" s="13">
        <v>44926</v>
      </c>
      <c r="E1425" t="s">
        <v>17</v>
      </c>
      <c r="F1425">
        <v>0</v>
      </c>
      <c r="G1425" t="s">
        <v>342</v>
      </c>
      <c r="H1425">
        <v>2</v>
      </c>
      <c r="I1425" t="s">
        <v>343</v>
      </c>
      <c r="J1425">
        <v>269</v>
      </c>
      <c r="K1425" t="s">
        <v>3656</v>
      </c>
      <c r="L1425" s="13">
        <v>44856</v>
      </c>
      <c r="M1425" t="s">
        <v>351</v>
      </c>
      <c r="N1425" t="s">
        <v>361</v>
      </c>
      <c r="O1425">
        <v>23.24</v>
      </c>
      <c r="P1425" t="s">
        <v>52</v>
      </c>
    </row>
    <row r="1426" spans="1:16" ht="15" customHeight="1" x14ac:dyDescent="0.4">
      <c r="A1426" t="s">
        <v>15</v>
      </c>
      <c r="B1426" t="s">
        <v>16</v>
      </c>
      <c r="C1426" s="13">
        <v>44562</v>
      </c>
      <c r="D1426" s="13">
        <v>44926</v>
      </c>
      <c r="E1426" t="s">
        <v>17</v>
      </c>
      <c r="F1426">
        <v>0</v>
      </c>
      <c r="G1426" t="s">
        <v>342</v>
      </c>
      <c r="H1426">
        <v>2</v>
      </c>
      <c r="I1426" t="s">
        <v>343</v>
      </c>
      <c r="J1426">
        <v>269</v>
      </c>
      <c r="K1426" t="s">
        <v>3656</v>
      </c>
      <c r="L1426" s="13">
        <v>44887</v>
      </c>
      <c r="M1426" t="s">
        <v>351</v>
      </c>
      <c r="N1426" t="s">
        <v>362</v>
      </c>
      <c r="O1426">
        <v>23.43</v>
      </c>
      <c r="P1426" t="s">
        <v>52</v>
      </c>
    </row>
    <row r="1427" spans="1:16" ht="15" customHeight="1" x14ac:dyDescent="0.4">
      <c r="A1427" t="s">
        <v>15</v>
      </c>
      <c r="B1427" t="s">
        <v>16</v>
      </c>
      <c r="C1427" s="13">
        <v>44562</v>
      </c>
      <c r="D1427" s="13">
        <v>44926</v>
      </c>
      <c r="E1427" t="s">
        <v>17</v>
      </c>
      <c r="F1427">
        <v>0</v>
      </c>
      <c r="G1427" t="s">
        <v>342</v>
      </c>
      <c r="H1427">
        <v>2</v>
      </c>
      <c r="I1427" t="s">
        <v>343</v>
      </c>
      <c r="J1427">
        <v>269</v>
      </c>
      <c r="K1427" t="s">
        <v>3656</v>
      </c>
      <c r="L1427" s="13">
        <v>44917</v>
      </c>
      <c r="M1427" t="s">
        <v>351</v>
      </c>
      <c r="N1427" t="s">
        <v>363</v>
      </c>
      <c r="O1427">
        <v>27.5</v>
      </c>
      <c r="P1427" t="s">
        <v>52</v>
      </c>
    </row>
    <row r="1428" spans="1:16" ht="15" customHeight="1" x14ac:dyDescent="0.4">
      <c r="A1428" t="s">
        <v>15</v>
      </c>
      <c r="B1428" t="s">
        <v>16</v>
      </c>
      <c r="C1428" s="13">
        <v>44562</v>
      </c>
      <c r="D1428" s="13">
        <v>44926</v>
      </c>
      <c r="E1428" t="s">
        <v>17</v>
      </c>
      <c r="F1428">
        <v>0</v>
      </c>
      <c r="G1428" t="s">
        <v>342</v>
      </c>
      <c r="H1428">
        <v>2</v>
      </c>
      <c r="I1428" t="s">
        <v>343</v>
      </c>
      <c r="J1428">
        <v>702</v>
      </c>
      <c r="K1428" t="s">
        <v>275</v>
      </c>
      <c r="L1428" s="13">
        <v>44926</v>
      </c>
      <c r="M1428" t="s">
        <v>364</v>
      </c>
      <c r="N1428" t="s">
        <v>46</v>
      </c>
      <c r="O1428">
        <v>137.77000000000001</v>
      </c>
      <c r="P1428" t="s">
        <v>46</v>
      </c>
    </row>
    <row r="1429" spans="1:16" ht="15" customHeight="1" x14ac:dyDescent="0.4">
      <c r="A1429" t="s">
        <v>15</v>
      </c>
      <c r="B1429" t="s">
        <v>16</v>
      </c>
      <c r="C1429" s="13">
        <v>44562</v>
      </c>
      <c r="D1429" s="13">
        <v>44926</v>
      </c>
      <c r="E1429" t="s">
        <v>17</v>
      </c>
      <c r="F1429">
        <v>0</v>
      </c>
      <c r="G1429" t="s">
        <v>342</v>
      </c>
      <c r="H1429">
        <v>2</v>
      </c>
      <c r="I1429" t="s">
        <v>343</v>
      </c>
      <c r="J1429">
        <v>706</v>
      </c>
      <c r="K1429" t="s">
        <v>365</v>
      </c>
      <c r="L1429" s="13">
        <v>44700</v>
      </c>
      <c r="M1429" t="s">
        <v>366</v>
      </c>
      <c r="N1429" t="s">
        <v>367</v>
      </c>
      <c r="O1429">
        <v>56.59</v>
      </c>
      <c r="P1429" t="s">
        <v>368</v>
      </c>
    </row>
    <row r="1430" spans="1:16" ht="15" customHeight="1" x14ac:dyDescent="0.4">
      <c r="A1430" t="s">
        <v>15</v>
      </c>
      <c r="B1430" t="s">
        <v>16</v>
      </c>
      <c r="C1430" s="13">
        <v>44562</v>
      </c>
      <c r="D1430" s="13">
        <v>44926</v>
      </c>
      <c r="E1430" t="s">
        <v>17</v>
      </c>
      <c r="F1430">
        <v>0</v>
      </c>
      <c r="G1430" t="s">
        <v>342</v>
      </c>
      <c r="H1430">
        <v>2</v>
      </c>
      <c r="I1430" t="s">
        <v>343</v>
      </c>
      <c r="J1430">
        <v>791</v>
      </c>
      <c r="K1430" t="s">
        <v>369</v>
      </c>
      <c r="L1430" s="13">
        <v>44926</v>
      </c>
      <c r="M1430" t="s">
        <v>370</v>
      </c>
      <c r="N1430" t="s">
        <v>288</v>
      </c>
      <c r="O1430">
        <v>423.68</v>
      </c>
      <c r="P1430" t="s">
        <v>46</v>
      </c>
    </row>
    <row r="1431" spans="1:16" ht="15" customHeight="1" x14ac:dyDescent="0.4">
      <c r="A1431" t="s">
        <v>15</v>
      </c>
      <c r="B1431" t="s">
        <v>16</v>
      </c>
      <c r="C1431" s="13">
        <v>44562</v>
      </c>
      <c r="D1431" s="13">
        <v>44926</v>
      </c>
      <c r="E1431" t="s">
        <v>17</v>
      </c>
      <c r="F1431">
        <v>0</v>
      </c>
      <c r="G1431" t="s">
        <v>342</v>
      </c>
      <c r="H1431">
        <v>2</v>
      </c>
      <c r="I1431" t="s">
        <v>343</v>
      </c>
      <c r="J1431">
        <v>883</v>
      </c>
      <c r="K1431" t="s">
        <v>371</v>
      </c>
      <c r="L1431" s="13">
        <v>44566</v>
      </c>
      <c r="M1431" t="s">
        <v>372</v>
      </c>
      <c r="N1431" t="s">
        <v>373</v>
      </c>
      <c r="O1431">
        <v>161.97999999999999</v>
      </c>
      <c r="P1431" t="s">
        <v>374</v>
      </c>
    </row>
    <row r="1432" spans="1:16" ht="15" customHeight="1" x14ac:dyDescent="0.4">
      <c r="A1432" t="s">
        <v>15</v>
      </c>
      <c r="B1432" t="s">
        <v>16</v>
      </c>
      <c r="C1432" s="13">
        <v>44562</v>
      </c>
      <c r="D1432" s="13">
        <v>44926</v>
      </c>
      <c r="E1432" t="s">
        <v>17</v>
      </c>
      <c r="F1432">
        <v>0</v>
      </c>
      <c r="G1432" t="s">
        <v>342</v>
      </c>
      <c r="H1432">
        <v>2</v>
      </c>
      <c r="I1432" t="s">
        <v>343</v>
      </c>
      <c r="J1432">
        <v>883</v>
      </c>
      <c r="K1432" t="s">
        <v>371</v>
      </c>
      <c r="L1432" s="13">
        <v>44926</v>
      </c>
      <c r="M1432" t="s">
        <v>375</v>
      </c>
      <c r="N1432" t="s">
        <v>376</v>
      </c>
      <c r="O1432">
        <v>-53.99</v>
      </c>
      <c r="P1432" t="s">
        <v>46</v>
      </c>
    </row>
    <row r="1433" spans="1:16" ht="15" customHeight="1" x14ac:dyDescent="0.4">
      <c r="A1433" t="s">
        <v>15</v>
      </c>
      <c r="B1433" t="s">
        <v>16</v>
      </c>
      <c r="C1433" s="13">
        <v>44562</v>
      </c>
      <c r="D1433" s="13">
        <v>44926</v>
      </c>
      <c r="E1433" t="s">
        <v>17</v>
      </c>
      <c r="F1433">
        <v>0</v>
      </c>
      <c r="G1433" t="s">
        <v>342</v>
      </c>
      <c r="H1433">
        <v>2</v>
      </c>
      <c r="I1433" t="s">
        <v>343</v>
      </c>
      <c r="J1433">
        <v>891</v>
      </c>
      <c r="K1433" t="s">
        <v>377</v>
      </c>
      <c r="L1433" s="13">
        <v>44926</v>
      </c>
      <c r="M1433" t="s">
        <v>378</v>
      </c>
      <c r="N1433" t="s">
        <v>46</v>
      </c>
      <c r="O1433">
        <v>18726.009999999998</v>
      </c>
      <c r="P1433" t="s">
        <v>46</v>
      </c>
    </row>
    <row r="1434" spans="1:16" ht="15" customHeight="1" x14ac:dyDescent="0.4">
      <c r="A1434" t="s">
        <v>15</v>
      </c>
      <c r="B1434" t="s">
        <v>16</v>
      </c>
      <c r="C1434" s="13">
        <v>44562</v>
      </c>
      <c r="D1434" s="13">
        <v>44926</v>
      </c>
      <c r="E1434" t="s">
        <v>30</v>
      </c>
      <c r="F1434">
        <v>0</v>
      </c>
      <c r="G1434" t="s">
        <v>379</v>
      </c>
      <c r="H1434">
        <v>3</v>
      </c>
      <c r="I1434" t="s">
        <v>380</v>
      </c>
      <c r="J1434">
        <v>231</v>
      </c>
      <c r="K1434" t="s">
        <v>381</v>
      </c>
      <c r="L1434" s="13">
        <v>44562</v>
      </c>
      <c r="M1434" t="s">
        <v>382</v>
      </c>
      <c r="N1434" t="s">
        <v>383</v>
      </c>
      <c r="O1434">
        <v>263.12</v>
      </c>
      <c r="P1434" t="s">
        <v>384</v>
      </c>
    </row>
    <row r="1435" spans="1:16" ht="15" customHeight="1" x14ac:dyDescent="0.4">
      <c r="A1435" t="s">
        <v>15</v>
      </c>
      <c r="B1435" t="s">
        <v>16</v>
      </c>
      <c r="C1435" s="13">
        <v>44562</v>
      </c>
      <c r="D1435" s="13">
        <v>44926</v>
      </c>
      <c r="E1435" t="s">
        <v>17</v>
      </c>
      <c r="F1435">
        <v>0</v>
      </c>
      <c r="G1435" t="s">
        <v>379</v>
      </c>
      <c r="H1435">
        <v>3</v>
      </c>
      <c r="I1435" t="s">
        <v>380</v>
      </c>
      <c r="J1435">
        <v>241</v>
      </c>
      <c r="K1435" t="s">
        <v>385</v>
      </c>
      <c r="L1435" s="13">
        <v>44686</v>
      </c>
      <c r="M1435" t="s">
        <v>386</v>
      </c>
      <c r="N1435" t="s">
        <v>387</v>
      </c>
      <c r="O1435">
        <v>150</v>
      </c>
      <c r="P1435" t="s">
        <v>388</v>
      </c>
    </row>
    <row r="1436" spans="1:16" ht="15" customHeight="1" x14ac:dyDescent="0.4">
      <c r="A1436" t="s">
        <v>15</v>
      </c>
      <c r="B1436" t="s">
        <v>16</v>
      </c>
      <c r="C1436" s="13">
        <v>44562</v>
      </c>
      <c r="D1436" s="13">
        <v>44926</v>
      </c>
      <c r="E1436" t="s">
        <v>17</v>
      </c>
      <c r="F1436">
        <v>0</v>
      </c>
      <c r="G1436" t="s">
        <v>379</v>
      </c>
      <c r="H1436">
        <v>3</v>
      </c>
      <c r="I1436" t="s">
        <v>380</v>
      </c>
      <c r="J1436">
        <v>352</v>
      </c>
      <c r="K1436" t="s">
        <v>389</v>
      </c>
      <c r="L1436" s="13">
        <v>44595</v>
      </c>
      <c r="M1436" t="s">
        <v>390</v>
      </c>
      <c r="N1436" t="s">
        <v>391</v>
      </c>
      <c r="O1436">
        <v>2.79</v>
      </c>
      <c r="P1436" t="s">
        <v>392</v>
      </c>
    </row>
    <row r="1437" spans="1:16" ht="15" customHeight="1" x14ac:dyDescent="0.4">
      <c r="A1437" t="s">
        <v>15</v>
      </c>
      <c r="B1437" t="s">
        <v>16</v>
      </c>
      <c r="C1437" s="13">
        <v>44562</v>
      </c>
      <c r="D1437" s="13">
        <v>44926</v>
      </c>
      <c r="E1437" t="s">
        <v>17</v>
      </c>
      <c r="F1437">
        <v>0</v>
      </c>
      <c r="G1437" t="s">
        <v>379</v>
      </c>
      <c r="H1437">
        <v>3</v>
      </c>
      <c r="I1437" t="s">
        <v>380</v>
      </c>
      <c r="J1437">
        <v>352</v>
      </c>
      <c r="K1437" t="s">
        <v>389</v>
      </c>
      <c r="L1437" s="13">
        <v>44628</v>
      </c>
      <c r="M1437" t="s">
        <v>393</v>
      </c>
      <c r="N1437" t="s">
        <v>394</v>
      </c>
      <c r="O1437">
        <v>1.25</v>
      </c>
      <c r="P1437" t="s">
        <v>392</v>
      </c>
    </row>
    <row r="1438" spans="1:16" ht="15" customHeight="1" x14ac:dyDescent="0.4">
      <c r="A1438" t="s">
        <v>15</v>
      </c>
      <c r="B1438" t="s">
        <v>16</v>
      </c>
      <c r="C1438" s="13">
        <v>44562</v>
      </c>
      <c r="D1438" s="13">
        <v>44926</v>
      </c>
      <c r="E1438" t="s">
        <v>17</v>
      </c>
      <c r="F1438">
        <v>0</v>
      </c>
      <c r="G1438" t="s">
        <v>379</v>
      </c>
      <c r="H1438">
        <v>3</v>
      </c>
      <c r="I1438" t="s">
        <v>380</v>
      </c>
      <c r="J1438">
        <v>352</v>
      </c>
      <c r="K1438" t="s">
        <v>389</v>
      </c>
      <c r="L1438" s="13">
        <v>44652</v>
      </c>
      <c r="M1438" t="s">
        <v>395</v>
      </c>
      <c r="N1438" t="s">
        <v>396</v>
      </c>
      <c r="O1438">
        <v>58.14</v>
      </c>
      <c r="P1438" t="s">
        <v>392</v>
      </c>
    </row>
    <row r="1439" spans="1:16" ht="15" customHeight="1" x14ac:dyDescent="0.4">
      <c r="A1439" t="s">
        <v>15</v>
      </c>
      <c r="B1439" t="s">
        <v>16</v>
      </c>
      <c r="C1439" s="13">
        <v>44562</v>
      </c>
      <c r="D1439" s="13">
        <v>44926</v>
      </c>
      <c r="E1439" t="s">
        <v>17</v>
      </c>
      <c r="F1439">
        <v>0</v>
      </c>
      <c r="G1439" t="s">
        <v>379</v>
      </c>
      <c r="H1439">
        <v>3</v>
      </c>
      <c r="I1439" t="s">
        <v>380</v>
      </c>
      <c r="J1439">
        <v>352</v>
      </c>
      <c r="K1439" t="s">
        <v>389</v>
      </c>
      <c r="L1439" s="13">
        <v>44684</v>
      </c>
      <c r="M1439" t="s">
        <v>397</v>
      </c>
      <c r="N1439" t="s">
        <v>398</v>
      </c>
      <c r="O1439">
        <v>5.37</v>
      </c>
      <c r="P1439" t="s">
        <v>392</v>
      </c>
    </row>
    <row r="1440" spans="1:16" ht="15" customHeight="1" x14ac:dyDescent="0.4">
      <c r="A1440" t="s">
        <v>15</v>
      </c>
      <c r="B1440" t="s">
        <v>16</v>
      </c>
      <c r="C1440" s="13">
        <v>44562</v>
      </c>
      <c r="D1440" s="13">
        <v>44926</v>
      </c>
      <c r="E1440" t="s">
        <v>17</v>
      </c>
      <c r="F1440">
        <v>0</v>
      </c>
      <c r="G1440" t="s">
        <v>379</v>
      </c>
      <c r="H1440">
        <v>3</v>
      </c>
      <c r="I1440" t="s">
        <v>380</v>
      </c>
      <c r="J1440">
        <v>352</v>
      </c>
      <c r="K1440" t="s">
        <v>389</v>
      </c>
      <c r="L1440" s="13">
        <v>44712</v>
      </c>
      <c r="M1440" t="s">
        <v>399</v>
      </c>
      <c r="N1440" t="s">
        <v>400</v>
      </c>
      <c r="O1440">
        <v>325.63</v>
      </c>
      <c r="P1440" t="s">
        <v>392</v>
      </c>
    </row>
    <row r="1441" spans="1:16" ht="15" customHeight="1" x14ac:dyDescent="0.4">
      <c r="A1441" t="s">
        <v>15</v>
      </c>
      <c r="B1441" t="s">
        <v>16</v>
      </c>
      <c r="C1441" s="13">
        <v>44562</v>
      </c>
      <c r="D1441" s="13">
        <v>44926</v>
      </c>
      <c r="E1441" t="s">
        <v>17</v>
      </c>
      <c r="F1441">
        <v>0</v>
      </c>
      <c r="G1441" t="s">
        <v>379</v>
      </c>
      <c r="H1441">
        <v>3</v>
      </c>
      <c r="I1441" t="s">
        <v>380</v>
      </c>
      <c r="J1441">
        <v>352</v>
      </c>
      <c r="K1441" t="s">
        <v>389</v>
      </c>
      <c r="L1441" s="13">
        <v>44719</v>
      </c>
      <c r="M1441" t="s">
        <v>401</v>
      </c>
      <c r="N1441" t="s">
        <v>402</v>
      </c>
      <c r="O1441">
        <v>4.96</v>
      </c>
      <c r="P1441" t="s">
        <v>392</v>
      </c>
    </row>
    <row r="1442" spans="1:16" ht="15" customHeight="1" x14ac:dyDescent="0.4">
      <c r="A1442" t="s">
        <v>15</v>
      </c>
      <c r="B1442" t="s">
        <v>16</v>
      </c>
      <c r="C1442" s="13">
        <v>44562</v>
      </c>
      <c r="D1442" s="13">
        <v>44926</v>
      </c>
      <c r="E1442" t="s">
        <v>17</v>
      </c>
      <c r="F1442">
        <v>0</v>
      </c>
      <c r="G1442" t="s">
        <v>379</v>
      </c>
      <c r="H1442">
        <v>3</v>
      </c>
      <c r="I1442" t="s">
        <v>380</v>
      </c>
      <c r="J1442">
        <v>352</v>
      </c>
      <c r="K1442" t="s">
        <v>389</v>
      </c>
      <c r="L1442" s="13">
        <v>44734</v>
      </c>
      <c r="M1442" t="s">
        <v>403</v>
      </c>
      <c r="N1442" t="s">
        <v>404</v>
      </c>
      <c r="O1442">
        <v>55.08</v>
      </c>
      <c r="P1442" t="s">
        <v>392</v>
      </c>
    </row>
    <row r="1443" spans="1:16" ht="15" customHeight="1" x14ac:dyDescent="0.4">
      <c r="A1443" t="s">
        <v>15</v>
      </c>
      <c r="B1443" t="s">
        <v>16</v>
      </c>
      <c r="C1443" s="13">
        <v>44562</v>
      </c>
      <c r="D1443" s="13">
        <v>44926</v>
      </c>
      <c r="E1443" t="s">
        <v>17</v>
      </c>
      <c r="F1443">
        <v>0</v>
      </c>
      <c r="G1443" t="s">
        <v>379</v>
      </c>
      <c r="H1443">
        <v>3</v>
      </c>
      <c r="I1443" t="s">
        <v>380</v>
      </c>
      <c r="J1443">
        <v>352</v>
      </c>
      <c r="K1443" t="s">
        <v>389</v>
      </c>
      <c r="L1443" s="13">
        <v>44742</v>
      </c>
      <c r="M1443" t="s">
        <v>405</v>
      </c>
      <c r="N1443" t="s">
        <v>406</v>
      </c>
      <c r="O1443">
        <v>2.79</v>
      </c>
      <c r="P1443" t="s">
        <v>407</v>
      </c>
    </row>
    <row r="1444" spans="1:16" ht="15" customHeight="1" x14ac:dyDescent="0.4">
      <c r="A1444" t="s">
        <v>15</v>
      </c>
      <c r="B1444" t="s">
        <v>16</v>
      </c>
      <c r="C1444" s="13">
        <v>44562</v>
      </c>
      <c r="D1444" s="13">
        <v>44926</v>
      </c>
      <c r="E1444" t="s">
        <v>17</v>
      </c>
      <c r="F1444">
        <v>0</v>
      </c>
      <c r="G1444" t="s">
        <v>379</v>
      </c>
      <c r="H1444">
        <v>3</v>
      </c>
      <c r="I1444" t="s">
        <v>380</v>
      </c>
      <c r="J1444">
        <v>352</v>
      </c>
      <c r="K1444" t="s">
        <v>389</v>
      </c>
      <c r="L1444" s="13">
        <v>44760</v>
      </c>
      <c r="M1444" t="s">
        <v>408</v>
      </c>
      <c r="N1444" t="s">
        <v>409</v>
      </c>
      <c r="O1444">
        <v>311.69</v>
      </c>
      <c r="P1444" t="s">
        <v>392</v>
      </c>
    </row>
    <row r="1445" spans="1:16" ht="15" customHeight="1" x14ac:dyDescent="0.4">
      <c r="A1445" t="s">
        <v>15</v>
      </c>
      <c r="B1445" t="s">
        <v>16</v>
      </c>
      <c r="C1445" s="13">
        <v>44562</v>
      </c>
      <c r="D1445" s="13">
        <v>44926</v>
      </c>
      <c r="E1445" t="s">
        <v>17</v>
      </c>
      <c r="F1445">
        <v>0</v>
      </c>
      <c r="G1445" t="s">
        <v>379</v>
      </c>
      <c r="H1445">
        <v>3</v>
      </c>
      <c r="I1445" t="s">
        <v>380</v>
      </c>
      <c r="J1445">
        <v>352</v>
      </c>
      <c r="K1445" t="s">
        <v>389</v>
      </c>
      <c r="L1445" s="13">
        <v>44781</v>
      </c>
      <c r="M1445" t="s">
        <v>410</v>
      </c>
      <c r="N1445" t="s">
        <v>411</v>
      </c>
      <c r="O1445">
        <v>30.69</v>
      </c>
      <c r="P1445" t="s">
        <v>392</v>
      </c>
    </row>
    <row r="1446" spans="1:16" ht="15" customHeight="1" x14ac:dyDescent="0.4">
      <c r="A1446" t="s">
        <v>15</v>
      </c>
      <c r="B1446" t="s">
        <v>16</v>
      </c>
      <c r="C1446" s="13">
        <v>44562</v>
      </c>
      <c r="D1446" s="13">
        <v>44926</v>
      </c>
      <c r="E1446" t="s">
        <v>17</v>
      </c>
      <c r="F1446">
        <v>0</v>
      </c>
      <c r="G1446" t="s">
        <v>379</v>
      </c>
      <c r="H1446">
        <v>3</v>
      </c>
      <c r="I1446" t="s">
        <v>380</v>
      </c>
      <c r="J1446">
        <v>352</v>
      </c>
      <c r="K1446" t="s">
        <v>389</v>
      </c>
      <c r="L1446" s="13">
        <v>44831</v>
      </c>
      <c r="M1446" t="s">
        <v>412</v>
      </c>
      <c r="N1446" t="s">
        <v>413</v>
      </c>
      <c r="O1446">
        <v>42.15</v>
      </c>
      <c r="P1446" t="s">
        <v>392</v>
      </c>
    </row>
    <row r="1447" spans="1:16" ht="15" customHeight="1" x14ac:dyDescent="0.4">
      <c r="A1447" t="s">
        <v>15</v>
      </c>
      <c r="B1447" t="s">
        <v>16</v>
      </c>
      <c r="C1447" s="13">
        <v>44562</v>
      </c>
      <c r="D1447" s="13">
        <v>44926</v>
      </c>
      <c r="E1447" t="s">
        <v>17</v>
      </c>
      <c r="F1447">
        <v>0</v>
      </c>
      <c r="G1447" t="s">
        <v>379</v>
      </c>
      <c r="H1447">
        <v>3</v>
      </c>
      <c r="I1447" t="s">
        <v>380</v>
      </c>
      <c r="J1447">
        <v>352</v>
      </c>
      <c r="K1447" t="s">
        <v>389</v>
      </c>
      <c r="L1447" s="13">
        <v>44834</v>
      </c>
      <c r="M1447" t="s">
        <v>414</v>
      </c>
      <c r="N1447" t="s">
        <v>415</v>
      </c>
      <c r="O1447">
        <v>9.02</v>
      </c>
      <c r="P1447" t="s">
        <v>407</v>
      </c>
    </row>
    <row r="1448" spans="1:16" ht="15" customHeight="1" x14ac:dyDescent="0.4">
      <c r="A1448" t="s">
        <v>15</v>
      </c>
      <c r="B1448" t="s">
        <v>16</v>
      </c>
      <c r="C1448" s="13">
        <v>44562</v>
      </c>
      <c r="D1448" s="13">
        <v>44926</v>
      </c>
      <c r="E1448" t="s">
        <v>17</v>
      </c>
      <c r="F1448">
        <v>0</v>
      </c>
      <c r="G1448" t="s">
        <v>379</v>
      </c>
      <c r="H1448">
        <v>3</v>
      </c>
      <c r="I1448" t="s">
        <v>380</v>
      </c>
      <c r="J1448">
        <v>352</v>
      </c>
      <c r="K1448" t="s">
        <v>389</v>
      </c>
      <c r="L1448" s="13">
        <v>44923</v>
      </c>
      <c r="M1448" t="s">
        <v>416</v>
      </c>
      <c r="N1448" t="s">
        <v>417</v>
      </c>
      <c r="O1448">
        <v>38.159999999999997</v>
      </c>
      <c r="P1448" t="s">
        <v>392</v>
      </c>
    </row>
    <row r="1449" spans="1:16" ht="15" customHeight="1" x14ac:dyDescent="0.4">
      <c r="A1449" t="s">
        <v>15</v>
      </c>
      <c r="B1449" t="s">
        <v>16</v>
      </c>
      <c r="C1449" s="13">
        <v>44562</v>
      </c>
      <c r="D1449" s="13">
        <v>44926</v>
      </c>
      <c r="E1449" t="s">
        <v>17</v>
      </c>
      <c r="F1449">
        <v>0</v>
      </c>
      <c r="G1449" t="s">
        <v>379</v>
      </c>
      <c r="H1449">
        <v>3</v>
      </c>
      <c r="I1449" t="s">
        <v>380</v>
      </c>
      <c r="J1449">
        <v>352</v>
      </c>
      <c r="K1449" t="s">
        <v>389</v>
      </c>
      <c r="L1449" s="13">
        <v>44926</v>
      </c>
      <c r="M1449" t="s">
        <v>418</v>
      </c>
      <c r="N1449" t="s">
        <v>419</v>
      </c>
      <c r="O1449">
        <v>20.9</v>
      </c>
      <c r="P1449" t="s">
        <v>407</v>
      </c>
    </row>
    <row r="1450" spans="1:16" ht="15" customHeight="1" x14ac:dyDescent="0.4">
      <c r="A1450" t="s">
        <v>15</v>
      </c>
      <c r="B1450" t="s">
        <v>16</v>
      </c>
      <c r="C1450" s="13">
        <v>44562</v>
      </c>
      <c r="D1450" s="13">
        <v>44926</v>
      </c>
      <c r="E1450" t="s">
        <v>30</v>
      </c>
      <c r="F1450">
        <v>0</v>
      </c>
      <c r="G1450" t="s">
        <v>420</v>
      </c>
      <c r="H1450">
        <v>4</v>
      </c>
      <c r="I1450" t="s">
        <v>421</v>
      </c>
      <c r="J1450">
        <v>106</v>
      </c>
      <c r="K1450" t="s">
        <v>422</v>
      </c>
      <c r="L1450" s="13">
        <v>44774</v>
      </c>
      <c r="M1450" t="s">
        <v>426</v>
      </c>
      <c r="N1450" t="s">
        <v>427</v>
      </c>
      <c r="O1450">
        <v>1399</v>
      </c>
      <c r="P1450" t="s">
        <v>425</v>
      </c>
    </row>
    <row r="1451" spans="1:16" ht="15" customHeight="1" x14ac:dyDescent="0.4">
      <c r="A1451" t="s">
        <v>15</v>
      </c>
      <c r="B1451" t="s">
        <v>16</v>
      </c>
      <c r="C1451" s="13">
        <v>44562</v>
      </c>
      <c r="D1451" s="13">
        <v>44926</v>
      </c>
      <c r="E1451" t="s">
        <v>30</v>
      </c>
      <c r="F1451">
        <v>0</v>
      </c>
      <c r="G1451" t="s">
        <v>420</v>
      </c>
      <c r="H1451">
        <v>4</v>
      </c>
      <c r="I1451" t="s">
        <v>421</v>
      </c>
      <c r="J1451">
        <v>106</v>
      </c>
      <c r="K1451" t="s">
        <v>422</v>
      </c>
      <c r="L1451" s="13">
        <v>44774</v>
      </c>
      <c r="M1451" t="s">
        <v>423</v>
      </c>
      <c r="N1451" t="s">
        <v>424</v>
      </c>
      <c r="O1451">
        <v>120</v>
      </c>
      <c r="P1451" t="s">
        <v>425</v>
      </c>
    </row>
    <row r="1452" spans="1:16" ht="15" customHeight="1" x14ac:dyDescent="0.4">
      <c r="A1452" t="s">
        <v>15</v>
      </c>
      <c r="B1452" t="s">
        <v>16</v>
      </c>
      <c r="C1452" s="13">
        <v>44562</v>
      </c>
      <c r="D1452" s="13">
        <v>44926</v>
      </c>
      <c r="E1452" t="s">
        <v>30</v>
      </c>
      <c r="F1452">
        <v>0</v>
      </c>
      <c r="G1452" t="s">
        <v>420</v>
      </c>
      <c r="H1452">
        <v>4</v>
      </c>
      <c r="I1452" t="s">
        <v>421</v>
      </c>
      <c r="J1452">
        <v>106</v>
      </c>
      <c r="K1452" t="s">
        <v>422</v>
      </c>
      <c r="L1452" s="13">
        <v>44804</v>
      </c>
      <c r="M1452" t="s">
        <v>428</v>
      </c>
      <c r="N1452" t="s">
        <v>429</v>
      </c>
      <c r="O1452">
        <v>542.65</v>
      </c>
      <c r="P1452" t="s">
        <v>430</v>
      </c>
    </row>
    <row r="1453" spans="1:16" ht="15" customHeight="1" x14ac:dyDescent="0.4">
      <c r="A1453" t="s">
        <v>15</v>
      </c>
      <c r="B1453" t="s">
        <v>16</v>
      </c>
      <c r="C1453" s="13">
        <v>44562</v>
      </c>
      <c r="D1453" s="13">
        <v>44926</v>
      </c>
      <c r="E1453" t="s">
        <v>17</v>
      </c>
      <c r="F1453">
        <v>0</v>
      </c>
      <c r="G1453" t="s">
        <v>420</v>
      </c>
      <c r="H1453">
        <v>4</v>
      </c>
      <c r="I1453" t="s">
        <v>421</v>
      </c>
      <c r="J1453">
        <v>269</v>
      </c>
      <c r="K1453" t="s">
        <v>431</v>
      </c>
      <c r="L1453" s="13">
        <v>44926</v>
      </c>
      <c r="M1453" t="s">
        <v>432</v>
      </c>
      <c r="N1453" t="s">
        <v>46</v>
      </c>
      <c r="O1453">
        <v>1959.44</v>
      </c>
      <c r="P1453" t="s">
        <v>46</v>
      </c>
    </row>
    <row r="1454" spans="1:16" ht="15" customHeight="1" x14ac:dyDescent="0.4">
      <c r="A1454" t="s">
        <v>15</v>
      </c>
      <c r="B1454" t="s">
        <v>16</v>
      </c>
      <c r="C1454" s="13">
        <v>44562</v>
      </c>
      <c r="D1454" s="13">
        <v>44926</v>
      </c>
      <c r="E1454" t="s">
        <v>17</v>
      </c>
      <c r="F1454">
        <v>0</v>
      </c>
      <c r="G1454" t="s">
        <v>420</v>
      </c>
      <c r="H1454">
        <v>4</v>
      </c>
      <c r="I1454" t="s">
        <v>421</v>
      </c>
      <c r="J1454">
        <v>281</v>
      </c>
      <c r="K1454" t="s">
        <v>433</v>
      </c>
      <c r="L1454" s="13">
        <v>44926</v>
      </c>
      <c r="M1454" t="s">
        <v>434</v>
      </c>
      <c r="N1454" t="s">
        <v>46</v>
      </c>
      <c r="O1454">
        <v>-166.49</v>
      </c>
      <c r="P1454" t="s">
        <v>46</v>
      </c>
    </row>
    <row r="1455" spans="1:16" ht="15" customHeight="1" x14ac:dyDescent="0.4">
      <c r="A1455" t="s">
        <v>15</v>
      </c>
      <c r="B1455" t="s">
        <v>16</v>
      </c>
      <c r="C1455" s="13">
        <v>44562</v>
      </c>
      <c r="D1455" s="13">
        <v>44926</v>
      </c>
      <c r="E1455" t="s">
        <v>17</v>
      </c>
      <c r="F1455">
        <v>0</v>
      </c>
      <c r="G1455" t="s">
        <v>420</v>
      </c>
      <c r="H1455">
        <v>4</v>
      </c>
      <c r="I1455" t="s">
        <v>421</v>
      </c>
      <c r="J1455">
        <v>401</v>
      </c>
      <c r="K1455" t="s">
        <v>435</v>
      </c>
      <c r="L1455" s="13">
        <v>44651</v>
      </c>
      <c r="M1455" t="s">
        <v>435</v>
      </c>
      <c r="N1455" t="s">
        <v>436</v>
      </c>
      <c r="O1455">
        <v>3129</v>
      </c>
      <c r="P1455" t="s">
        <v>437</v>
      </c>
    </row>
    <row r="1456" spans="1:16" ht="15" customHeight="1" x14ac:dyDescent="0.4">
      <c r="A1456" t="s">
        <v>15</v>
      </c>
      <c r="B1456" t="s">
        <v>16</v>
      </c>
      <c r="C1456" s="13">
        <v>44562</v>
      </c>
      <c r="D1456" s="13">
        <v>44926</v>
      </c>
      <c r="E1456" t="s">
        <v>17</v>
      </c>
      <c r="F1456">
        <v>0</v>
      </c>
      <c r="G1456" t="s">
        <v>420</v>
      </c>
      <c r="H1456">
        <v>4</v>
      </c>
      <c r="I1456" t="s">
        <v>421</v>
      </c>
      <c r="J1456">
        <v>401</v>
      </c>
      <c r="K1456" t="s">
        <v>435</v>
      </c>
      <c r="L1456" s="13">
        <v>44742</v>
      </c>
      <c r="M1456" t="s">
        <v>435</v>
      </c>
      <c r="N1456" t="s">
        <v>438</v>
      </c>
      <c r="O1456">
        <v>3129</v>
      </c>
      <c r="P1456" t="s">
        <v>437</v>
      </c>
    </row>
    <row r="1457" spans="1:16" ht="15" customHeight="1" x14ac:dyDescent="0.4">
      <c r="A1457" t="s">
        <v>15</v>
      </c>
      <c r="B1457" t="s">
        <v>16</v>
      </c>
      <c r="C1457" s="13">
        <v>44562</v>
      </c>
      <c r="D1457" s="13">
        <v>44926</v>
      </c>
      <c r="E1457" t="s">
        <v>17</v>
      </c>
      <c r="F1457">
        <v>0</v>
      </c>
      <c r="G1457" t="s">
        <v>420</v>
      </c>
      <c r="H1457">
        <v>4</v>
      </c>
      <c r="I1457" t="s">
        <v>421</v>
      </c>
      <c r="J1457">
        <v>401</v>
      </c>
      <c r="K1457" t="s">
        <v>435</v>
      </c>
      <c r="L1457" s="13">
        <v>44834</v>
      </c>
      <c r="M1457" t="s">
        <v>435</v>
      </c>
      <c r="N1457" t="s">
        <v>439</v>
      </c>
      <c r="O1457">
        <v>1043</v>
      </c>
      <c r="P1457" t="s">
        <v>437</v>
      </c>
    </row>
    <row r="1458" spans="1:16" ht="15" customHeight="1" x14ac:dyDescent="0.4">
      <c r="A1458" t="s">
        <v>15</v>
      </c>
      <c r="B1458" t="s">
        <v>16</v>
      </c>
      <c r="C1458" s="13">
        <v>44562</v>
      </c>
      <c r="D1458" s="13">
        <v>44926</v>
      </c>
      <c r="E1458" t="s">
        <v>17</v>
      </c>
      <c r="F1458">
        <v>0</v>
      </c>
      <c r="G1458" t="s">
        <v>420</v>
      </c>
      <c r="H1458">
        <v>4</v>
      </c>
      <c r="I1458" t="s">
        <v>421</v>
      </c>
      <c r="J1458">
        <v>401</v>
      </c>
      <c r="K1458" t="s">
        <v>435</v>
      </c>
      <c r="L1458" s="13">
        <v>44834</v>
      </c>
      <c r="M1458" t="s">
        <v>435</v>
      </c>
      <c r="N1458" t="s">
        <v>439</v>
      </c>
      <c r="O1458">
        <v>1043</v>
      </c>
      <c r="P1458" t="s">
        <v>437</v>
      </c>
    </row>
    <row r="1459" spans="1:16" ht="15" customHeight="1" x14ac:dyDescent="0.4">
      <c r="A1459" t="s">
        <v>15</v>
      </c>
      <c r="B1459" t="s">
        <v>16</v>
      </c>
      <c r="C1459" s="13">
        <v>44562</v>
      </c>
      <c r="D1459" s="13">
        <v>44926</v>
      </c>
      <c r="E1459" t="s">
        <v>17</v>
      </c>
      <c r="F1459">
        <v>0</v>
      </c>
      <c r="G1459" t="s">
        <v>420</v>
      </c>
      <c r="H1459">
        <v>4</v>
      </c>
      <c r="I1459" t="s">
        <v>421</v>
      </c>
      <c r="J1459">
        <v>401</v>
      </c>
      <c r="K1459" t="s">
        <v>435</v>
      </c>
      <c r="L1459" s="13">
        <v>44834</v>
      </c>
      <c r="M1459" t="s">
        <v>435</v>
      </c>
      <c r="N1459" t="s">
        <v>439</v>
      </c>
      <c r="O1459">
        <v>1043</v>
      </c>
      <c r="P1459" t="s">
        <v>437</v>
      </c>
    </row>
    <row r="1460" spans="1:16" ht="15" customHeight="1" x14ac:dyDescent="0.4">
      <c r="A1460" t="s">
        <v>15</v>
      </c>
      <c r="B1460" t="s">
        <v>16</v>
      </c>
      <c r="C1460" s="13">
        <v>44562</v>
      </c>
      <c r="D1460" s="13">
        <v>44926</v>
      </c>
      <c r="E1460" t="s">
        <v>17</v>
      </c>
      <c r="F1460">
        <v>0</v>
      </c>
      <c r="G1460" t="s">
        <v>420</v>
      </c>
      <c r="H1460">
        <v>4</v>
      </c>
      <c r="I1460" t="s">
        <v>421</v>
      </c>
      <c r="J1460">
        <v>401</v>
      </c>
      <c r="K1460" t="s">
        <v>435</v>
      </c>
      <c r="L1460" s="13">
        <v>44865</v>
      </c>
      <c r="M1460" t="s">
        <v>435</v>
      </c>
      <c r="N1460" t="s">
        <v>440</v>
      </c>
      <c r="O1460">
        <v>1043</v>
      </c>
      <c r="P1460" t="s">
        <v>437</v>
      </c>
    </row>
    <row r="1461" spans="1:16" ht="15" customHeight="1" x14ac:dyDescent="0.4">
      <c r="A1461" t="s">
        <v>15</v>
      </c>
      <c r="B1461" t="s">
        <v>16</v>
      </c>
      <c r="C1461" s="13">
        <v>44562</v>
      </c>
      <c r="D1461" s="13">
        <v>44926</v>
      </c>
      <c r="E1461" t="s">
        <v>17</v>
      </c>
      <c r="F1461">
        <v>0</v>
      </c>
      <c r="G1461" t="s">
        <v>420</v>
      </c>
      <c r="H1461">
        <v>4</v>
      </c>
      <c r="I1461" t="s">
        <v>421</v>
      </c>
      <c r="J1461">
        <v>401</v>
      </c>
      <c r="K1461" t="s">
        <v>435</v>
      </c>
      <c r="L1461" s="13">
        <v>44895</v>
      </c>
      <c r="M1461" t="s">
        <v>435</v>
      </c>
      <c r="N1461" t="s">
        <v>441</v>
      </c>
      <c r="O1461">
        <v>1043</v>
      </c>
      <c r="P1461" t="s">
        <v>437</v>
      </c>
    </row>
    <row r="1462" spans="1:16" ht="15" customHeight="1" x14ac:dyDescent="0.4">
      <c r="A1462" t="s">
        <v>15</v>
      </c>
      <c r="B1462" t="s">
        <v>16</v>
      </c>
      <c r="C1462" s="13">
        <v>44562</v>
      </c>
      <c r="D1462" s="13">
        <v>44926</v>
      </c>
      <c r="E1462" t="s">
        <v>17</v>
      </c>
      <c r="F1462">
        <v>0</v>
      </c>
      <c r="G1462" t="s">
        <v>420</v>
      </c>
      <c r="H1462">
        <v>4</v>
      </c>
      <c r="I1462" t="s">
        <v>421</v>
      </c>
      <c r="J1462">
        <v>401</v>
      </c>
      <c r="K1462" t="s">
        <v>435</v>
      </c>
      <c r="L1462" s="13">
        <v>44926</v>
      </c>
      <c r="M1462" t="s">
        <v>435</v>
      </c>
      <c r="N1462" t="s">
        <v>442</v>
      </c>
      <c r="O1462">
        <v>1043</v>
      </c>
      <c r="P1462" t="s">
        <v>437</v>
      </c>
    </row>
    <row r="1463" spans="1:16" ht="15" customHeight="1" x14ac:dyDescent="0.4">
      <c r="A1463" t="s">
        <v>15</v>
      </c>
      <c r="B1463" t="s">
        <v>16</v>
      </c>
      <c r="C1463" s="13">
        <v>44562</v>
      </c>
      <c r="D1463" s="13">
        <v>44926</v>
      </c>
      <c r="E1463" t="s">
        <v>17</v>
      </c>
      <c r="F1463">
        <v>0</v>
      </c>
      <c r="G1463" t="s">
        <v>420</v>
      </c>
      <c r="H1463">
        <v>4</v>
      </c>
      <c r="I1463" t="s">
        <v>421</v>
      </c>
      <c r="J1463">
        <v>481</v>
      </c>
      <c r="K1463" t="s">
        <v>443</v>
      </c>
      <c r="L1463" s="13">
        <v>44782</v>
      </c>
      <c r="M1463" t="s">
        <v>444</v>
      </c>
      <c r="N1463" t="s">
        <v>445</v>
      </c>
      <c r="O1463">
        <v>1454</v>
      </c>
      <c r="P1463" t="s">
        <v>446</v>
      </c>
    </row>
    <row r="1464" spans="1:16" ht="15" customHeight="1" x14ac:dyDescent="0.4">
      <c r="A1464" t="s">
        <v>15</v>
      </c>
      <c r="B1464" t="s">
        <v>16</v>
      </c>
      <c r="C1464" s="13">
        <v>44562</v>
      </c>
      <c r="D1464" s="13">
        <v>44926</v>
      </c>
      <c r="E1464" t="s">
        <v>17</v>
      </c>
      <c r="F1464">
        <v>0</v>
      </c>
      <c r="G1464" t="s">
        <v>420</v>
      </c>
      <c r="H1464">
        <v>4</v>
      </c>
      <c r="I1464" t="s">
        <v>421</v>
      </c>
      <c r="J1464">
        <v>482</v>
      </c>
      <c r="K1464" t="s">
        <v>447</v>
      </c>
      <c r="L1464" s="13">
        <v>44855</v>
      </c>
      <c r="M1464" t="s">
        <v>448</v>
      </c>
      <c r="N1464" t="s">
        <v>449</v>
      </c>
      <c r="O1464">
        <v>1518</v>
      </c>
      <c r="P1464" t="s">
        <v>446</v>
      </c>
    </row>
    <row r="1465" spans="1:16" ht="15" customHeight="1" x14ac:dyDescent="0.4">
      <c r="A1465" t="s">
        <v>15</v>
      </c>
      <c r="B1465" t="s">
        <v>16</v>
      </c>
      <c r="C1465" s="13">
        <v>44562</v>
      </c>
      <c r="D1465" s="13">
        <v>44926</v>
      </c>
      <c r="E1465" t="s">
        <v>17</v>
      </c>
      <c r="F1465">
        <v>0</v>
      </c>
      <c r="G1465" t="s">
        <v>420</v>
      </c>
      <c r="H1465">
        <v>4</v>
      </c>
      <c r="I1465" t="s">
        <v>421</v>
      </c>
      <c r="J1465">
        <v>702</v>
      </c>
      <c r="K1465" t="s">
        <v>275</v>
      </c>
      <c r="L1465" s="13">
        <v>44926</v>
      </c>
      <c r="M1465" t="s">
        <v>450</v>
      </c>
      <c r="N1465" t="s">
        <v>46</v>
      </c>
      <c r="O1465">
        <v>22.96</v>
      </c>
      <c r="P1465" t="s">
        <v>46</v>
      </c>
    </row>
    <row r="1466" spans="1:16" ht="15" customHeight="1" x14ac:dyDescent="0.4">
      <c r="A1466" t="s">
        <v>15</v>
      </c>
      <c r="B1466" t="s">
        <v>16</v>
      </c>
      <c r="C1466" s="13">
        <v>44562</v>
      </c>
      <c r="D1466" s="13">
        <v>44926</v>
      </c>
      <c r="E1466" t="s">
        <v>17</v>
      </c>
      <c r="F1466">
        <v>0</v>
      </c>
      <c r="G1466" t="s">
        <v>420</v>
      </c>
      <c r="H1466">
        <v>4</v>
      </c>
      <c r="I1466" t="s">
        <v>421</v>
      </c>
      <c r="J1466">
        <v>857</v>
      </c>
      <c r="K1466" t="s">
        <v>451</v>
      </c>
      <c r="L1466" s="13">
        <v>44656</v>
      </c>
      <c r="M1466" t="s">
        <v>452</v>
      </c>
      <c r="N1466" t="s">
        <v>453</v>
      </c>
      <c r="O1466">
        <v>54.9</v>
      </c>
      <c r="P1466" t="s">
        <v>430</v>
      </c>
    </row>
    <row r="1467" spans="1:16" ht="15" customHeight="1" x14ac:dyDescent="0.4">
      <c r="A1467" t="s">
        <v>15</v>
      </c>
      <c r="B1467" t="s">
        <v>16</v>
      </c>
      <c r="C1467" s="13">
        <v>44562</v>
      </c>
      <c r="D1467" s="13">
        <v>44926</v>
      </c>
      <c r="E1467" t="s">
        <v>17</v>
      </c>
      <c r="F1467">
        <v>0</v>
      </c>
      <c r="G1467" t="s">
        <v>420</v>
      </c>
      <c r="H1467">
        <v>4</v>
      </c>
      <c r="I1467" t="s">
        <v>421</v>
      </c>
      <c r="J1467">
        <v>857</v>
      </c>
      <c r="K1467" t="s">
        <v>451</v>
      </c>
      <c r="L1467" s="13">
        <v>44700</v>
      </c>
      <c r="M1467" t="s">
        <v>452</v>
      </c>
      <c r="N1467" t="s">
        <v>454</v>
      </c>
      <c r="O1467">
        <v>784.85</v>
      </c>
      <c r="P1467" t="s">
        <v>430</v>
      </c>
    </row>
    <row r="1468" spans="1:16" ht="15" customHeight="1" x14ac:dyDescent="0.4">
      <c r="A1468" t="s">
        <v>15</v>
      </c>
      <c r="B1468" t="s">
        <v>16</v>
      </c>
      <c r="C1468" s="13">
        <v>44562</v>
      </c>
      <c r="D1468" s="13">
        <v>44926</v>
      </c>
      <c r="E1468" t="s">
        <v>17</v>
      </c>
      <c r="F1468">
        <v>0</v>
      </c>
      <c r="G1468" t="s">
        <v>420</v>
      </c>
      <c r="H1468">
        <v>4</v>
      </c>
      <c r="I1468" t="s">
        <v>421</v>
      </c>
      <c r="J1468">
        <v>857</v>
      </c>
      <c r="K1468" t="s">
        <v>451</v>
      </c>
      <c r="L1468" s="13">
        <v>44742</v>
      </c>
      <c r="M1468" t="s">
        <v>452</v>
      </c>
      <c r="N1468" t="s">
        <v>455</v>
      </c>
      <c r="O1468">
        <v>662.15</v>
      </c>
      <c r="P1468" t="s">
        <v>430</v>
      </c>
    </row>
    <row r="1469" spans="1:16" ht="15" customHeight="1" x14ac:dyDescent="0.4">
      <c r="A1469" t="s">
        <v>15</v>
      </c>
      <c r="B1469" t="s">
        <v>16</v>
      </c>
      <c r="C1469" s="13">
        <v>44562</v>
      </c>
      <c r="D1469" s="13">
        <v>44926</v>
      </c>
      <c r="E1469" t="s">
        <v>17</v>
      </c>
      <c r="F1469">
        <v>0</v>
      </c>
      <c r="G1469" t="s">
        <v>420</v>
      </c>
      <c r="H1469">
        <v>4</v>
      </c>
      <c r="I1469" t="s">
        <v>421</v>
      </c>
      <c r="J1469">
        <v>857</v>
      </c>
      <c r="K1469" t="s">
        <v>451</v>
      </c>
      <c r="L1469" s="13">
        <v>44773</v>
      </c>
      <c r="M1469" t="s">
        <v>452</v>
      </c>
      <c r="N1469" t="s">
        <v>456</v>
      </c>
      <c r="O1469">
        <v>47.91</v>
      </c>
      <c r="P1469" t="s">
        <v>430</v>
      </c>
    </row>
    <row r="1470" spans="1:16" ht="15" customHeight="1" x14ac:dyDescent="0.4">
      <c r="A1470" t="s">
        <v>15</v>
      </c>
      <c r="B1470" t="s">
        <v>16</v>
      </c>
      <c r="C1470" s="13">
        <v>44562</v>
      </c>
      <c r="D1470" s="13">
        <v>44926</v>
      </c>
      <c r="E1470" t="s">
        <v>17</v>
      </c>
      <c r="F1470">
        <v>0</v>
      </c>
      <c r="G1470" t="s">
        <v>420</v>
      </c>
      <c r="H1470">
        <v>4</v>
      </c>
      <c r="I1470" t="s">
        <v>421</v>
      </c>
      <c r="J1470">
        <v>857</v>
      </c>
      <c r="K1470" t="s">
        <v>451</v>
      </c>
      <c r="L1470" s="13">
        <v>44875</v>
      </c>
      <c r="M1470" t="s">
        <v>452</v>
      </c>
      <c r="N1470" t="s">
        <v>457</v>
      </c>
      <c r="O1470">
        <v>96.73</v>
      </c>
      <c r="P1470" t="s">
        <v>430</v>
      </c>
    </row>
    <row r="1471" spans="1:16" ht="15" customHeight="1" x14ac:dyDescent="0.4">
      <c r="A1471" t="s">
        <v>15</v>
      </c>
      <c r="B1471" t="s">
        <v>16</v>
      </c>
      <c r="C1471" s="13">
        <v>44562</v>
      </c>
      <c r="D1471" s="13">
        <v>44926</v>
      </c>
      <c r="E1471" t="s">
        <v>17</v>
      </c>
      <c r="F1471">
        <v>0</v>
      </c>
      <c r="G1471" t="s">
        <v>420</v>
      </c>
      <c r="H1471">
        <v>4</v>
      </c>
      <c r="I1471" t="s">
        <v>421</v>
      </c>
      <c r="J1471">
        <v>858</v>
      </c>
      <c r="K1471" t="s">
        <v>458</v>
      </c>
      <c r="L1471" s="13">
        <v>44833</v>
      </c>
      <c r="M1471" t="s">
        <v>459</v>
      </c>
      <c r="N1471" t="s">
        <v>460</v>
      </c>
      <c r="O1471">
        <v>336.58</v>
      </c>
      <c r="P1471" t="s">
        <v>461</v>
      </c>
    </row>
    <row r="1472" spans="1:16" ht="15" customHeight="1" x14ac:dyDescent="0.4">
      <c r="A1472" t="s">
        <v>15</v>
      </c>
      <c r="B1472" t="s">
        <v>16</v>
      </c>
      <c r="C1472" s="13">
        <v>44562</v>
      </c>
      <c r="D1472" s="13">
        <v>44926</v>
      </c>
      <c r="E1472" t="s">
        <v>17</v>
      </c>
      <c r="F1472">
        <v>0</v>
      </c>
      <c r="G1472" t="s">
        <v>420</v>
      </c>
      <c r="H1472">
        <v>4</v>
      </c>
      <c r="I1472" t="s">
        <v>421</v>
      </c>
      <c r="J1472">
        <v>892</v>
      </c>
      <c r="K1472" t="s">
        <v>462</v>
      </c>
      <c r="L1472" s="13">
        <v>44926</v>
      </c>
      <c r="M1472" t="s">
        <v>463</v>
      </c>
      <c r="N1472" t="s">
        <v>46</v>
      </c>
      <c r="O1472">
        <v>-7602.97</v>
      </c>
      <c r="P1472" t="s">
        <v>46</v>
      </c>
    </row>
    <row r="1473" spans="1:16" ht="15" customHeight="1" x14ac:dyDescent="0.4">
      <c r="A1473" t="s">
        <v>15</v>
      </c>
      <c r="B1473" t="s">
        <v>16</v>
      </c>
      <c r="C1473" s="13">
        <v>44562</v>
      </c>
      <c r="D1473" s="13">
        <v>44926</v>
      </c>
      <c r="E1473" t="s">
        <v>17</v>
      </c>
      <c r="F1473">
        <v>0</v>
      </c>
      <c r="G1473" t="s">
        <v>420</v>
      </c>
      <c r="H1473">
        <v>4</v>
      </c>
      <c r="I1473" t="s">
        <v>421</v>
      </c>
      <c r="J1473">
        <v>909</v>
      </c>
      <c r="K1473" t="s">
        <v>464</v>
      </c>
      <c r="L1473" s="13">
        <v>44926</v>
      </c>
      <c r="M1473" t="s">
        <v>335</v>
      </c>
      <c r="N1473" t="s">
        <v>46</v>
      </c>
      <c r="O1473">
        <v>44990.8</v>
      </c>
      <c r="P1473" t="s">
        <v>46</v>
      </c>
    </row>
    <row r="1474" spans="1:16" ht="15" customHeight="1" x14ac:dyDescent="0.4">
      <c r="A1474" t="s">
        <v>15</v>
      </c>
      <c r="B1474" t="s">
        <v>16</v>
      </c>
      <c r="C1474" s="13">
        <v>44562</v>
      </c>
      <c r="D1474" s="13">
        <v>44926</v>
      </c>
      <c r="E1474" t="s">
        <v>17</v>
      </c>
      <c r="F1474">
        <v>0</v>
      </c>
      <c r="G1474" t="s">
        <v>420</v>
      </c>
      <c r="H1474">
        <v>4</v>
      </c>
      <c r="I1474" t="s">
        <v>421</v>
      </c>
      <c r="J1474">
        <v>935</v>
      </c>
      <c r="K1474" t="s">
        <v>465</v>
      </c>
      <c r="L1474" s="13">
        <v>44926</v>
      </c>
      <c r="M1474" t="s">
        <v>466</v>
      </c>
      <c r="N1474" t="s">
        <v>46</v>
      </c>
      <c r="O1474">
        <v>-1356.09</v>
      </c>
      <c r="P1474" t="s">
        <v>46</v>
      </c>
    </row>
    <row r="1475" spans="1:16" ht="15" customHeight="1" x14ac:dyDescent="0.4">
      <c r="A1475" t="s">
        <v>15</v>
      </c>
      <c r="B1475" t="s">
        <v>16</v>
      </c>
      <c r="C1475" s="13">
        <v>44562</v>
      </c>
      <c r="D1475" s="13">
        <v>44926</v>
      </c>
      <c r="E1475" t="s">
        <v>30</v>
      </c>
      <c r="F1475">
        <v>0</v>
      </c>
      <c r="G1475" t="s">
        <v>467</v>
      </c>
      <c r="H1475">
        <v>17</v>
      </c>
      <c r="I1475" t="s">
        <v>468</v>
      </c>
      <c r="J1475">
        <v>116</v>
      </c>
      <c r="K1475" t="s">
        <v>469</v>
      </c>
      <c r="L1475" s="13">
        <v>44621</v>
      </c>
      <c r="M1475" t="s">
        <v>470</v>
      </c>
      <c r="N1475" t="s">
        <v>471</v>
      </c>
      <c r="O1475">
        <v>180.13</v>
      </c>
      <c r="P1475" t="s">
        <v>472</v>
      </c>
    </row>
    <row r="1476" spans="1:16" ht="15" customHeight="1" x14ac:dyDescent="0.4">
      <c r="A1476" t="s">
        <v>15</v>
      </c>
      <c r="B1476" t="s">
        <v>16</v>
      </c>
      <c r="C1476" s="13">
        <v>44562</v>
      </c>
      <c r="D1476" s="13">
        <v>44926</v>
      </c>
      <c r="E1476" t="s">
        <v>30</v>
      </c>
      <c r="F1476">
        <v>0</v>
      </c>
      <c r="G1476" t="s">
        <v>467</v>
      </c>
      <c r="H1476">
        <v>17</v>
      </c>
      <c r="I1476" t="s">
        <v>468</v>
      </c>
      <c r="J1476">
        <v>233</v>
      </c>
      <c r="K1476" t="s">
        <v>473</v>
      </c>
      <c r="L1476" s="13">
        <v>44576</v>
      </c>
      <c r="M1476" t="s">
        <v>474</v>
      </c>
      <c r="N1476" t="s">
        <v>475</v>
      </c>
      <c r="O1476">
        <v>2108.75</v>
      </c>
      <c r="P1476" t="s">
        <v>292</v>
      </c>
    </row>
    <row r="1477" spans="1:16" ht="15" customHeight="1" x14ac:dyDescent="0.4">
      <c r="A1477" t="s">
        <v>15</v>
      </c>
      <c r="B1477" t="s">
        <v>16</v>
      </c>
      <c r="C1477" s="13">
        <v>44562</v>
      </c>
      <c r="D1477" s="13">
        <v>44926</v>
      </c>
      <c r="E1477" t="s">
        <v>17</v>
      </c>
      <c r="F1477">
        <v>0</v>
      </c>
      <c r="G1477" t="s">
        <v>467</v>
      </c>
      <c r="H1477">
        <v>17</v>
      </c>
      <c r="I1477" t="s">
        <v>468</v>
      </c>
      <c r="J1477">
        <v>401</v>
      </c>
      <c r="K1477" t="s">
        <v>476</v>
      </c>
      <c r="L1477" s="13">
        <v>44926</v>
      </c>
      <c r="M1477" t="s">
        <v>477</v>
      </c>
      <c r="N1477" t="s">
        <v>46</v>
      </c>
      <c r="O1477">
        <v>7602.97</v>
      </c>
      <c r="P1477" t="s">
        <v>46</v>
      </c>
    </row>
    <row r="1478" spans="1:16" ht="15" customHeight="1" x14ac:dyDescent="0.4">
      <c r="A1478" t="s">
        <v>15</v>
      </c>
      <c r="B1478" t="s">
        <v>16</v>
      </c>
      <c r="C1478" s="13">
        <v>44562</v>
      </c>
      <c r="D1478" s="13">
        <v>44926</v>
      </c>
      <c r="E1478" t="s">
        <v>17</v>
      </c>
      <c r="F1478">
        <v>0</v>
      </c>
      <c r="G1478" t="s">
        <v>478</v>
      </c>
      <c r="H1478">
        <v>55</v>
      </c>
      <c r="I1478" t="s">
        <v>479</v>
      </c>
      <c r="J1478">
        <v>282</v>
      </c>
      <c r="K1478" t="s">
        <v>480</v>
      </c>
      <c r="L1478" s="13">
        <v>44926</v>
      </c>
      <c r="M1478" t="s">
        <v>481</v>
      </c>
      <c r="N1478" t="s">
        <v>86</v>
      </c>
      <c r="O1478">
        <v>8595.43</v>
      </c>
      <c r="P1478" t="s">
        <v>46</v>
      </c>
    </row>
    <row r="1479" spans="1:16" ht="15" customHeight="1" x14ac:dyDescent="0.4">
      <c r="A1479" t="s">
        <v>15</v>
      </c>
      <c r="B1479" t="s">
        <v>16</v>
      </c>
      <c r="C1479" s="13">
        <v>44562</v>
      </c>
      <c r="D1479" s="13">
        <v>44926</v>
      </c>
      <c r="E1479" t="s">
        <v>17</v>
      </c>
      <c r="F1479">
        <v>0</v>
      </c>
      <c r="G1479" t="s">
        <v>482</v>
      </c>
      <c r="H1479">
        <v>60</v>
      </c>
      <c r="I1479" t="s">
        <v>483</v>
      </c>
      <c r="J1479">
        <v>881</v>
      </c>
      <c r="K1479" t="s">
        <v>327</v>
      </c>
      <c r="L1479" s="13">
        <v>44719</v>
      </c>
      <c r="M1479" t="s">
        <v>484</v>
      </c>
      <c r="N1479" t="s">
        <v>485</v>
      </c>
      <c r="O1479">
        <v>1299.54</v>
      </c>
      <c r="P1479" t="s">
        <v>374</v>
      </c>
    </row>
    <row r="1480" spans="1:16" ht="15" customHeight="1" x14ac:dyDescent="0.4">
      <c r="A1480" t="s">
        <v>15</v>
      </c>
      <c r="B1480" t="s">
        <v>16</v>
      </c>
      <c r="C1480" s="13">
        <v>44562</v>
      </c>
      <c r="D1480" s="13">
        <v>44926</v>
      </c>
      <c r="E1480" t="s">
        <v>17</v>
      </c>
      <c r="F1480">
        <v>0</v>
      </c>
      <c r="G1480" t="s">
        <v>482</v>
      </c>
      <c r="H1480">
        <v>60</v>
      </c>
      <c r="I1480" t="s">
        <v>483</v>
      </c>
      <c r="J1480">
        <v>881</v>
      </c>
      <c r="K1480" t="s">
        <v>327</v>
      </c>
      <c r="L1480" s="13">
        <v>44926</v>
      </c>
      <c r="M1480" t="s">
        <v>486</v>
      </c>
      <c r="N1480" t="s">
        <v>329</v>
      </c>
      <c r="O1480">
        <v>-30.22</v>
      </c>
      <c r="P1480" t="s">
        <v>46</v>
      </c>
    </row>
    <row r="1481" spans="1:16" ht="15" customHeight="1" x14ac:dyDescent="0.4">
      <c r="A1481" t="s">
        <v>15</v>
      </c>
      <c r="B1481" t="s">
        <v>16</v>
      </c>
      <c r="C1481" s="13">
        <v>44562</v>
      </c>
      <c r="D1481" s="13">
        <v>44926</v>
      </c>
      <c r="E1481" t="s">
        <v>17</v>
      </c>
      <c r="F1481">
        <v>1</v>
      </c>
      <c r="G1481" t="s">
        <v>18</v>
      </c>
      <c r="H1481">
        <v>1</v>
      </c>
      <c r="I1481" t="s">
        <v>19</v>
      </c>
      <c r="J1481">
        <v>242</v>
      </c>
      <c r="K1481" t="s">
        <v>487</v>
      </c>
      <c r="L1481" s="13">
        <v>44926</v>
      </c>
      <c r="M1481" t="s">
        <v>349</v>
      </c>
      <c r="N1481" t="s">
        <v>45</v>
      </c>
      <c r="O1481">
        <v>348.37</v>
      </c>
      <c r="P1481" t="s">
        <v>46</v>
      </c>
    </row>
    <row r="1482" spans="1:16" ht="15" customHeight="1" x14ac:dyDescent="0.4">
      <c r="A1482" t="s">
        <v>15</v>
      </c>
      <c r="B1482" t="s">
        <v>16</v>
      </c>
      <c r="C1482" s="13">
        <v>44562</v>
      </c>
      <c r="D1482" s="13">
        <v>44926</v>
      </c>
      <c r="E1482" t="s">
        <v>17</v>
      </c>
      <c r="F1482">
        <v>1</v>
      </c>
      <c r="G1482" t="s">
        <v>18</v>
      </c>
      <c r="H1482">
        <v>1</v>
      </c>
      <c r="I1482" t="s">
        <v>19</v>
      </c>
      <c r="J1482">
        <v>269</v>
      </c>
      <c r="K1482" t="s">
        <v>3671</v>
      </c>
      <c r="L1482" s="13">
        <v>44581</v>
      </c>
      <c r="M1482" t="s">
        <v>50</v>
      </c>
      <c r="N1482" t="s">
        <v>51</v>
      </c>
      <c r="O1482">
        <v>2.4300000000000002</v>
      </c>
      <c r="P1482" t="s">
        <v>52</v>
      </c>
    </row>
    <row r="1483" spans="1:16" ht="15" customHeight="1" x14ac:dyDescent="0.4">
      <c r="A1483" t="s">
        <v>15</v>
      </c>
      <c r="B1483" t="s">
        <v>16</v>
      </c>
      <c r="C1483" s="13">
        <v>44562</v>
      </c>
      <c r="D1483" s="13">
        <v>44926</v>
      </c>
      <c r="E1483" t="s">
        <v>17</v>
      </c>
      <c r="F1483">
        <v>1</v>
      </c>
      <c r="G1483" t="s">
        <v>18</v>
      </c>
      <c r="H1483">
        <v>1</v>
      </c>
      <c r="I1483" t="s">
        <v>19</v>
      </c>
      <c r="J1483">
        <v>269</v>
      </c>
      <c r="K1483" t="s">
        <v>3671</v>
      </c>
      <c r="L1483" s="13">
        <v>44612</v>
      </c>
      <c r="M1483" t="s">
        <v>53</v>
      </c>
      <c r="N1483" t="s">
        <v>54</v>
      </c>
      <c r="O1483">
        <v>1.86</v>
      </c>
      <c r="P1483" t="s">
        <v>52</v>
      </c>
    </row>
    <row r="1484" spans="1:16" ht="15" customHeight="1" x14ac:dyDescent="0.4">
      <c r="A1484" t="s">
        <v>15</v>
      </c>
      <c r="B1484" t="s">
        <v>16</v>
      </c>
      <c r="C1484" s="13">
        <v>44562</v>
      </c>
      <c r="D1484" s="13">
        <v>44926</v>
      </c>
      <c r="E1484" t="s">
        <v>17</v>
      </c>
      <c r="F1484">
        <v>1</v>
      </c>
      <c r="G1484" t="s">
        <v>18</v>
      </c>
      <c r="H1484">
        <v>1</v>
      </c>
      <c r="I1484" t="s">
        <v>19</v>
      </c>
      <c r="J1484">
        <v>269</v>
      </c>
      <c r="K1484" t="s">
        <v>3671</v>
      </c>
      <c r="L1484" s="13">
        <v>44641</v>
      </c>
      <c r="M1484" t="s">
        <v>55</v>
      </c>
      <c r="N1484" t="s">
        <v>56</v>
      </c>
      <c r="O1484">
        <v>1.6</v>
      </c>
      <c r="P1484" t="s">
        <v>52</v>
      </c>
    </row>
    <row r="1485" spans="1:16" ht="15" customHeight="1" x14ac:dyDescent="0.4">
      <c r="A1485" t="s">
        <v>15</v>
      </c>
      <c r="B1485" t="s">
        <v>16</v>
      </c>
      <c r="C1485" s="13">
        <v>44562</v>
      </c>
      <c r="D1485" s="13">
        <v>44926</v>
      </c>
      <c r="E1485" t="s">
        <v>17</v>
      </c>
      <c r="F1485">
        <v>1</v>
      </c>
      <c r="G1485" t="s">
        <v>18</v>
      </c>
      <c r="H1485">
        <v>1</v>
      </c>
      <c r="I1485" t="s">
        <v>19</v>
      </c>
      <c r="J1485">
        <v>269</v>
      </c>
      <c r="K1485" t="s">
        <v>3671</v>
      </c>
      <c r="L1485" s="13">
        <v>44671</v>
      </c>
      <c r="M1485" t="s">
        <v>488</v>
      </c>
      <c r="N1485" t="s">
        <v>58</v>
      </c>
      <c r="O1485">
        <v>1.69</v>
      </c>
      <c r="P1485" t="s">
        <v>52</v>
      </c>
    </row>
    <row r="1486" spans="1:16" ht="15" customHeight="1" x14ac:dyDescent="0.4">
      <c r="A1486" t="s">
        <v>15</v>
      </c>
      <c r="B1486" t="s">
        <v>16</v>
      </c>
      <c r="C1486" s="13">
        <v>44562</v>
      </c>
      <c r="D1486" s="13">
        <v>44926</v>
      </c>
      <c r="E1486" t="s">
        <v>17</v>
      </c>
      <c r="F1486">
        <v>1</v>
      </c>
      <c r="G1486" t="s">
        <v>18</v>
      </c>
      <c r="H1486">
        <v>1</v>
      </c>
      <c r="I1486" t="s">
        <v>19</v>
      </c>
      <c r="J1486">
        <v>269</v>
      </c>
      <c r="K1486" t="s">
        <v>3671</v>
      </c>
      <c r="L1486" s="13">
        <v>44701</v>
      </c>
      <c r="M1486" t="s">
        <v>59</v>
      </c>
      <c r="N1486" t="s">
        <v>60</v>
      </c>
      <c r="O1486">
        <v>2.36</v>
      </c>
      <c r="P1486" t="s">
        <v>52</v>
      </c>
    </row>
    <row r="1487" spans="1:16" ht="15" customHeight="1" x14ac:dyDescent="0.4">
      <c r="A1487" t="s">
        <v>15</v>
      </c>
      <c r="B1487" t="s">
        <v>16</v>
      </c>
      <c r="C1487" s="13">
        <v>44562</v>
      </c>
      <c r="D1487" s="13">
        <v>44926</v>
      </c>
      <c r="E1487" t="s">
        <v>17</v>
      </c>
      <c r="F1487">
        <v>1</v>
      </c>
      <c r="G1487" t="s">
        <v>18</v>
      </c>
      <c r="H1487">
        <v>1</v>
      </c>
      <c r="I1487" t="s">
        <v>19</v>
      </c>
      <c r="J1487">
        <v>269</v>
      </c>
      <c r="K1487" t="s">
        <v>3671</v>
      </c>
      <c r="L1487" s="13">
        <v>44732</v>
      </c>
      <c r="M1487" t="s">
        <v>61</v>
      </c>
      <c r="N1487" t="s">
        <v>62</v>
      </c>
      <c r="O1487">
        <v>13.19</v>
      </c>
      <c r="P1487" t="s">
        <v>52</v>
      </c>
    </row>
    <row r="1488" spans="1:16" ht="15" customHeight="1" x14ac:dyDescent="0.4">
      <c r="A1488" t="s">
        <v>15</v>
      </c>
      <c r="B1488" t="s">
        <v>16</v>
      </c>
      <c r="C1488" s="13">
        <v>44562</v>
      </c>
      <c r="D1488" s="13">
        <v>44926</v>
      </c>
      <c r="E1488" t="s">
        <v>17</v>
      </c>
      <c r="F1488">
        <v>1</v>
      </c>
      <c r="G1488" t="s">
        <v>18</v>
      </c>
      <c r="H1488">
        <v>1</v>
      </c>
      <c r="I1488" t="s">
        <v>19</v>
      </c>
      <c r="J1488">
        <v>269</v>
      </c>
      <c r="K1488" t="s">
        <v>3671</v>
      </c>
      <c r="L1488" s="13">
        <v>44762</v>
      </c>
      <c r="M1488" t="s">
        <v>63</v>
      </c>
      <c r="N1488" t="s">
        <v>64</v>
      </c>
      <c r="O1488">
        <v>17.670000000000002</v>
      </c>
      <c r="P1488" t="s">
        <v>52</v>
      </c>
    </row>
    <row r="1489" spans="1:16" ht="15" customHeight="1" x14ac:dyDescent="0.4">
      <c r="A1489" t="s">
        <v>15</v>
      </c>
      <c r="B1489" t="s">
        <v>16</v>
      </c>
      <c r="C1489" s="13">
        <v>44562</v>
      </c>
      <c r="D1489" s="13">
        <v>44926</v>
      </c>
      <c r="E1489" t="s">
        <v>17</v>
      </c>
      <c r="F1489">
        <v>1</v>
      </c>
      <c r="G1489" t="s">
        <v>18</v>
      </c>
      <c r="H1489">
        <v>1</v>
      </c>
      <c r="I1489" t="s">
        <v>19</v>
      </c>
      <c r="J1489">
        <v>269</v>
      </c>
      <c r="K1489" t="s">
        <v>3671</v>
      </c>
      <c r="L1489" s="13">
        <v>44793</v>
      </c>
      <c r="M1489" t="s">
        <v>65</v>
      </c>
      <c r="N1489" t="s">
        <v>66</v>
      </c>
      <c r="O1489">
        <v>21.41</v>
      </c>
      <c r="P1489" t="s">
        <v>52</v>
      </c>
    </row>
    <row r="1490" spans="1:16" ht="15" customHeight="1" x14ac:dyDescent="0.4">
      <c r="A1490" t="s">
        <v>15</v>
      </c>
      <c r="B1490" t="s">
        <v>16</v>
      </c>
      <c r="C1490" s="13">
        <v>44562</v>
      </c>
      <c r="D1490" s="13">
        <v>44926</v>
      </c>
      <c r="E1490" t="s">
        <v>17</v>
      </c>
      <c r="F1490">
        <v>1</v>
      </c>
      <c r="G1490" t="s">
        <v>18</v>
      </c>
      <c r="H1490">
        <v>1</v>
      </c>
      <c r="I1490" t="s">
        <v>19</v>
      </c>
      <c r="J1490">
        <v>269</v>
      </c>
      <c r="K1490" t="s">
        <v>3671</v>
      </c>
      <c r="L1490" s="13">
        <v>44824</v>
      </c>
      <c r="M1490" t="s">
        <v>67</v>
      </c>
      <c r="N1490" t="s">
        <v>68</v>
      </c>
      <c r="O1490">
        <v>21.95</v>
      </c>
      <c r="P1490" t="s">
        <v>52</v>
      </c>
    </row>
    <row r="1491" spans="1:16" ht="15" customHeight="1" x14ac:dyDescent="0.4">
      <c r="A1491" t="s">
        <v>15</v>
      </c>
      <c r="B1491" t="s">
        <v>16</v>
      </c>
      <c r="C1491" s="13">
        <v>44562</v>
      </c>
      <c r="D1491" s="13">
        <v>44926</v>
      </c>
      <c r="E1491" t="s">
        <v>17</v>
      </c>
      <c r="F1491">
        <v>1</v>
      </c>
      <c r="G1491" t="s">
        <v>18</v>
      </c>
      <c r="H1491">
        <v>1</v>
      </c>
      <c r="I1491" t="s">
        <v>19</v>
      </c>
      <c r="J1491">
        <v>269</v>
      </c>
      <c r="K1491" t="s">
        <v>3671</v>
      </c>
      <c r="L1491" s="13">
        <v>44854</v>
      </c>
      <c r="M1491" t="s">
        <v>69</v>
      </c>
      <c r="N1491" t="s">
        <v>70</v>
      </c>
      <c r="O1491">
        <v>15.48</v>
      </c>
      <c r="P1491" t="s">
        <v>52</v>
      </c>
    </row>
    <row r="1492" spans="1:16" ht="15" customHeight="1" x14ac:dyDescent="0.4">
      <c r="A1492" t="s">
        <v>15</v>
      </c>
      <c r="B1492" t="s">
        <v>16</v>
      </c>
      <c r="C1492" s="13">
        <v>44562</v>
      </c>
      <c r="D1492" s="13">
        <v>44926</v>
      </c>
      <c r="E1492" t="s">
        <v>17</v>
      </c>
      <c r="F1492">
        <v>1</v>
      </c>
      <c r="G1492" t="s">
        <v>18</v>
      </c>
      <c r="H1492">
        <v>1</v>
      </c>
      <c r="I1492" t="s">
        <v>19</v>
      </c>
      <c r="J1492">
        <v>269</v>
      </c>
      <c r="K1492" t="s">
        <v>3671</v>
      </c>
      <c r="L1492" s="13">
        <v>44885</v>
      </c>
      <c r="M1492" t="s">
        <v>71</v>
      </c>
      <c r="N1492" t="s">
        <v>72</v>
      </c>
      <c r="O1492">
        <v>15.11</v>
      </c>
      <c r="P1492" t="s">
        <v>52</v>
      </c>
    </row>
    <row r="1493" spans="1:16" ht="15" customHeight="1" x14ac:dyDescent="0.4">
      <c r="A1493" t="s">
        <v>15</v>
      </c>
      <c r="B1493" t="s">
        <v>16</v>
      </c>
      <c r="C1493" s="13">
        <v>44562</v>
      </c>
      <c r="D1493" s="13">
        <v>44926</v>
      </c>
      <c r="E1493" t="s">
        <v>17</v>
      </c>
      <c r="F1493">
        <v>1</v>
      </c>
      <c r="G1493" t="s">
        <v>18</v>
      </c>
      <c r="H1493">
        <v>1</v>
      </c>
      <c r="I1493" t="s">
        <v>19</v>
      </c>
      <c r="J1493">
        <v>269</v>
      </c>
      <c r="K1493" t="s">
        <v>3671</v>
      </c>
      <c r="L1493" s="13">
        <v>44915</v>
      </c>
      <c r="M1493" t="s">
        <v>73</v>
      </c>
      <c r="N1493" t="s">
        <v>74</v>
      </c>
      <c r="O1493">
        <v>15.88</v>
      </c>
      <c r="P1493" t="s">
        <v>52</v>
      </c>
    </row>
    <row r="1494" spans="1:16" ht="15" customHeight="1" x14ac:dyDescent="0.4">
      <c r="A1494" t="s">
        <v>15</v>
      </c>
      <c r="B1494" t="s">
        <v>16</v>
      </c>
      <c r="C1494" s="13">
        <v>44562</v>
      </c>
      <c r="D1494" s="13">
        <v>44926</v>
      </c>
      <c r="E1494" t="s">
        <v>17</v>
      </c>
      <c r="F1494">
        <v>1</v>
      </c>
      <c r="G1494" t="s">
        <v>18</v>
      </c>
      <c r="H1494">
        <v>1</v>
      </c>
      <c r="I1494" t="s">
        <v>19</v>
      </c>
      <c r="J1494">
        <v>401</v>
      </c>
      <c r="K1494" t="s">
        <v>476</v>
      </c>
      <c r="L1494" s="13">
        <v>44926</v>
      </c>
      <c r="M1494" t="s">
        <v>489</v>
      </c>
      <c r="N1494" t="s">
        <v>46</v>
      </c>
      <c r="O1494">
        <v>1356.09</v>
      </c>
      <c r="P1494" t="s">
        <v>46</v>
      </c>
    </row>
    <row r="1495" spans="1:16" ht="15" customHeight="1" x14ac:dyDescent="0.4">
      <c r="A1495" t="s">
        <v>15</v>
      </c>
      <c r="B1495" t="s">
        <v>16</v>
      </c>
      <c r="C1495" s="13">
        <v>44562</v>
      </c>
      <c r="D1495" s="13">
        <v>44926</v>
      </c>
      <c r="E1495" t="s">
        <v>17</v>
      </c>
      <c r="F1495">
        <v>1</v>
      </c>
      <c r="G1495" t="s">
        <v>18</v>
      </c>
      <c r="H1495">
        <v>1</v>
      </c>
      <c r="I1495" t="s">
        <v>19</v>
      </c>
      <c r="J1495">
        <v>702</v>
      </c>
      <c r="K1495" t="s">
        <v>275</v>
      </c>
      <c r="L1495" s="13">
        <v>44926</v>
      </c>
      <c r="M1495" t="s">
        <v>450</v>
      </c>
      <c r="N1495" t="s">
        <v>46</v>
      </c>
      <c r="O1495">
        <v>22.96</v>
      </c>
      <c r="P1495" t="s">
        <v>46</v>
      </c>
    </row>
    <row r="1496" spans="1:16" ht="15" customHeight="1" x14ac:dyDescent="0.4">
      <c r="A1496" t="s">
        <v>15</v>
      </c>
      <c r="B1496" t="s">
        <v>16</v>
      </c>
      <c r="C1496" s="13">
        <v>44562</v>
      </c>
      <c r="D1496" s="13">
        <v>44926</v>
      </c>
      <c r="E1496" t="s">
        <v>17</v>
      </c>
      <c r="F1496">
        <v>1</v>
      </c>
      <c r="G1496" t="s">
        <v>18</v>
      </c>
      <c r="H1496">
        <v>1</v>
      </c>
      <c r="I1496" t="s">
        <v>19</v>
      </c>
      <c r="J1496">
        <v>891</v>
      </c>
      <c r="K1496" t="s">
        <v>377</v>
      </c>
      <c r="L1496" s="13">
        <v>44926</v>
      </c>
      <c r="M1496" t="s">
        <v>378</v>
      </c>
      <c r="N1496" t="s">
        <v>46</v>
      </c>
      <c r="O1496">
        <v>11577.74</v>
      </c>
      <c r="P1496" t="s">
        <v>46</v>
      </c>
    </row>
    <row r="1497" spans="1:16" ht="15" customHeight="1" x14ac:dyDescent="0.4">
      <c r="A1497" t="s">
        <v>15</v>
      </c>
      <c r="B1497" t="s">
        <v>16</v>
      </c>
      <c r="C1497" s="13">
        <v>44562</v>
      </c>
      <c r="D1497" s="13">
        <v>44926</v>
      </c>
      <c r="E1497" t="s">
        <v>17</v>
      </c>
      <c r="F1497">
        <v>3</v>
      </c>
      <c r="G1497" t="s">
        <v>18</v>
      </c>
      <c r="H1497">
        <v>1</v>
      </c>
      <c r="I1497" t="s">
        <v>19</v>
      </c>
      <c r="J1497">
        <v>205</v>
      </c>
      <c r="K1497" t="s">
        <v>344</v>
      </c>
      <c r="L1497" s="13">
        <v>44704</v>
      </c>
      <c r="M1497" t="s">
        <v>490</v>
      </c>
      <c r="N1497" t="s">
        <v>491</v>
      </c>
      <c r="O1497">
        <v>748</v>
      </c>
      <c r="P1497" t="s">
        <v>347</v>
      </c>
    </row>
    <row r="1498" spans="1:16" ht="15" customHeight="1" x14ac:dyDescent="0.4">
      <c r="A1498" t="s">
        <v>15</v>
      </c>
      <c r="B1498" t="s">
        <v>16</v>
      </c>
      <c r="C1498" s="13">
        <v>44562</v>
      </c>
      <c r="D1498" s="13">
        <v>44926</v>
      </c>
      <c r="E1498" t="s">
        <v>17</v>
      </c>
      <c r="F1498">
        <v>3</v>
      </c>
      <c r="G1498" t="s">
        <v>18</v>
      </c>
      <c r="H1498">
        <v>1</v>
      </c>
      <c r="I1498" t="s">
        <v>19</v>
      </c>
      <c r="J1498">
        <v>242</v>
      </c>
      <c r="K1498" t="s">
        <v>348</v>
      </c>
      <c r="L1498" s="13">
        <v>44926</v>
      </c>
      <c r="M1498" t="s">
        <v>349</v>
      </c>
      <c r="N1498" t="s">
        <v>45</v>
      </c>
      <c r="O1498">
        <v>116.12</v>
      </c>
      <c r="P1498" t="s">
        <v>46</v>
      </c>
    </row>
    <row r="1499" spans="1:16" ht="15" customHeight="1" x14ac:dyDescent="0.4">
      <c r="A1499" t="s">
        <v>15</v>
      </c>
      <c r="B1499" t="s">
        <v>16</v>
      </c>
      <c r="C1499" s="13">
        <v>44562</v>
      </c>
      <c r="D1499" s="13">
        <v>44926</v>
      </c>
      <c r="E1499" t="s">
        <v>17</v>
      </c>
      <c r="F1499">
        <v>3</v>
      </c>
      <c r="G1499" t="s">
        <v>18</v>
      </c>
      <c r="H1499">
        <v>1</v>
      </c>
      <c r="I1499" t="s">
        <v>19</v>
      </c>
      <c r="J1499">
        <v>269</v>
      </c>
      <c r="K1499" t="s">
        <v>3674</v>
      </c>
      <c r="L1499" s="13">
        <v>44581</v>
      </c>
      <c r="M1499" t="s">
        <v>50</v>
      </c>
      <c r="N1499" t="s">
        <v>51</v>
      </c>
      <c r="O1499">
        <v>2.38</v>
      </c>
      <c r="P1499" t="s">
        <v>52</v>
      </c>
    </row>
    <row r="1500" spans="1:16" ht="15" customHeight="1" x14ac:dyDescent="0.4">
      <c r="A1500" t="s">
        <v>15</v>
      </c>
      <c r="B1500" t="s">
        <v>16</v>
      </c>
      <c r="C1500" s="13">
        <v>44562</v>
      </c>
      <c r="D1500" s="13">
        <v>44926</v>
      </c>
      <c r="E1500" t="s">
        <v>17</v>
      </c>
      <c r="F1500">
        <v>3</v>
      </c>
      <c r="G1500" t="s">
        <v>18</v>
      </c>
      <c r="H1500">
        <v>1</v>
      </c>
      <c r="I1500" t="s">
        <v>19</v>
      </c>
      <c r="J1500">
        <v>269</v>
      </c>
      <c r="K1500" t="s">
        <v>3674</v>
      </c>
      <c r="L1500" s="13">
        <v>44612</v>
      </c>
      <c r="M1500" t="s">
        <v>53</v>
      </c>
      <c r="N1500" t="s">
        <v>54</v>
      </c>
      <c r="O1500">
        <v>1.83</v>
      </c>
      <c r="P1500" t="s">
        <v>52</v>
      </c>
    </row>
    <row r="1501" spans="1:16" ht="15" customHeight="1" x14ac:dyDescent="0.4">
      <c r="A1501" t="s">
        <v>15</v>
      </c>
      <c r="B1501" t="s">
        <v>16</v>
      </c>
      <c r="C1501" s="13">
        <v>44562</v>
      </c>
      <c r="D1501" s="13">
        <v>44926</v>
      </c>
      <c r="E1501" t="s">
        <v>17</v>
      </c>
      <c r="F1501">
        <v>3</v>
      </c>
      <c r="G1501" t="s">
        <v>18</v>
      </c>
      <c r="H1501">
        <v>1</v>
      </c>
      <c r="I1501" t="s">
        <v>19</v>
      </c>
      <c r="J1501">
        <v>269</v>
      </c>
      <c r="K1501" t="s">
        <v>3674</v>
      </c>
      <c r="L1501" s="13">
        <v>44641</v>
      </c>
      <c r="M1501" t="s">
        <v>55</v>
      </c>
      <c r="N1501" t="s">
        <v>56</v>
      </c>
      <c r="O1501">
        <v>1.57</v>
      </c>
      <c r="P1501" t="s">
        <v>52</v>
      </c>
    </row>
    <row r="1502" spans="1:16" ht="15" customHeight="1" x14ac:dyDescent="0.4">
      <c r="A1502" t="s">
        <v>15</v>
      </c>
      <c r="B1502" t="s">
        <v>16</v>
      </c>
      <c r="C1502" s="13">
        <v>44562</v>
      </c>
      <c r="D1502" s="13">
        <v>44926</v>
      </c>
      <c r="E1502" t="s">
        <v>17</v>
      </c>
      <c r="F1502">
        <v>3</v>
      </c>
      <c r="G1502" t="s">
        <v>18</v>
      </c>
      <c r="H1502">
        <v>1</v>
      </c>
      <c r="I1502" t="s">
        <v>19</v>
      </c>
      <c r="J1502">
        <v>269</v>
      </c>
      <c r="K1502" t="s">
        <v>3674</v>
      </c>
      <c r="L1502" s="13">
        <v>44671</v>
      </c>
      <c r="M1502" t="s">
        <v>488</v>
      </c>
      <c r="N1502" t="s">
        <v>58</v>
      </c>
      <c r="O1502">
        <v>1.66</v>
      </c>
      <c r="P1502" t="s">
        <v>52</v>
      </c>
    </row>
    <row r="1503" spans="1:16" ht="15" customHeight="1" x14ac:dyDescent="0.4">
      <c r="A1503" t="s">
        <v>15</v>
      </c>
      <c r="B1503" t="s">
        <v>16</v>
      </c>
      <c r="C1503" s="13">
        <v>44562</v>
      </c>
      <c r="D1503" s="13">
        <v>44926</v>
      </c>
      <c r="E1503" t="s">
        <v>17</v>
      </c>
      <c r="F1503">
        <v>3</v>
      </c>
      <c r="G1503" t="s">
        <v>18</v>
      </c>
      <c r="H1503">
        <v>1</v>
      </c>
      <c r="I1503" t="s">
        <v>19</v>
      </c>
      <c r="J1503">
        <v>269</v>
      </c>
      <c r="K1503" t="s">
        <v>3674</v>
      </c>
      <c r="L1503" s="13">
        <v>44701</v>
      </c>
      <c r="M1503" t="s">
        <v>59</v>
      </c>
      <c r="N1503" t="s">
        <v>60</v>
      </c>
      <c r="O1503">
        <v>2.31</v>
      </c>
      <c r="P1503" t="s">
        <v>52</v>
      </c>
    </row>
    <row r="1504" spans="1:16" ht="15" customHeight="1" x14ac:dyDescent="0.4">
      <c r="A1504" t="s">
        <v>15</v>
      </c>
      <c r="B1504" t="s">
        <v>16</v>
      </c>
      <c r="C1504" s="13">
        <v>44562</v>
      </c>
      <c r="D1504" s="13">
        <v>44926</v>
      </c>
      <c r="E1504" t="s">
        <v>17</v>
      </c>
      <c r="F1504">
        <v>3</v>
      </c>
      <c r="G1504" t="s">
        <v>18</v>
      </c>
      <c r="H1504">
        <v>1</v>
      </c>
      <c r="I1504" t="s">
        <v>19</v>
      </c>
      <c r="J1504">
        <v>269</v>
      </c>
      <c r="K1504" t="s">
        <v>3674</v>
      </c>
      <c r="L1504" s="13">
        <v>44732</v>
      </c>
      <c r="M1504" t="s">
        <v>61</v>
      </c>
      <c r="N1504" t="s">
        <v>62</v>
      </c>
      <c r="O1504">
        <v>12.93</v>
      </c>
      <c r="P1504" t="s">
        <v>52</v>
      </c>
    </row>
    <row r="1505" spans="1:16" ht="15" customHeight="1" x14ac:dyDescent="0.4">
      <c r="A1505" t="s">
        <v>15</v>
      </c>
      <c r="B1505" t="s">
        <v>16</v>
      </c>
      <c r="C1505" s="13">
        <v>44562</v>
      </c>
      <c r="D1505" s="13">
        <v>44926</v>
      </c>
      <c r="E1505" t="s">
        <v>17</v>
      </c>
      <c r="F1505">
        <v>3</v>
      </c>
      <c r="G1505" t="s">
        <v>18</v>
      </c>
      <c r="H1505">
        <v>1</v>
      </c>
      <c r="I1505" t="s">
        <v>19</v>
      </c>
      <c r="J1505">
        <v>269</v>
      </c>
      <c r="K1505" t="s">
        <v>3674</v>
      </c>
      <c r="L1505" s="13">
        <v>44762</v>
      </c>
      <c r="M1505" t="s">
        <v>63</v>
      </c>
      <c r="N1505" t="s">
        <v>64</v>
      </c>
      <c r="O1505">
        <v>17.309999999999999</v>
      </c>
      <c r="P1505" t="s">
        <v>52</v>
      </c>
    </row>
    <row r="1506" spans="1:16" ht="15" customHeight="1" x14ac:dyDescent="0.4">
      <c r="A1506" t="s">
        <v>15</v>
      </c>
      <c r="B1506" t="s">
        <v>16</v>
      </c>
      <c r="C1506" s="13">
        <v>44562</v>
      </c>
      <c r="D1506" s="13">
        <v>44926</v>
      </c>
      <c r="E1506" t="s">
        <v>17</v>
      </c>
      <c r="F1506">
        <v>3</v>
      </c>
      <c r="G1506" t="s">
        <v>18</v>
      </c>
      <c r="H1506">
        <v>1</v>
      </c>
      <c r="I1506" t="s">
        <v>19</v>
      </c>
      <c r="J1506">
        <v>269</v>
      </c>
      <c r="K1506" t="s">
        <v>3674</v>
      </c>
      <c r="L1506" s="13">
        <v>44793</v>
      </c>
      <c r="M1506" t="s">
        <v>65</v>
      </c>
      <c r="N1506" t="s">
        <v>66</v>
      </c>
      <c r="O1506">
        <v>20.98</v>
      </c>
      <c r="P1506" t="s">
        <v>52</v>
      </c>
    </row>
    <row r="1507" spans="1:16" ht="15" customHeight="1" x14ac:dyDescent="0.4">
      <c r="A1507" t="s">
        <v>15</v>
      </c>
      <c r="B1507" t="s">
        <v>16</v>
      </c>
      <c r="C1507" s="13">
        <v>44562</v>
      </c>
      <c r="D1507" s="13">
        <v>44926</v>
      </c>
      <c r="E1507" t="s">
        <v>17</v>
      </c>
      <c r="F1507">
        <v>3</v>
      </c>
      <c r="G1507" t="s">
        <v>18</v>
      </c>
      <c r="H1507">
        <v>1</v>
      </c>
      <c r="I1507" t="s">
        <v>19</v>
      </c>
      <c r="J1507">
        <v>269</v>
      </c>
      <c r="K1507" t="s">
        <v>3674</v>
      </c>
      <c r="L1507" s="13">
        <v>44824</v>
      </c>
      <c r="M1507" t="s">
        <v>67</v>
      </c>
      <c r="N1507" t="s">
        <v>68</v>
      </c>
      <c r="O1507">
        <v>21.51</v>
      </c>
      <c r="P1507" t="s">
        <v>52</v>
      </c>
    </row>
    <row r="1508" spans="1:16" ht="15" customHeight="1" x14ac:dyDescent="0.4">
      <c r="A1508" t="s">
        <v>15</v>
      </c>
      <c r="B1508" t="s">
        <v>16</v>
      </c>
      <c r="C1508" s="13">
        <v>44562</v>
      </c>
      <c r="D1508" s="13">
        <v>44926</v>
      </c>
      <c r="E1508" t="s">
        <v>17</v>
      </c>
      <c r="F1508">
        <v>3</v>
      </c>
      <c r="G1508" t="s">
        <v>18</v>
      </c>
      <c r="H1508">
        <v>1</v>
      </c>
      <c r="I1508" t="s">
        <v>19</v>
      </c>
      <c r="J1508">
        <v>269</v>
      </c>
      <c r="K1508" t="s">
        <v>3674</v>
      </c>
      <c r="L1508" s="13">
        <v>44854</v>
      </c>
      <c r="M1508" t="s">
        <v>69</v>
      </c>
      <c r="N1508" t="s">
        <v>70</v>
      </c>
      <c r="O1508">
        <v>15.17</v>
      </c>
      <c r="P1508" t="s">
        <v>52</v>
      </c>
    </row>
    <row r="1509" spans="1:16" ht="15" customHeight="1" x14ac:dyDescent="0.4">
      <c r="A1509" t="s">
        <v>15</v>
      </c>
      <c r="B1509" t="s">
        <v>16</v>
      </c>
      <c r="C1509" s="13">
        <v>44562</v>
      </c>
      <c r="D1509" s="13">
        <v>44926</v>
      </c>
      <c r="E1509" t="s">
        <v>17</v>
      </c>
      <c r="F1509">
        <v>3</v>
      </c>
      <c r="G1509" t="s">
        <v>18</v>
      </c>
      <c r="H1509">
        <v>1</v>
      </c>
      <c r="I1509" t="s">
        <v>19</v>
      </c>
      <c r="J1509">
        <v>269</v>
      </c>
      <c r="K1509" t="s">
        <v>3674</v>
      </c>
      <c r="L1509" s="13">
        <v>44885</v>
      </c>
      <c r="M1509" t="s">
        <v>71</v>
      </c>
      <c r="N1509" t="s">
        <v>72</v>
      </c>
      <c r="O1509">
        <v>14.8</v>
      </c>
      <c r="P1509" t="s">
        <v>52</v>
      </c>
    </row>
    <row r="1510" spans="1:16" ht="15" customHeight="1" x14ac:dyDescent="0.4">
      <c r="A1510" t="s">
        <v>15</v>
      </c>
      <c r="B1510" t="s">
        <v>16</v>
      </c>
      <c r="C1510" s="13">
        <v>44562</v>
      </c>
      <c r="D1510" s="13">
        <v>44926</v>
      </c>
      <c r="E1510" t="s">
        <v>17</v>
      </c>
      <c r="F1510">
        <v>3</v>
      </c>
      <c r="G1510" t="s">
        <v>18</v>
      </c>
      <c r="H1510">
        <v>1</v>
      </c>
      <c r="I1510" t="s">
        <v>19</v>
      </c>
      <c r="J1510">
        <v>269</v>
      </c>
      <c r="K1510" t="s">
        <v>3674</v>
      </c>
      <c r="L1510" s="13">
        <v>44915</v>
      </c>
      <c r="M1510" t="s">
        <v>73</v>
      </c>
      <c r="N1510" t="s">
        <v>74</v>
      </c>
      <c r="O1510">
        <v>15.57</v>
      </c>
      <c r="P1510" t="s">
        <v>52</v>
      </c>
    </row>
    <row r="1511" spans="1:16" ht="15" customHeight="1" x14ac:dyDescent="0.4">
      <c r="A1511" t="s">
        <v>15</v>
      </c>
      <c r="B1511" t="s">
        <v>16</v>
      </c>
      <c r="C1511" s="13">
        <v>44562</v>
      </c>
      <c r="D1511" s="13">
        <v>44926</v>
      </c>
      <c r="E1511" t="s">
        <v>17</v>
      </c>
      <c r="F1511">
        <v>3</v>
      </c>
      <c r="G1511" t="s">
        <v>18</v>
      </c>
      <c r="H1511">
        <v>1</v>
      </c>
      <c r="I1511" t="s">
        <v>19</v>
      </c>
      <c r="J1511">
        <v>441</v>
      </c>
      <c r="K1511" t="s">
        <v>268</v>
      </c>
      <c r="L1511" s="13">
        <v>44677</v>
      </c>
      <c r="M1511" t="s">
        <v>492</v>
      </c>
      <c r="N1511" t="s">
        <v>493</v>
      </c>
      <c r="O1511">
        <v>50.23</v>
      </c>
      <c r="P1511" t="s">
        <v>494</v>
      </c>
    </row>
    <row r="1512" spans="1:16" ht="15" customHeight="1" x14ac:dyDescent="0.4">
      <c r="A1512" t="s">
        <v>15</v>
      </c>
      <c r="B1512" t="s">
        <v>16</v>
      </c>
      <c r="C1512" s="13">
        <v>44562</v>
      </c>
      <c r="D1512" s="13">
        <v>44926</v>
      </c>
      <c r="E1512" t="s">
        <v>17</v>
      </c>
      <c r="F1512">
        <v>3</v>
      </c>
      <c r="G1512" t="s">
        <v>18</v>
      </c>
      <c r="H1512">
        <v>1</v>
      </c>
      <c r="I1512" t="s">
        <v>19</v>
      </c>
      <c r="J1512">
        <v>605</v>
      </c>
      <c r="K1512" t="s">
        <v>495</v>
      </c>
      <c r="L1512" s="13">
        <v>44817</v>
      </c>
      <c r="M1512" t="s">
        <v>496</v>
      </c>
      <c r="N1512" t="s">
        <v>497</v>
      </c>
      <c r="O1512">
        <v>123.2</v>
      </c>
      <c r="P1512" t="s">
        <v>498</v>
      </c>
    </row>
    <row r="1513" spans="1:16" ht="15" customHeight="1" x14ac:dyDescent="0.4">
      <c r="A1513" t="s">
        <v>15</v>
      </c>
      <c r="B1513" t="s">
        <v>16</v>
      </c>
      <c r="C1513" s="13">
        <v>44562</v>
      </c>
      <c r="D1513" s="13">
        <v>44926</v>
      </c>
      <c r="E1513" t="s">
        <v>17</v>
      </c>
      <c r="F1513">
        <v>3</v>
      </c>
      <c r="G1513" t="s">
        <v>18</v>
      </c>
      <c r="H1513">
        <v>1</v>
      </c>
      <c r="I1513" t="s">
        <v>19</v>
      </c>
      <c r="J1513">
        <v>702</v>
      </c>
      <c r="K1513" t="s">
        <v>275</v>
      </c>
      <c r="L1513" s="13">
        <v>44926</v>
      </c>
      <c r="M1513" t="s">
        <v>499</v>
      </c>
      <c r="N1513" t="s">
        <v>46</v>
      </c>
      <c r="O1513">
        <v>68.88</v>
      </c>
      <c r="P1513" t="s">
        <v>46</v>
      </c>
    </row>
    <row r="1514" spans="1:16" ht="15" customHeight="1" x14ac:dyDescent="0.4">
      <c r="A1514" t="s">
        <v>15</v>
      </c>
      <c r="B1514" t="s">
        <v>16</v>
      </c>
      <c r="C1514" s="13">
        <v>44562</v>
      </c>
      <c r="D1514" s="13">
        <v>44926</v>
      </c>
      <c r="E1514" t="s">
        <v>17</v>
      </c>
      <c r="F1514">
        <v>3</v>
      </c>
      <c r="G1514" t="s">
        <v>18</v>
      </c>
      <c r="H1514">
        <v>1</v>
      </c>
      <c r="I1514" t="s">
        <v>19</v>
      </c>
      <c r="J1514">
        <v>883</v>
      </c>
      <c r="K1514" t="s">
        <v>371</v>
      </c>
      <c r="L1514" s="13">
        <v>44926</v>
      </c>
      <c r="M1514" t="s">
        <v>500</v>
      </c>
      <c r="N1514" t="s">
        <v>376</v>
      </c>
      <c r="O1514">
        <v>53.99</v>
      </c>
      <c r="P1514" t="s">
        <v>46</v>
      </c>
    </row>
    <row r="1515" spans="1:16" ht="15" customHeight="1" x14ac:dyDescent="0.4">
      <c r="A1515" t="s">
        <v>15</v>
      </c>
      <c r="B1515" t="s">
        <v>16</v>
      </c>
      <c r="C1515" s="13">
        <v>44562</v>
      </c>
      <c r="D1515" s="13">
        <v>44926</v>
      </c>
      <c r="E1515" t="s">
        <v>17</v>
      </c>
      <c r="F1515">
        <v>3</v>
      </c>
      <c r="G1515" t="s">
        <v>18</v>
      </c>
      <c r="H1515">
        <v>1</v>
      </c>
      <c r="I1515" t="s">
        <v>19</v>
      </c>
      <c r="J1515">
        <v>891</v>
      </c>
      <c r="K1515" t="s">
        <v>377</v>
      </c>
      <c r="L1515" s="13">
        <v>44926</v>
      </c>
      <c r="M1515" t="s">
        <v>378</v>
      </c>
      <c r="N1515" t="s">
        <v>46</v>
      </c>
      <c r="O1515">
        <v>9654.3700000000008</v>
      </c>
      <c r="P1515" t="s">
        <v>46</v>
      </c>
    </row>
    <row r="1516" spans="1:16" ht="15" customHeight="1" x14ac:dyDescent="0.4">
      <c r="A1516" t="s">
        <v>15</v>
      </c>
      <c r="B1516" t="s">
        <v>16</v>
      </c>
      <c r="C1516" s="13">
        <v>44562</v>
      </c>
      <c r="D1516" s="13">
        <v>44926</v>
      </c>
      <c r="E1516" t="s">
        <v>17</v>
      </c>
      <c r="F1516">
        <v>5</v>
      </c>
      <c r="G1516" t="s">
        <v>501</v>
      </c>
      <c r="H1516">
        <v>40</v>
      </c>
      <c r="I1516" t="s">
        <v>501</v>
      </c>
      <c r="J1516">
        <v>264</v>
      </c>
      <c r="K1516" t="s">
        <v>502</v>
      </c>
      <c r="L1516" s="13">
        <v>44581</v>
      </c>
      <c r="M1516" t="s">
        <v>50</v>
      </c>
      <c r="N1516" t="s">
        <v>51</v>
      </c>
      <c r="O1516">
        <v>2.48</v>
      </c>
      <c r="P1516" t="s">
        <v>52</v>
      </c>
    </row>
    <row r="1517" spans="1:16" ht="15" customHeight="1" x14ac:dyDescent="0.4">
      <c r="A1517" t="s">
        <v>15</v>
      </c>
      <c r="B1517" t="s">
        <v>16</v>
      </c>
      <c r="C1517" s="13">
        <v>44562</v>
      </c>
      <c r="D1517" s="13">
        <v>44926</v>
      </c>
      <c r="E1517" t="s">
        <v>17</v>
      </c>
      <c r="F1517">
        <v>5</v>
      </c>
      <c r="G1517" t="s">
        <v>501</v>
      </c>
      <c r="H1517">
        <v>40</v>
      </c>
      <c r="I1517" t="s">
        <v>501</v>
      </c>
      <c r="J1517">
        <v>264</v>
      </c>
      <c r="K1517" t="s">
        <v>502</v>
      </c>
      <c r="L1517" s="13">
        <v>44612</v>
      </c>
      <c r="M1517" t="s">
        <v>53</v>
      </c>
      <c r="N1517" t="s">
        <v>54</v>
      </c>
      <c r="O1517">
        <v>1.9</v>
      </c>
      <c r="P1517" t="s">
        <v>52</v>
      </c>
    </row>
    <row r="1518" spans="1:16" ht="15" customHeight="1" x14ac:dyDescent="0.4">
      <c r="A1518" t="s">
        <v>15</v>
      </c>
      <c r="B1518" t="s">
        <v>16</v>
      </c>
      <c r="C1518" s="13">
        <v>44562</v>
      </c>
      <c r="D1518" s="13">
        <v>44926</v>
      </c>
      <c r="E1518" t="s">
        <v>17</v>
      </c>
      <c r="F1518">
        <v>5</v>
      </c>
      <c r="G1518" t="s">
        <v>501</v>
      </c>
      <c r="H1518">
        <v>40</v>
      </c>
      <c r="I1518" t="s">
        <v>501</v>
      </c>
      <c r="J1518">
        <v>264</v>
      </c>
      <c r="K1518" t="s">
        <v>502</v>
      </c>
      <c r="L1518" s="13">
        <v>44641</v>
      </c>
      <c r="M1518" t="s">
        <v>55</v>
      </c>
      <c r="N1518" t="s">
        <v>56</v>
      </c>
      <c r="O1518">
        <v>1.63</v>
      </c>
      <c r="P1518" t="s">
        <v>52</v>
      </c>
    </row>
    <row r="1519" spans="1:16" ht="15" customHeight="1" x14ac:dyDescent="0.4">
      <c r="A1519" t="s">
        <v>15</v>
      </c>
      <c r="B1519" t="s">
        <v>16</v>
      </c>
      <c r="C1519" s="13">
        <v>44562</v>
      </c>
      <c r="D1519" s="13">
        <v>44926</v>
      </c>
      <c r="E1519" t="s">
        <v>17</v>
      </c>
      <c r="F1519">
        <v>5</v>
      </c>
      <c r="G1519" t="s">
        <v>501</v>
      </c>
      <c r="H1519">
        <v>40</v>
      </c>
      <c r="I1519" t="s">
        <v>501</v>
      </c>
      <c r="J1519">
        <v>264</v>
      </c>
      <c r="K1519" t="s">
        <v>502</v>
      </c>
      <c r="L1519" s="13">
        <v>44671</v>
      </c>
      <c r="M1519" t="s">
        <v>488</v>
      </c>
      <c r="N1519" t="s">
        <v>58</v>
      </c>
      <c r="O1519">
        <v>1.73</v>
      </c>
      <c r="P1519" t="s">
        <v>52</v>
      </c>
    </row>
    <row r="1520" spans="1:16" ht="15" customHeight="1" x14ac:dyDescent="0.4">
      <c r="A1520" t="s">
        <v>15</v>
      </c>
      <c r="B1520" t="s">
        <v>16</v>
      </c>
      <c r="C1520" s="13">
        <v>44562</v>
      </c>
      <c r="D1520" s="13">
        <v>44926</v>
      </c>
      <c r="E1520" t="s">
        <v>17</v>
      </c>
      <c r="F1520">
        <v>5</v>
      </c>
      <c r="G1520" t="s">
        <v>501</v>
      </c>
      <c r="H1520">
        <v>40</v>
      </c>
      <c r="I1520" t="s">
        <v>501</v>
      </c>
      <c r="J1520">
        <v>264</v>
      </c>
      <c r="K1520" t="s">
        <v>502</v>
      </c>
      <c r="L1520" s="13">
        <v>44701</v>
      </c>
      <c r="M1520" t="s">
        <v>59</v>
      </c>
      <c r="N1520" t="s">
        <v>60</v>
      </c>
      <c r="O1520">
        <v>2.41</v>
      </c>
      <c r="P1520" t="s">
        <v>52</v>
      </c>
    </row>
    <row r="1521" spans="1:16" ht="15" customHeight="1" x14ac:dyDescent="0.4">
      <c r="A1521" t="s">
        <v>15</v>
      </c>
      <c r="B1521" t="s">
        <v>16</v>
      </c>
      <c r="C1521" s="13">
        <v>44562</v>
      </c>
      <c r="D1521" s="13">
        <v>44926</v>
      </c>
      <c r="E1521" t="s">
        <v>17</v>
      </c>
      <c r="F1521">
        <v>5</v>
      </c>
      <c r="G1521" t="s">
        <v>501</v>
      </c>
      <c r="H1521">
        <v>40</v>
      </c>
      <c r="I1521" t="s">
        <v>501</v>
      </c>
      <c r="J1521">
        <v>264</v>
      </c>
      <c r="K1521" t="s">
        <v>502</v>
      </c>
      <c r="L1521" s="13">
        <v>44732</v>
      </c>
      <c r="M1521" t="s">
        <v>61</v>
      </c>
      <c r="N1521" t="s">
        <v>62</v>
      </c>
      <c r="O1521">
        <v>13.46</v>
      </c>
      <c r="P1521" t="s">
        <v>52</v>
      </c>
    </row>
    <row r="1522" spans="1:16" ht="15" customHeight="1" x14ac:dyDescent="0.4">
      <c r="A1522" t="s">
        <v>15</v>
      </c>
      <c r="B1522" t="s">
        <v>16</v>
      </c>
      <c r="C1522" s="13">
        <v>44562</v>
      </c>
      <c r="D1522" s="13">
        <v>44926</v>
      </c>
      <c r="E1522" t="s">
        <v>17</v>
      </c>
      <c r="F1522">
        <v>5</v>
      </c>
      <c r="G1522" t="s">
        <v>501</v>
      </c>
      <c r="H1522">
        <v>40</v>
      </c>
      <c r="I1522" t="s">
        <v>501</v>
      </c>
      <c r="J1522">
        <v>264</v>
      </c>
      <c r="K1522" t="s">
        <v>502</v>
      </c>
      <c r="L1522" s="13">
        <v>44762</v>
      </c>
      <c r="M1522" t="s">
        <v>63</v>
      </c>
      <c r="N1522" t="s">
        <v>64</v>
      </c>
      <c r="O1522">
        <v>18.02</v>
      </c>
      <c r="P1522" t="s">
        <v>52</v>
      </c>
    </row>
    <row r="1523" spans="1:16" ht="15" customHeight="1" x14ac:dyDescent="0.4">
      <c r="A1523" t="s">
        <v>15</v>
      </c>
      <c r="B1523" t="s">
        <v>16</v>
      </c>
      <c r="C1523" s="13">
        <v>44562</v>
      </c>
      <c r="D1523" s="13">
        <v>44926</v>
      </c>
      <c r="E1523" t="s">
        <v>17</v>
      </c>
      <c r="F1523">
        <v>5</v>
      </c>
      <c r="G1523" t="s">
        <v>501</v>
      </c>
      <c r="H1523">
        <v>40</v>
      </c>
      <c r="I1523" t="s">
        <v>501</v>
      </c>
      <c r="J1523">
        <v>264</v>
      </c>
      <c r="K1523" t="s">
        <v>502</v>
      </c>
      <c r="L1523" s="13">
        <v>44793</v>
      </c>
      <c r="M1523" t="s">
        <v>65</v>
      </c>
      <c r="N1523" t="s">
        <v>66</v>
      </c>
      <c r="O1523">
        <v>21.84</v>
      </c>
      <c r="P1523" t="s">
        <v>52</v>
      </c>
    </row>
    <row r="1524" spans="1:16" ht="15" customHeight="1" x14ac:dyDescent="0.4">
      <c r="A1524" t="s">
        <v>15</v>
      </c>
      <c r="B1524" t="s">
        <v>16</v>
      </c>
      <c r="C1524" s="13">
        <v>44562</v>
      </c>
      <c r="D1524" s="13">
        <v>44926</v>
      </c>
      <c r="E1524" t="s">
        <v>17</v>
      </c>
      <c r="F1524">
        <v>5</v>
      </c>
      <c r="G1524" t="s">
        <v>501</v>
      </c>
      <c r="H1524">
        <v>40</v>
      </c>
      <c r="I1524" t="s">
        <v>501</v>
      </c>
      <c r="J1524">
        <v>264</v>
      </c>
      <c r="K1524" t="s">
        <v>502</v>
      </c>
      <c r="L1524" s="13">
        <v>44824</v>
      </c>
      <c r="M1524" t="s">
        <v>67</v>
      </c>
      <c r="N1524" t="s">
        <v>68</v>
      </c>
      <c r="O1524">
        <v>22.39</v>
      </c>
      <c r="P1524" t="s">
        <v>52</v>
      </c>
    </row>
    <row r="1525" spans="1:16" ht="15" customHeight="1" x14ac:dyDescent="0.4">
      <c r="A1525" t="s">
        <v>15</v>
      </c>
      <c r="B1525" t="s">
        <v>16</v>
      </c>
      <c r="C1525" s="13">
        <v>44562</v>
      </c>
      <c r="D1525" s="13">
        <v>44926</v>
      </c>
      <c r="E1525" t="s">
        <v>17</v>
      </c>
      <c r="F1525">
        <v>5</v>
      </c>
      <c r="G1525" t="s">
        <v>501</v>
      </c>
      <c r="H1525">
        <v>40</v>
      </c>
      <c r="I1525" t="s">
        <v>501</v>
      </c>
      <c r="J1525">
        <v>264</v>
      </c>
      <c r="K1525" t="s">
        <v>502</v>
      </c>
      <c r="L1525" s="13">
        <v>44854</v>
      </c>
      <c r="M1525" t="s">
        <v>69</v>
      </c>
      <c r="N1525" t="s">
        <v>70</v>
      </c>
      <c r="O1525">
        <v>15.79</v>
      </c>
      <c r="P1525" t="s">
        <v>52</v>
      </c>
    </row>
    <row r="1526" spans="1:16" ht="15" customHeight="1" x14ac:dyDescent="0.4">
      <c r="A1526" t="s">
        <v>15</v>
      </c>
      <c r="B1526" t="s">
        <v>16</v>
      </c>
      <c r="C1526" s="13">
        <v>44562</v>
      </c>
      <c r="D1526" s="13">
        <v>44926</v>
      </c>
      <c r="E1526" t="s">
        <v>17</v>
      </c>
      <c r="F1526">
        <v>5</v>
      </c>
      <c r="G1526" t="s">
        <v>501</v>
      </c>
      <c r="H1526">
        <v>40</v>
      </c>
      <c r="I1526" t="s">
        <v>501</v>
      </c>
      <c r="J1526">
        <v>264</v>
      </c>
      <c r="K1526" t="s">
        <v>502</v>
      </c>
      <c r="L1526" s="13">
        <v>44885</v>
      </c>
      <c r="M1526" t="s">
        <v>71</v>
      </c>
      <c r="N1526" t="s">
        <v>72</v>
      </c>
      <c r="O1526">
        <v>15.41</v>
      </c>
      <c r="P1526" t="s">
        <v>52</v>
      </c>
    </row>
    <row r="1527" spans="1:16" ht="15" customHeight="1" x14ac:dyDescent="0.4">
      <c r="A1527" t="s">
        <v>15</v>
      </c>
      <c r="B1527" t="s">
        <v>16</v>
      </c>
      <c r="C1527" s="13">
        <v>44562</v>
      </c>
      <c r="D1527" s="13">
        <v>44926</v>
      </c>
      <c r="E1527" t="s">
        <v>17</v>
      </c>
      <c r="F1527">
        <v>5</v>
      </c>
      <c r="G1527" t="s">
        <v>501</v>
      </c>
      <c r="H1527">
        <v>40</v>
      </c>
      <c r="I1527" t="s">
        <v>501</v>
      </c>
      <c r="J1527">
        <v>264</v>
      </c>
      <c r="K1527" t="s">
        <v>502</v>
      </c>
      <c r="L1527" s="13">
        <v>44915</v>
      </c>
      <c r="M1527" t="s">
        <v>73</v>
      </c>
      <c r="N1527" t="s">
        <v>74</v>
      </c>
      <c r="O1527">
        <v>16.2</v>
      </c>
      <c r="P1527" t="s">
        <v>52</v>
      </c>
    </row>
    <row r="1528" spans="1:16" ht="15" customHeight="1" x14ac:dyDescent="0.4">
      <c r="A1528" t="s">
        <v>15</v>
      </c>
      <c r="B1528" t="s">
        <v>16</v>
      </c>
      <c r="C1528" s="13">
        <v>44562</v>
      </c>
      <c r="D1528" s="13">
        <v>44926</v>
      </c>
      <c r="E1528" t="s">
        <v>17</v>
      </c>
      <c r="F1528">
        <v>5</v>
      </c>
      <c r="G1528" t="s">
        <v>501</v>
      </c>
      <c r="H1528">
        <v>40</v>
      </c>
      <c r="I1528" t="s">
        <v>501</v>
      </c>
      <c r="J1528">
        <v>367</v>
      </c>
      <c r="K1528" t="s">
        <v>503</v>
      </c>
      <c r="L1528" s="13">
        <v>44868</v>
      </c>
      <c r="M1528" t="s">
        <v>504</v>
      </c>
      <c r="N1528" t="s">
        <v>46</v>
      </c>
      <c r="O1528">
        <v>396</v>
      </c>
      <c r="P1528" t="s">
        <v>46</v>
      </c>
    </row>
    <row r="1529" spans="1:16" ht="15" customHeight="1" x14ac:dyDescent="0.4">
      <c r="A1529" t="s">
        <v>15</v>
      </c>
      <c r="B1529" t="s">
        <v>16</v>
      </c>
      <c r="C1529" s="13">
        <v>44562</v>
      </c>
      <c r="D1529" s="13">
        <v>44926</v>
      </c>
      <c r="E1529" t="s">
        <v>17</v>
      </c>
      <c r="F1529">
        <v>5</v>
      </c>
      <c r="G1529" t="s">
        <v>501</v>
      </c>
      <c r="H1529">
        <v>40</v>
      </c>
      <c r="I1529" t="s">
        <v>501</v>
      </c>
      <c r="J1529">
        <v>741</v>
      </c>
      <c r="K1529" t="s">
        <v>505</v>
      </c>
      <c r="L1529" s="13">
        <v>44601</v>
      </c>
      <c r="M1529" t="s">
        <v>506</v>
      </c>
      <c r="N1529" t="s">
        <v>507</v>
      </c>
      <c r="O1529">
        <v>49.34</v>
      </c>
      <c r="P1529" t="s">
        <v>508</v>
      </c>
    </row>
    <row r="1530" spans="1:16" ht="15" customHeight="1" x14ac:dyDescent="0.4">
      <c r="A1530" t="s">
        <v>15</v>
      </c>
      <c r="B1530" t="s">
        <v>16</v>
      </c>
      <c r="C1530" s="13">
        <v>44562</v>
      </c>
      <c r="D1530" s="13">
        <v>44926</v>
      </c>
      <c r="E1530" t="s">
        <v>17</v>
      </c>
      <c r="F1530">
        <v>5</v>
      </c>
      <c r="G1530" t="s">
        <v>501</v>
      </c>
      <c r="H1530">
        <v>40</v>
      </c>
      <c r="I1530" t="s">
        <v>501</v>
      </c>
      <c r="J1530">
        <v>741</v>
      </c>
      <c r="K1530" t="s">
        <v>505</v>
      </c>
      <c r="L1530" s="13">
        <v>44798</v>
      </c>
      <c r="M1530" t="s">
        <v>509</v>
      </c>
      <c r="N1530" t="s">
        <v>510</v>
      </c>
      <c r="O1530">
        <v>58.36</v>
      </c>
      <c r="P1530" t="s">
        <v>508</v>
      </c>
    </row>
    <row r="1531" spans="1:16" ht="15" customHeight="1" x14ac:dyDescent="0.4">
      <c r="A1531" t="s">
        <v>15</v>
      </c>
      <c r="B1531" t="s">
        <v>16</v>
      </c>
      <c r="C1531" s="13">
        <v>44562</v>
      </c>
      <c r="D1531" s="13">
        <v>44926</v>
      </c>
      <c r="E1531" t="s">
        <v>17</v>
      </c>
      <c r="F1531">
        <v>5</v>
      </c>
      <c r="G1531" t="s">
        <v>501</v>
      </c>
      <c r="H1531">
        <v>40</v>
      </c>
      <c r="I1531" t="s">
        <v>501</v>
      </c>
      <c r="J1531">
        <v>801</v>
      </c>
      <c r="K1531" t="s">
        <v>511</v>
      </c>
      <c r="L1531" s="13">
        <v>44562</v>
      </c>
      <c r="M1531" t="s">
        <v>512</v>
      </c>
      <c r="N1531" t="s">
        <v>513</v>
      </c>
      <c r="O1531">
        <v>247.48</v>
      </c>
      <c r="P1531" t="s">
        <v>508</v>
      </c>
    </row>
    <row r="1532" spans="1:16" ht="15" customHeight="1" x14ac:dyDescent="0.4">
      <c r="A1532" t="s">
        <v>15</v>
      </c>
      <c r="B1532" t="s">
        <v>16</v>
      </c>
      <c r="C1532" s="13">
        <v>44562</v>
      </c>
      <c r="D1532" s="13">
        <v>44926</v>
      </c>
      <c r="E1532" t="s">
        <v>17</v>
      </c>
      <c r="F1532">
        <v>5</v>
      </c>
      <c r="G1532" t="s">
        <v>501</v>
      </c>
      <c r="H1532">
        <v>40</v>
      </c>
      <c r="I1532" t="s">
        <v>501</v>
      </c>
      <c r="J1532">
        <v>801</v>
      </c>
      <c r="K1532" t="s">
        <v>511</v>
      </c>
      <c r="L1532" s="13">
        <v>44627</v>
      </c>
      <c r="M1532" t="s">
        <v>514</v>
      </c>
      <c r="N1532" t="s">
        <v>515</v>
      </c>
      <c r="O1532">
        <v>247.48</v>
      </c>
      <c r="P1532" t="s">
        <v>508</v>
      </c>
    </row>
    <row r="1533" spans="1:16" ht="15" customHeight="1" x14ac:dyDescent="0.4">
      <c r="A1533" t="s">
        <v>15</v>
      </c>
      <c r="B1533" t="s">
        <v>16</v>
      </c>
      <c r="C1533" s="13">
        <v>44562</v>
      </c>
      <c r="D1533" s="13">
        <v>44926</v>
      </c>
      <c r="E1533" t="s">
        <v>17</v>
      </c>
      <c r="F1533">
        <v>5</v>
      </c>
      <c r="G1533" t="s">
        <v>501</v>
      </c>
      <c r="H1533">
        <v>40</v>
      </c>
      <c r="I1533" t="s">
        <v>501</v>
      </c>
      <c r="J1533">
        <v>801</v>
      </c>
      <c r="K1533" t="s">
        <v>511</v>
      </c>
      <c r="L1533" s="13">
        <v>44725</v>
      </c>
      <c r="M1533" t="s">
        <v>516</v>
      </c>
      <c r="N1533" t="s">
        <v>517</v>
      </c>
      <c r="O1533">
        <v>247.48</v>
      </c>
      <c r="P1533" t="s">
        <v>508</v>
      </c>
    </row>
    <row r="1534" spans="1:16" ht="15" customHeight="1" x14ac:dyDescent="0.4">
      <c r="A1534" t="s">
        <v>15</v>
      </c>
      <c r="B1534" t="s">
        <v>16</v>
      </c>
      <c r="C1534" s="13">
        <v>44562</v>
      </c>
      <c r="D1534" s="13">
        <v>44926</v>
      </c>
      <c r="E1534" t="s">
        <v>17</v>
      </c>
      <c r="F1534">
        <v>5</v>
      </c>
      <c r="G1534" t="s">
        <v>501</v>
      </c>
      <c r="H1534">
        <v>40</v>
      </c>
      <c r="I1534" t="s">
        <v>501</v>
      </c>
      <c r="J1534">
        <v>801</v>
      </c>
      <c r="K1534" t="s">
        <v>511</v>
      </c>
      <c r="L1534" s="13">
        <v>44809</v>
      </c>
      <c r="M1534" t="s">
        <v>518</v>
      </c>
      <c r="N1534" t="s">
        <v>519</v>
      </c>
      <c r="O1534">
        <v>247.48</v>
      </c>
      <c r="P1534" t="s">
        <v>508</v>
      </c>
    </row>
    <row r="1535" spans="1:16" ht="15" customHeight="1" x14ac:dyDescent="0.4">
      <c r="A1535" t="s">
        <v>15</v>
      </c>
      <c r="B1535" t="s">
        <v>16</v>
      </c>
      <c r="C1535" s="13">
        <v>44562</v>
      </c>
      <c r="D1535" s="13">
        <v>44926</v>
      </c>
      <c r="E1535" t="s">
        <v>17</v>
      </c>
      <c r="F1535">
        <v>5</v>
      </c>
      <c r="G1535" t="s">
        <v>501</v>
      </c>
      <c r="H1535">
        <v>40</v>
      </c>
      <c r="I1535" t="s">
        <v>501</v>
      </c>
      <c r="J1535">
        <v>805</v>
      </c>
      <c r="K1535" t="s">
        <v>520</v>
      </c>
      <c r="L1535" s="13">
        <v>44706</v>
      </c>
      <c r="M1535" t="s">
        <v>521</v>
      </c>
      <c r="N1535" t="s">
        <v>522</v>
      </c>
      <c r="O1535">
        <v>155.69</v>
      </c>
      <c r="P1535" t="s">
        <v>508</v>
      </c>
    </row>
    <row r="1536" spans="1:16" ht="15" customHeight="1" x14ac:dyDescent="0.4">
      <c r="A1536" t="s">
        <v>15</v>
      </c>
      <c r="B1536" t="s">
        <v>16</v>
      </c>
      <c r="C1536" s="13">
        <v>44562</v>
      </c>
      <c r="D1536" s="13">
        <v>44926</v>
      </c>
      <c r="E1536" t="s">
        <v>17</v>
      </c>
      <c r="F1536">
        <v>5</v>
      </c>
      <c r="G1536" t="s">
        <v>501</v>
      </c>
      <c r="H1536">
        <v>40</v>
      </c>
      <c r="I1536" t="s">
        <v>501</v>
      </c>
      <c r="J1536">
        <v>805</v>
      </c>
      <c r="K1536" t="s">
        <v>520</v>
      </c>
      <c r="L1536" s="13">
        <v>44798</v>
      </c>
      <c r="M1536" t="s">
        <v>523</v>
      </c>
      <c r="N1536" t="s">
        <v>524</v>
      </c>
      <c r="O1536">
        <v>155.69</v>
      </c>
      <c r="P1536" t="s">
        <v>508</v>
      </c>
    </row>
    <row r="1537" spans="1:16" ht="15" customHeight="1" x14ac:dyDescent="0.4">
      <c r="A1537" t="s">
        <v>15</v>
      </c>
      <c r="B1537" t="s">
        <v>16</v>
      </c>
      <c r="C1537" s="13">
        <v>44562</v>
      </c>
      <c r="D1537" s="13">
        <v>44926</v>
      </c>
      <c r="E1537" t="s">
        <v>17</v>
      </c>
      <c r="F1537">
        <v>6</v>
      </c>
      <c r="G1537" t="s">
        <v>525</v>
      </c>
      <c r="H1537">
        <v>65</v>
      </c>
      <c r="I1537" t="s">
        <v>526</v>
      </c>
      <c r="J1537">
        <v>821</v>
      </c>
      <c r="K1537" t="s">
        <v>527</v>
      </c>
      <c r="L1537" s="13">
        <v>44621</v>
      </c>
      <c r="M1537" t="s">
        <v>528</v>
      </c>
      <c r="N1537" t="s">
        <v>529</v>
      </c>
      <c r="O1537">
        <v>2537.37</v>
      </c>
      <c r="P1537" t="s">
        <v>530</v>
      </c>
    </row>
    <row r="1538" spans="1:16" ht="15" customHeight="1" x14ac:dyDescent="0.4">
      <c r="A1538" t="s">
        <v>15</v>
      </c>
      <c r="B1538" t="s">
        <v>16</v>
      </c>
      <c r="C1538" s="13">
        <v>44562</v>
      </c>
      <c r="D1538" s="13">
        <v>44926</v>
      </c>
      <c r="E1538" t="s">
        <v>17</v>
      </c>
      <c r="F1538">
        <v>6</v>
      </c>
      <c r="G1538" t="s">
        <v>525</v>
      </c>
      <c r="H1538">
        <v>65</v>
      </c>
      <c r="I1538" t="s">
        <v>526</v>
      </c>
      <c r="J1538">
        <v>821</v>
      </c>
      <c r="K1538" t="s">
        <v>527</v>
      </c>
      <c r="L1538" s="13">
        <v>44805</v>
      </c>
      <c r="M1538" t="s">
        <v>531</v>
      </c>
      <c r="N1538" t="s">
        <v>532</v>
      </c>
      <c r="O1538">
        <v>2537.37</v>
      </c>
      <c r="P1538" t="s">
        <v>530</v>
      </c>
    </row>
    <row r="1539" spans="1:16" ht="15" customHeight="1" x14ac:dyDescent="0.4">
      <c r="A1539" t="s">
        <v>15</v>
      </c>
      <c r="B1539" t="s">
        <v>16</v>
      </c>
      <c r="C1539" s="13">
        <v>44562</v>
      </c>
      <c r="D1539" s="13">
        <v>44926</v>
      </c>
      <c r="E1539" t="s">
        <v>17</v>
      </c>
      <c r="F1539">
        <v>6</v>
      </c>
      <c r="G1539" t="s">
        <v>525</v>
      </c>
      <c r="H1539">
        <v>65</v>
      </c>
      <c r="I1539" t="s">
        <v>526</v>
      </c>
      <c r="J1539">
        <v>821</v>
      </c>
      <c r="K1539" t="s">
        <v>527</v>
      </c>
      <c r="L1539" s="13">
        <v>44926</v>
      </c>
      <c r="M1539" t="s">
        <v>533</v>
      </c>
      <c r="N1539" t="s">
        <v>46</v>
      </c>
      <c r="O1539">
        <v>-3383.16</v>
      </c>
      <c r="P1539" t="s">
        <v>46</v>
      </c>
    </row>
    <row r="1540" spans="1:16" ht="15" customHeight="1" x14ac:dyDescent="0.4">
      <c r="A1540" t="s">
        <v>15</v>
      </c>
      <c r="B1540" t="s">
        <v>16</v>
      </c>
      <c r="C1540" s="13">
        <v>44562</v>
      </c>
      <c r="D1540" s="13">
        <v>44926</v>
      </c>
      <c r="E1540" t="s">
        <v>17</v>
      </c>
      <c r="F1540">
        <v>6</v>
      </c>
      <c r="G1540" t="s">
        <v>525</v>
      </c>
      <c r="H1540">
        <v>65</v>
      </c>
      <c r="I1540" t="s">
        <v>526</v>
      </c>
      <c r="J1540">
        <v>825</v>
      </c>
      <c r="K1540" t="s">
        <v>534</v>
      </c>
      <c r="L1540" s="13">
        <v>44699</v>
      </c>
      <c r="M1540" t="s">
        <v>535</v>
      </c>
      <c r="N1540" t="s">
        <v>536</v>
      </c>
      <c r="O1540">
        <v>632.5</v>
      </c>
      <c r="P1540" t="s">
        <v>530</v>
      </c>
    </row>
    <row r="1541" spans="1:16" ht="15" customHeight="1" x14ac:dyDescent="0.4">
      <c r="A1541" t="s">
        <v>15</v>
      </c>
      <c r="B1541" t="s">
        <v>16</v>
      </c>
      <c r="C1541" s="13">
        <v>44562</v>
      </c>
      <c r="D1541" s="13">
        <v>44926</v>
      </c>
      <c r="E1541" t="s">
        <v>17</v>
      </c>
      <c r="F1541">
        <v>8</v>
      </c>
      <c r="G1541" t="s">
        <v>501</v>
      </c>
      <c r="H1541">
        <v>40</v>
      </c>
      <c r="I1541" t="s">
        <v>501</v>
      </c>
      <c r="J1541">
        <v>264</v>
      </c>
      <c r="K1541" t="s">
        <v>3681</v>
      </c>
      <c r="L1541" s="13">
        <v>44583</v>
      </c>
      <c r="M1541" t="s">
        <v>537</v>
      </c>
      <c r="N1541" t="s">
        <v>352</v>
      </c>
      <c r="O1541">
        <v>30.65</v>
      </c>
      <c r="P1541" t="s">
        <v>52</v>
      </c>
    </row>
    <row r="1542" spans="1:16" ht="15" customHeight="1" x14ac:dyDescent="0.4">
      <c r="A1542" t="s">
        <v>15</v>
      </c>
      <c r="B1542" t="s">
        <v>16</v>
      </c>
      <c r="C1542" s="13">
        <v>44562</v>
      </c>
      <c r="D1542" s="13">
        <v>44926</v>
      </c>
      <c r="E1542" t="s">
        <v>17</v>
      </c>
      <c r="F1542">
        <v>8</v>
      </c>
      <c r="G1542" t="s">
        <v>501</v>
      </c>
      <c r="H1542">
        <v>40</v>
      </c>
      <c r="I1542" t="s">
        <v>501</v>
      </c>
      <c r="J1542">
        <v>264</v>
      </c>
      <c r="K1542" t="s">
        <v>3681</v>
      </c>
      <c r="L1542" s="13">
        <v>44614</v>
      </c>
      <c r="M1542" t="s">
        <v>538</v>
      </c>
      <c r="N1542" t="s">
        <v>353</v>
      </c>
      <c r="O1542">
        <v>22.37</v>
      </c>
      <c r="P1542" t="s">
        <v>52</v>
      </c>
    </row>
    <row r="1543" spans="1:16" ht="15" customHeight="1" x14ac:dyDescent="0.4">
      <c r="A1543" t="s">
        <v>15</v>
      </c>
      <c r="B1543" t="s">
        <v>16</v>
      </c>
      <c r="C1543" s="13">
        <v>44562</v>
      </c>
      <c r="D1543" s="13">
        <v>44926</v>
      </c>
      <c r="E1543" t="s">
        <v>17</v>
      </c>
      <c r="F1543">
        <v>8</v>
      </c>
      <c r="G1543" t="s">
        <v>501</v>
      </c>
      <c r="H1543">
        <v>40</v>
      </c>
      <c r="I1543" t="s">
        <v>501</v>
      </c>
      <c r="J1543">
        <v>264</v>
      </c>
      <c r="K1543" t="s">
        <v>3681</v>
      </c>
      <c r="L1543" s="13">
        <v>44642</v>
      </c>
      <c r="M1543" t="s">
        <v>539</v>
      </c>
      <c r="N1543" t="s">
        <v>354</v>
      </c>
      <c r="O1543">
        <v>17.440000000000001</v>
      </c>
      <c r="P1543" t="s">
        <v>52</v>
      </c>
    </row>
    <row r="1544" spans="1:16" ht="15" customHeight="1" x14ac:dyDescent="0.4">
      <c r="A1544" t="s">
        <v>15</v>
      </c>
      <c r="B1544" t="s">
        <v>16</v>
      </c>
      <c r="C1544" s="13">
        <v>44562</v>
      </c>
      <c r="D1544" s="13">
        <v>44926</v>
      </c>
      <c r="E1544" t="s">
        <v>17</v>
      </c>
      <c r="F1544">
        <v>8</v>
      </c>
      <c r="G1544" t="s">
        <v>501</v>
      </c>
      <c r="H1544">
        <v>40</v>
      </c>
      <c r="I1544" t="s">
        <v>501</v>
      </c>
      <c r="J1544">
        <v>264</v>
      </c>
      <c r="K1544" t="s">
        <v>3681</v>
      </c>
      <c r="L1544" s="13">
        <v>44673</v>
      </c>
      <c r="M1544" t="s">
        <v>540</v>
      </c>
      <c r="N1544" t="s">
        <v>355</v>
      </c>
      <c r="O1544">
        <v>21.04</v>
      </c>
      <c r="P1544" t="s">
        <v>52</v>
      </c>
    </row>
    <row r="1545" spans="1:16" ht="15" customHeight="1" x14ac:dyDescent="0.4">
      <c r="A1545" t="s">
        <v>15</v>
      </c>
      <c r="B1545" t="s">
        <v>16</v>
      </c>
      <c r="C1545" s="13">
        <v>44562</v>
      </c>
      <c r="D1545" s="13">
        <v>44926</v>
      </c>
      <c r="E1545" t="s">
        <v>17</v>
      </c>
      <c r="F1545">
        <v>8</v>
      </c>
      <c r="G1545" t="s">
        <v>501</v>
      </c>
      <c r="H1545">
        <v>40</v>
      </c>
      <c r="I1545" t="s">
        <v>501</v>
      </c>
      <c r="J1545">
        <v>264</v>
      </c>
      <c r="K1545" t="s">
        <v>3681</v>
      </c>
      <c r="L1545" s="13">
        <v>44703</v>
      </c>
      <c r="M1545" t="s">
        <v>541</v>
      </c>
      <c r="N1545" t="s">
        <v>356</v>
      </c>
      <c r="O1545">
        <v>17.75</v>
      </c>
      <c r="P1545" t="s">
        <v>52</v>
      </c>
    </row>
    <row r="1546" spans="1:16" ht="15" customHeight="1" x14ac:dyDescent="0.4">
      <c r="A1546" t="s">
        <v>15</v>
      </c>
      <c r="B1546" t="s">
        <v>16</v>
      </c>
      <c r="C1546" s="13">
        <v>44562</v>
      </c>
      <c r="D1546" s="13">
        <v>44926</v>
      </c>
      <c r="E1546" t="s">
        <v>17</v>
      </c>
      <c r="F1546">
        <v>8</v>
      </c>
      <c r="G1546" t="s">
        <v>501</v>
      </c>
      <c r="H1546">
        <v>40</v>
      </c>
      <c r="I1546" t="s">
        <v>501</v>
      </c>
      <c r="J1546">
        <v>264</v>
      </c>
      <c r="K1546" t="s">
        <v>3681</v>
      </c>
      <c r="L1546" s="13">
        <v>44734</v>
      </c>
      <c r="M1546" t="s">
        <v>542</v>
      </c>
      <c r="N1546" t="s">
        <v>357</v>
      </c>
      <c r="O1546">
        <v>14.96</v>
      </c>
      <c r="P1546" t="s">
        <v>52</v>
      </c>
    </row>
    <row r="1547" spans="1:16" ht="15" customHeight="1" x14ac:dyDescent="0.4">
      <c r="A1547" t="s">
        <v>15</v>
      </c>
      <c r="B1547" t="s">
        <v>16</v>
      </c>
      <c r="C1547" s="13">
        <v>44562</v>
      </c>
      <c r="D1547" s="13">
        <v>44926</v>
      </c>
      <c r="E1547" t="s">
        <v>17</v>
      </c>
      <c r="F1547">
        <v>8</v>
      </c>
      <c r="G1547" t="s">
        <v>501</v>
      </c>
      <c r="H1547">
        <v>40</v>
      </c>
      <c r="I1547" t="s">
        <v>501</v>
      </c>
      <c r="J1547">
        <v>264</v>
      </c>
      <c r="K1547" t="s">
        <v>3681</v>
      </c>
      <c r="L1547" s="13">
        <v>44764</v>
      </c>
      <c r="M1547" t="s">
        <v>543</v>
      </c>
      <c r="N1547" t="s">
        <v>358</v>
      </c>
      <c r="O1547">
        <v>17.579999999999998</v>
      </c>
      <c r="P1547" t="s">
        <v>52</v>
      </c>
    </row>
    <row r="1548" spans="1:16" ht="15" customHeight="1" x14ac:dyDescent="0.4">
      <c r="A1548" t="s">
        <v>15</v>
      </c>
      <c r="B1548" t="s">
        <v>16</v>
      </c>
      <c r="C1548" s="13">
        <v>44562</v>
      </c>
      <c r="D1548" s="13">
        <v>44926</v>
      </c>
      <c r="E1548" t="s">
        <v>17</v>
      </c>
      <c r="F1548">
        <v>8</v>
      </c>
      <c r="G1548" t="s">
        <v>501</v>
      </c>
      <c r="H1548">
        <v>40</v>
      </c>
      <c r="I1548" t="s">
        <v>501</v>
      </c>
      <c r="J1548">
        <v>264</v>
      </c>
      <c r="K1548" t="s">
        <v>3681</v>
      </c>
      <c r="L1548" s="13">
        <v>44795</v>
      </c>
      <c r="M1548" t="s">
        <v>544</v>
      </c>
      <c r="N1548" t="s">
        <v>359</v>
      </c>
      <c r="O1548">
        <v>18.45</v>
      </c>
      <c r="P1548" t="s">
        <v>52</v>
      </c>
    </row>
    <row r="1549" spans="1:16" ht="15" customHeight="1" x14ac:dyDescent="0.4">
      <c r="A1549" t="s">
        <v>15</v>
      </c>
      <c r="B1549" t="s">
        <v>16</v>
      </c>
      <c r="C1549" s="13">
        <v>44562</v>
      </c>
      <c r="D1549" s="13">
        <v>44926</v>
      </c>
      <c r="E1549" t="s">
        <v>17</v>
      </c>
      <c r="F1549">
        <v>8</v>
      </c>
      <c r="G1549" t="s">
        <v>501</v>
      </c>
      <c r="H1549">
        <v>40</v>
      </c>
      <c r="I1549" t="s">
        <v>501</v>
      </c>
      <c r="J1549">
        <v>264</v>
      </c>
      <c r="K1549" t="s">
        <v>3681</v>
      </c>
      <c r="L1549" s="13">
        <v>44826</v>
      </c>
      <c r="M1549" t="s">
        <v>545</v>
      </c>
      <c r="N1549" t="s">
        <v>360</v>
      </c>
      <c r="O1549">
        <v>16.25</v>
      </c>
      <c r="P1549" t="s">
        <v>52</v>
      </c>
    </row>
    <row r="1550" spans="1:16" ht="15" customHeight="1" x14ac:dyDescent="0.4">
      <c r="A1550" t="s">
        <v>15</v>
      </c>
      <c r="B1550" t="s">
        <v>16</v>
      </c>
      <c r="C1550" s="13">
        <v>44562</v>
      </c>
      <c r="D1550" s="13">
        <v>44926</v>
      </c>
      <c r="E1550" t="s">
        <v>17</v>
      </c>
      <c r="F1550">
        <v>8</v>
      </c>
      <c r="G1550" t="s">
        <v>501</v>
      </c>
      <c r="H1550">
        <v>40</v>
      </c>
      <c r="I1550" t="s">
        <v>501</v>
      </c>
      <c r="J1550">
        <v>264</v>
      </c>
      <c r="K1550" t="s">
        <v>3681</v>
      </c>
      <c r="L1550" s="13">
        <v>44856</v>
      </c>
      <c r="M1550" t="s">
        <v>546</v>
      </c>
      <c r="N1550" t="s">
        <v>361</v>
      </c>
      <c r="O1550">
        <v>18.579999999999998</v>
      </c>
      <c r="P1550" t="s">
        <v>52</v>
      </c>
    </row>
    <row r="1551" spans="1:16" ht="15" customHeight="1" x14ac:dyDescent="0.4">
      <c r="A1551" t="s">
        <v>15</v>
      </c>
      <c r="B1551" t="s">
        <v>16</v>
      </c>
      <c r="C1551" s="13">
        <v>44562</v>
      </c>
      <c r="D1551" s="13">
        <v>44926</v>
      </c>
      <c r="E1551" t="s">
        <v>17</v>
      </c>
      <c r="F1551">
        <v>8</v>
      </c>
      <c r="G1551" t="s">
        <v>501</v>
      </c>
      <c r="H1551">
        <v>40</v>
      </c>
      <c r="I1551" t="s">
        <v>501</v>
      </c>
      <c r="J1551">
        <v>264</v>
      </c>
      <c r="K1551" t="s">
        <v>3681</v>
      </c>
      <c r="L1551" s="13">
        <v>44887</v>
      </c>
      <c r="M1551" t="s">
        <v>547</v>
      </c>
      <c r="N1551" t="s">
        <v>362</v>
      </c>
      <c r="O1551">
        <v>18.739999999999998</v>
      </c>
      <c r="P1551" t="s">
        <v>52</v>
      </c>
    </row>
    <row r="1552" spans="1:16" ht="15" customHeight="1" x14ac:dyDescent="0.4">
      <c r="A1552" t="s">
        <v>15</v>
      </c>
      <c r="B1552" t="s">
        <v>16</v>
      </c>
      <c r="C1552" s="13">
        <v>44562</v>
      </c>
      <c r="D1552" s="13">
        <v>44926</v>
      </c>
      <c r="E1552" t="s">
        <v>17</v>
      </c>
      <c r="F1552">
        <v>8</v>
      </c>
      <c r="G1552" t="s">
        <v>501</v>
      </c>
      <c r="H1552">
        <v>40</v>
      </c>
      <c r="I1552" t="s">
        <v>501</v>
      </c>
      <c r="J1552">
        <v>264</v>
      </c>
      <c r="K1552" t="s">
        <v>3681</v>
      </c>
      <c r="L1552" s="13">
        <v>44917</v>
      </c>
      <c r="M1552" t="s">
        <v>548</v>
      </c>
      <c r="N1552" t="s">
        <v>363</v>
      </c>
      <c r="O1552">
        <v>21.99</v>
      </c>
      <c r="P1552" t="s">
        <v>52</v>
      </c>
    </row>
    <row r="1553" spans="1:16" ht="15" customHeight="1" x14ac:dyDescent="0.4">
      <c r="A1553" t="s">
        <v>15</v>
      </c>
      <c r="B1553" t="s">
        <v>16</v>
      </c>
      <c r="C1553" s="13">
        <v>44562</v>
      </c>
      <c r="D1553" s="13">
        <v>44926</v>
      </c>
      <c r="E1553" t="s">
        <v>17</v>
      </c>
      <c r="F1553">
        <v>8</v>
      </c>
      <c r="G1553" t="s">
        <v>501</v>
      </c>
      <c r="H1553">
        <v>40</v>
      </c>
      <c r="I1553" t="s">
        <v>501</v>
      </c>
      <c r="J1553">
        <v>367</v>
      </c>
      <c r="K1553" t="s">
        <v>503</v>
      </c>
      <c r="L1553" s="13">
        <v>44868</v>
      </c>
      <c r="M1553" t="s">
        <v>504</v>
      </c>
      <c r="N1553" t="s">
        <v>46</v>
      </c>
      <c r="O1553">
        <v>396</v>
      </c>
      <c r="P1553" t="s">
        <v>46</v>
      </c>
    </row>
    <row r="1554" spans="1:16" ht="15" customHeight="1" x14ac:dyDescent="0.4">
      <c r="A1554" t="s">
        <v>15</v>
      </c>
      <c r="B1554" t="s">
        <v>16</v>
      </c>
      <c r="C1554" s="13">
        <v>44562</v>
      </c>
      <c r="D1554" s="13">
        <v>44926</v>
      </c>
      <c r="E1554" t="s">
        <v>17</v>
      </c>
      <c r="F1554">
        <v>8</v>
      </c>
      <c r="G1554" t="s">
        <v>501</v>
      </c>
      <c r="H1554">
        <v>40</v>
      </c>
      <c r="I1554" t="s">
        <v>501</v>
      </c>
      <c r="J1554">
        <v>741</v>
      </c>
      <c r="K1554" t="s">
        <v>505</v>
      </c>
      <c r="L1554" s="13">
        <v>44593</v>
      </c>
      <c r="M1554" t="s">
        <v>549</v>
      </c>
      <c r="N1554" t="s">
        <v>550</v>
      </c>
      <c r="O1554">
        <v>45.48</v>
      </c>
      <c r="P1554" t="s">
        <v>508</v>
      </c>
    </row>
    <row r="1555" spans="1:16" ht="15" customHeight="1" x14ac:dyDescent="0.4">
      <c r="A1555" t="s">
        <v>15</v>
      </c>
      <c r="B1555" t="s">
        <v>16</v>
      </c>
      <c r="C1555" s="13">
        <v>44562</v>
      </c>
      <c r="D1555" s="13">
        <v>44926</v>
      </c>
      <c r="E1555" t="s">
        <v>17</v>
      </c>
      <c r="F1555">
        <v>8</v>
      </c>
      <c r="G1555" t="s">
        <v>501</v>
      </c>
      <c r="H1555">
        <v>40</v>
      </c>
      <c r="I1555" t="s">
        <v>501</v>
      </c>
      <c r="J1555">
        <v>741</v>
      </c>
      <c r="K1555" t="s">
        <v>505</v>
      </c>
      <c r="L1555" s="13">
        <v>44798</v>
      </c>
      <c r="M1555" t="s">
        <v>551</v>
      </c>
      <c r="N1555" t="s">
        <v>552</v>
      </c>
      <c r="O1555">
        <v>46.76</v>
      </c>
      <c r="P1555" t="s">
        <v>508</v>
      </c>
    </row>
    <row r="1556" spans="1:16" ht="15" customHeight="1" x14ac:dyDescent="0.4">
      <c r="A1556" t="s">
        <v>15</v>
      </c>
      <c r="B1556" t="s">
        <v>16</v>
      </c>
      <c r="C1556" s="13">
        <v>44562</v>
      </c>
      <c r="D1556" s="13">
        <v>44926</v>
      </c>
      <c r="E1556" t="s">
        <v>17</v>
      </c>
      <c r="F1556">
        <v>8</v>
      </c>
      <c r="G1556" t="s">
        <v>501</v>
      </c>
      <c r="H1556">
        <v>40</v>
      </c>
      <c r="I1556" t="s">
        <v>501</v>
      </c>
      <c r="J1556">
        <v>801</v>
      </c>
      <c r="K1556" t="s">
        <v>511</v>
      </c>
      <c r="L1556" s="13">
        <v>44562</v>
      </c>
      <c r="M1556" t="s">
        <v>512</v>
      </c>
      <c r="N1556" t="s">
        <v>513</v>
      </c>
      <c r="O1556">
        <v>247.48</v>
      </c>
      <c r="P1556" t="s">
        <v>508</v>
      </c>
    </row>
    <row r="1557" spans="1:16" ht="15" customHeight="1" x14ac:dyDescent="0.4">
      <c r="A1557" t="s">
        <v>15</v>
      </c>
      <c r="B1557" t="s">
        <v>16</v>
      </c>
      <c r="C1557" s="13">
        <v>44562</v>
      </c>
      <c r="D1557" s="13">
        <v>44926</v>
      </c>
      <c r="E1557" t="s">
        <v>17</v>
      </c>
      <c r="F1557">
        <v>8</v>
      </c>
      <c r="G1557" t="s">
        <v>501</v>
      </c>
      <c r="H1557">
        <v>40</v>
      </c>
      <c r="I1557" t="s">
        <v>501</v>
      </c>
      <c r="J1557">
        <v>801</v>
      </c>
      <c r="K1557" t="s">
        <v>511</v>
      </c>
      <c r="L1557" s="13">
        <v>44627</v>
      </c>
      <c r="M1557" t="s">
        <v>514</v>
      </c>
      <c r="N1557" t="s">
        <v>515</v>
      </c>
      <c r="O1557">
        <v>247.48</v>
      </c>
      <c r="P1557" t="s">
        <v>508</v>
      </c>
    </row>
    <row r="1558" spans="1:16" ht="15" customHeight="1" x14ac:dyDescent="0.4">
      <c r="A1558" t="s">
        <v>15</v>
      </c>
      <c r="B1558" t="s">
        <v>16</v>
      </c>
      <c r="C1558" s="13">
        <v>44562</v>
      </c>
      <c r="D1558" s="13">
        <v>44926</v>
      </c>
      <c r="E1558" t="s">
        <v>17</v>
      </c>
      <c r="F1558">
        <v>8</v>
      </c>
      <c r="G1558" t="s">
        <v>501</v>
      </c>
      <c r="H1558">
        <v>40</v>
      </c>
      <c r="I1558" t="s">
        <v>501</v>
      </c>
      <c r="J1558">
        <v>801</v>
      </c>
      <c r="K1558" t="s">
        <v>511</v>
      </c>
      <c r="L1558" s="13">
        <v>44725</v>
      </c>
      <c r="M1558" t="s">
        <v>516</v>
      </c>
      <c r="N1558" t="s">
        <v>517</v>
      </c>
      <c r="O1558">
        <v>247.48</v>
      </c>
      <c r="P1558" t="s">
        <v>508</v>
      </c>
    </row>
    <row r="1559" spans="1:16" ht="15" customHeight="1" x14ac:dyDescent="0.4">
      <c r="A1559" t="s">
        <v>15</v>
      </c>
      <c r="B1559" t="s">
        <v>16</v>
      </c>
      <c r="C1559" s="13">
        <v>44562</v>
      </c>
      <c r="D1559" s="13">
        <v>44926</v>
      </c>
      <c r="E1559" t="s">
        <v>17</v>
      </c>
      <c r="F1559">
        <v>8</v>
      </c>
      <c r="G1559" t="s">
        <v>501</v>
      </c>
      <c r="H1559">
        <v>40</v>
      </c>
      <c r="I1559" t="s">
        <v>501</v>
      </c>
      <c r="J1559">
        <v>801</v>
      </c>
      <c r="K1559" t="s">
        <v>511</v>
      </c>
      <c r="L1559" s="13">
        <v>44809</v>
      </c>
      <c r="M1559" t="s">
        <v>518</v>
      </c>
      <c r="N1559" t="s">
        <v>519</v>
      </c>
      <c r="O1559">
        <v>247.48</v>
      </c>
      <c r="P1559" t="s">
        <v>508</v>
      </c>
    </row>
    <row r="1560" spans="1:16" ht="15" customHeight="1" x14ac:dyDescent="0.4">
      <c r="A1560" t="s">
        <v>15</v>
      </c>
      <c r="B1560" t="s">
        <v>16</v>
      </c>
      <c r="C1560" s="13">
        <v>44562</v>
      </c>
      <c r="D1560" s="13">
        <v>44926</v>
      </c>
      <c r="E1560" t="s">
        <v>17</v>
      </c>
      <c r="F1560">
        <v>9</v>
      </c>
      <c r="G1560" t="s">
        <v>525</v>
      </c>
      <c r="H1560">
        <v>65</v>
      </c>
      <c r="I1560" t="s">
        <v>526</v>
      </c>
      <c r="J1560">
        <v>821</v>
      </c>
      <c r="K1560" t="s">
        <v>527</v>
      </c>
      <c r="L1560" s="13">
        <v>44926</v>
      </c>
      <c r="M1560" t="s">
        <v>553</v>
      </c>
      <c r="N1560" t="s">
        <v>46</v>
      </c>
      <c r="O1560">
        <v>1691.58</v>
      </c>
      <c r="P1560" t="s">
        <v>46</v>
      </c>
    </row>
    <row r="1561" spans="1:16" ht="15" customHeight="1" x14ac:dyDescent="0.4">
      <c r="A1561" t="s">
        <v>15</v>
      </c>
      <c r="B1561" t="s">
        <v>16</v>
      </c>
      <c r="C1561" s="13">
        <v>44562</v>
      </c>
      <c r="D1561" s="13">
        <v>44926</v>
      </c>
      <c r="E1561" t="s">
        <v>17</v>
      </c>
      <c r="F1561">
        <v>9</v>
      </c>
      <c r="G1561" t="s">
        <v>525</v>
      </c>
      <c r="H1561">
        <v>65</v>
      </c>
      <c r="I1561" t="s">
        <v>526</v>
      </c>
      <c r="J1561">
        <v>825</v>
      </c>
      <c r="K1561" t="s">
        <v>534</v>
      </c>
      <c r="L1561" s="13">
        <v>44685</v>
      </c>
      <c r="M1561" t="s">
        <v>554</v>
      </c>
      <c r="N1561" t="s">
        <v>555</v>
      </c>
      <c r="O1561">
        <v>78.099999999999994</v>
      </c>
      <c r="P1561" t="s">
        <v>530</v>
      </c>
    </row>
    <row r="1562" spans="1:16" ht="15" customHeight="1" x14ac:dyDescent="0.4">
      <c r="A1562" t="s">
        <v>15</v>
      </c>
      <c r="B1562" t="s">
        <v>16</v>
      </c>
      <c r="C1562" s="13">
        <v>44562</v>
      </c>
      <c r="D1562" s="13">
        <v>44926</v>
      </c>
      <c r="E1562" t="s">
        <v>17</v>
      </c>
      <c r="F1562">
        <v>11</v>
      </c>
      <c r="G1562" t="s">
        <v>501</v>
      </c>
      <c r="H1562">
        <v>40</v>
      </c>
      <c r="I1562" t="s">
        <v>501</v>
      </c>
      <c r="J1562">
        <v>264</v>
      </c>
      <c r="K1562" t="s">
        <v>3681</v>
      </c>
      <c r="L1562" s="13">
        <v>44583</v>
      </c>
      <c r="M1562" t="s">
        <v>537</v>
      </c>
      <c r="N1562" t="s">
        <v>352</v>
      </c>
      <c r="O1562">
        <v>30.65</v>
      </c>
      <c r="P1562" t="s">
        <v>52</v>
      </c>
    </row>
    <row r="1563" spans="1:16" ht="15" customHeight="1" x14ac:dyDescent="0.4">
      <c r="A1563" t="s">
        <v>15</v>
      </c>
      <c r="B1563" t="s">
        <v>16</v>
      </c>
      <c r="C1563" s="13">
        <v>44562</v>
      </c>
      <c r="D1563" s="13">
        <v>44926</v>
      </c>
      <c r="E1563" t="s">
        <v>17</v>
      </c>
      <c r="F1563">
        <v>11</v>
      </c>
      <c r="G1563" t="s">
        <v>501</v>
      </c>
      <c r="H1563">
        <v>40</v>
      </c>
      <c r="I1563" t="s">
        <v>501</v>
      </c>
      <c r="J1563">
        <v>264</v>
      </c>
      <c r="K1563" t="s">
        <v>3681</v>
      </c>
      <c r="L1563" s="13">
        <v>44614</v>
      </c>
      <c r="M1563" t="s">
        <v>538</v>
      </c>
      <c r="N1563" t="s">
        <v>353</v>
      </c>
      <c r="O1563">
        <v>22.37</v>
      </c>
      <c r="P1563" t="s">
        <v>52</v>
      </c>
    </row>
    <row r="1564" spans="1:16" ht="15" customHeight="1" x14ac:dyDescent="0.4">
      <c r="A1564" t="s">
        <v>15</v>
      </c>
      <c r="B1564" t="s">
        <v>16</v>
      </c>
      <c r="C1564" s="13">
        <v>44562</v>
      </c>
      <c r="D1564" s="13">
        <v>44926</v>
      </c>
      <c r="E1564" t="s">
        <v>17</v>
      </c>
      <c r="F1564">
        <v>11</v>
      </c>
      <c r="G1564" t="s">
        <v>501</v>
      </c>
      <c r="H1564">
        <v>40</v>
      </c>
      <c r="I1564" t="s">
        <v>501</v>
      </c>
      <c r="J1564">
        <v>264</v>
      </c>
      <c r="K1564" t="s">
        <v>3681</v>
      </c>
      <c r="L1564" s="13">
        <v>44642</v>
      </c>
      <c r="M1564" t="s">
        <v>539</v>
      </c>
      <c r="N1564" t="s">
        <v>354</v>
      </c>
      <c r="O1564">
        <v>17.440000000000001</v>
      </c>
      <c r="P1564" t="s">
        <v>52</v>
      </c>
    </row>
    <row r="1565" spans="1:16" ht="15" customHeight="1" x14ac:dyDescent="0.4">
      <c r="A1565" t="s">
        <v>15</v>
      </c>
      <c r="B1565" t="s">
        <v>16</v>
      </c>
      <c r="C1565" s="13">
        <v>44562</v>
      </c>
      <c r="D1565" s="13">
        <v>44926</v>
      </c>
      <c r="E1565" t="s">
        <v>17</v>
      </c>
      <c r="F1565">
        <v>11</v>
      </c>
      <c r="G1565" t="s">
        <v>501</v>
      </c>
      <c r="H1565">
        <v>40</v>
      </c>
      <c r="I1565" t="s">
        <v>501</v>
      </c>
      <c r="J1565">
        <v>264</v>
      </c>
      <c r="K1565" t="s">
        <v>3681</v>
      </c>
      <c r="L1565" s="13">
        <v>44673</v>
      </c>
      <c r="M1565" t="s">
        <v>540</v>
      </c>
      <c r="N1565" t="s">
        <v>355</v>
      </c>
      <c r="O1565">
        <v>21.04</v>
      </c>
      <c r="P1565" t="s">
        <v>52</v>
      </c>
    </row>
    <row r="1566" spans="1:16" ht="15" customHeight="1" x14ac:dyDescent="0.4">
      <c r="A1566" t="s">
        <v>15</v>
      </c>
      <c r="B1566" t="s">
        <v>16</v>
      </c>
      <c r="C1566" s="13">
        <v>44562</v>
      </c>
      <c r="D1566" s="13">
        <v>44926</v>
      </c>
      <c r="E1566" t="s">
        <v>17</v>
      </c>
      <c r="F1566">
        <v>11</v>
      </c>
      <c r="G1566" t="s">
        <v>501</v>
      </c>
      <c r="H1566">
        <v>40</v>
      </c>
      <c r="I1566" t="s">
        <v>501</v>
      </c>
      <c r="J1566">
        <v>264</v>
      </c>
      <c r="K1566" t="s">
        <v>3681</v>
      </c>
      <c r="L1566" s="13">
        <v>44703</v>
      </c>
      <c r="M1566" t="s">
        <v>541</v>
      </c>
      <c r="N1566" t="s">
        <v>356</v>
      </c>
      <c r="O1566">
        <v>17.75</v>
      </c>
      <c r="P1566" t="s">
        <v>52</v>
      </c>
    </row>
    <row r="1567" spans="1:16" ht="15" customHeight="1" x14ac:dyDescent="0.4">
      <c r="A1567" t="s">
        <v>15</v>
      </c>
      <c r="B1567" t="s">
        <v>16</v>
      </c>
      <c r="C1567" s="13">
        <v>44562</v>
      </c>
      <c r="D1567" s="13">
        <v>44926</v>
      </c>
      <c r="E1567" t="s">
        <v>17</v>
      </c>
      <c r="F1567">
        <v>11</v>
      </c>
      <c r="G1567" t="s">
        <v>501</v>
      </c>
      <c r="H1567">
        <v>40</v>
      </c>
      <c r="I1567" t="s">
        <v>501</v>
      </c>
      <c r="J1567">
        <v>264</v>
      </c>
      <c r="K1567" t="s">
        <v>3681</v>
      </c>
      <c r="L1567" s="13">
        <v>44734</v>
      </c>
      <c r="M1567" t="s">
        <v>542</v>
      </c>
      <c r="N1567" t="s">
        <v>357</v>
      </c>
      <c r="O1567">
        <v>14.96</v>
      </c>
      <c r="P1567" t="s">
        <v>52</v>
      </c>
    </row>
    <row r="1568" spans="1:16" ht="15" customHeight="1" x14ac:dyDescent="0.4">
      <c r="A1568" t="s">
        <v>15</v>
      </c>
      <c r="B1568" t="s">
        <v>16</v>
      </c>
      <c r="C1568" s="13">
        <v>44562</v>
      </c>
      <c r="D1568" s="13">
        <v>44926</v>
      </c>
      <c r="E1568" t="s">
        <v>17</v>
      </c>
      <c r="F1568">
        <v>11</v>
      </c>
      <c r="G1568" t="s">
        <v>501</v>
      </c>
      <c r="H1568">
        <v>40</v>
      </c>
      <c r="I1568" t="s">
        <v>501</v>
      </c>
      <c r="J1568">
        <v>264</v>
      </c>
      <c r="K1568" t="s">
        <v>3681</v>
      </c>
      <c r="L1568" s="13">
        <v>44764</v>
      </c>
      <c r="M1568" t="s">
        <v>543</v>
      </c>
      <c r="N1568" t="s">
        <v>358</v>
      </c>
      <c r="O1568">
        <v>17.579999999999998</v>
      </c>
      <c r="P1568" t="s">
        <v>52</v>
      </c>
    </row>
    <row r="1569" spans="1:16" ht="15" customHeight="1" x14ac:dyDescent="0.4">
      <c r="A1569" t="s">
        <v>15</v>
      </c>
      <c r="B1569" t="s">
        <v>16</v>
      </c>
      <c r="C1569" s="13">
        <v>44562</v>
      </c>
      <c r="D1569" s="13">
        <v>44926</v>
      </c>
      <c r="E1569" t="s">
        <v>17</v>
      </c>
      <c r="F1569">
        <v>11</v>
      </c>
      <c r="G1569" t="s">
        <v>501</v>
      </c>
      <c r="H1569">
        <v>40</v>
      </c>
      <c r="I1569" t="s">
        <v>501</v>
      </c>
      <c r="J1569">
        <v>264</v>
      </c>
      <c r="K1569" t="s">
        <v>3681</v>
      </c>
      <c r="L1569" s="13">
        <v>44795</v>
      </c>
      <c r="M1569" t="s">
        <v>544</v>
      </c>
      <c r="N1569" t="s">
        <v>359</v>
      </c>
      <c r="O1569">
        <v>18.45</v>
      </c>
      <c r="P1569" t="s">
        <v>52</v>
      </c>
    </row>
    <row r="1570" spans="1:16" ht="15" customHeight="1" x14ac:dyDescent="0.4">
      <c r="A1570" t="s">
        <v>15</v>
      </c>
      <c r="B1570" t="s">
        <v>16</v>
      </c>
      <c r="C1570" s="13">
        <v>44562</v>
      </c>
      <c r="D1570" s="13">
        <v>44926</v>
      </c>
      <c r="E1570" t="s">
        <v>17</v>
      </c>
      <c r="F1570">
        <v>11</v>
      </c>
      <c r="G1570" t="s">
        <v>501</v>
      </c>
      <c r="H1570">
        <v>40</v>
      </c>
      <c r="I1570" t="s">
        <v>501</v>
      </c>
      <c r="J1570">
        <v>264</v>
      </c>
      <c r="K1570" t="s">
        <v>3681</v>
      </c>
      <c r="L1570" s="13">
        <v>44826</v>
      </c>
      <c r="M1570" t="s">
        <v>545</v>
      </c>
      <c r="N1570" t="s">
        <v>360</v>
      </c>
      <c r="O1570">
        <v>16.25</v>
      </c>
      <c r="P1570" t="s">
        <v>52</v>
      </c>
    </row>
    <row r="1571" spans="1:16" ht="15" customHeight="1" x14ac:dyDescent="0.4">
      <c r="A1571" t="s">
        <v>15</v>
      </c>
      <c r="B1571" t="s">
        <v>16</v>
      </c>
      <c r="C1571" s="13">
        <v>44562</v>
      </c>
      <c r="D1571" s="13">
        <v>44926</v>
      </c>
      <c r="E1571" t="s">
        <v>17</v>
      </c>
      <c r="F1571">
        <v>11</v>
      </c>
      <c r="G1571" t="s">
        <v>501</v>
      </c>
      <c r="H1571">
        <v>40</v>
      </c>
      <c r="I1571" t="s">
        <v>501</v>
      </c>
      <c r="J1571">
        <v>264</v>
      </c>
      <c r="K1571" t="s">
        <v>3681</v>
      </c>
      <c r="L1571" s="13">
        <v>44856</v>
      </c>
      <c r="M1571" t="s">
        <v>546</v>
      </c>
      <c r="N1571" t="s">
        <v>361</v>
      </c>
      <c r="O1571">
        <v>18.579999999999998</v>
      </c>
      <c r="P1571" t="s">
        <v>52</v>
      </c>
    </row>
    <row r="1572" spans="1:16" ht="15" customHeight="1" x14ac:dyDescent="0.4">
      <c r="A1572" t="s">
        <v>15</v>
      </c>
      <c r="B1572" t="s">
        <v>16</v>
      </c>
      <c r="C1572" s="13">
        <v>44562</v>
      </c>
      <c r="D1572" s="13">
        <v>44926</v>
      </c>
      <c r="E1572" t="s">
        <v>17</v>
      </c>
      <c r="F1572">
        <v>11</v>
      </c>
      <c r="G1572" t="s">
        <v>501</v>
      </c>
      <c r="H1572">
        <v>40</v>
      </c>
      <c r="I1572" t="s">
        <v>501</v>
      </c>
      <c r="J1572">
        <v>264</v>
      </c>
      <c r="K1572" t="s">
        <v>3681</v>
      </c>
      <c r="L1572" s="13">
        <v>44887</v>
      </c>
      <c r="M1572" t="s">
        <v>547</v>
      </c>
      <c r="N1572" t="s">
        <v>362</v>
      </c>
      <c r="O1572">
        <v>18.739999999999998</v>
      </c>
      <c r="P1572" t="s">
        <v>52</v>
      </c>
    </row>
    <row r="1573" spans="1:16" ht="15" customHeight="1" x14ac:dyDescent="0.4">
      <c r="A1573" t="s">
        <v>15</v>
      </c>
      <c r="B1573" t="s">
        <v>16</v>
      </c>
      <c r="C1573" s="13">
        <v>44562</v>
      </c>
      <c r="D1573" s="13">
        <v>44926</v>
      </c>
      <c r="E1573" t="s">
        <v>17</v>
      </c>
      <c r="F1573">
        <v>11</v>
      </c>
      <c r="G1573" t="s">
        <v>501</v>
      </c>
      <c r="H1573">
        <v>40</v>
      </c>
      <c r="I1573" t="s">
        <v>501</v>
      </c>
      <c r="J1573">
        <v>264</v>
      </c>
      <c r="K1573" t="s">
        <v>3681</v>
      </c>
      <c r="L1573" s="13">
        <v>44917</v>
      </c>
      <c r="M1573" t="s">
        <v>548</v>
      </c>
      <c r="N1573" t="s">
        <v>363</v>
      </c>
      <c r="O1573">
        <v>21.99</v>
      </c>
      <c r="P1573" t="s">
        <v>52</v>
      </c>
    </row>
    <row r="1574" spans="1:16" ht="15" customHeight="1" x14ac:dyDescent="0.4">
      <c r="A1574" t="s">
        <v>15</v>
      </c>
      <c r="B1574" t="s">
        <v>16</v>
      </c>
      <c r="C1574" s="13">
        <v>44562</v>
      </c>
      <c r="D1574" s="13">
        <v>44926</v>
      </c>
      <c r="E1574" t="s">
        <v>17</v>
      </c>
      <c r="F1574">
        <v>11</v>
      </c>
      <c r="G1574" t="s">
        <v>501</v>
      </c>
      <c r="H1574">
        <v>40</v>
      </c>
      <c r="I1574" t="s">
        <v>501</v>
      </c>
      <c r="J1574">
        <v>367</v>
      </c>
      <c r="K1574" t="s">
        <v>503</v>
      </c>
      <c r="L1574" s="13">
        <v>44868</v>
      </c>
      <c r="M1574" t="s">
        <v>504</v>
      </c>
      <c r="N1574" t="s">
        <v>46</v>
      </c>
      <c r="O1574">
        <v>396</v>
      </c>
      <c r="P1574" t="s">
        <v>46</v>
      </c>
    </row>
    <row r="1575" spans="1:16" ht="15" customHeight="1" x14ac:dyDescent="0.4">
      <c r="A1575" t="s">
        <v>15</v>
      </c>
      <c r="B1575" t="s">
        <v>16</v>
      </c>
      <c r="C1575" s="13">
        <v>44562</v>
      </c>
      <c r="D1575" s="13">
        <v>44926</v>
      </c>
      <c r="E1575" t="s">
        <v>17</v>
      </c>
      <c r="F1575">
        <v>11</v>
      </c>
      <c r="G1575" t="s">
        <v>501</v>
      </c>
      <c r="H1575">
        <v>40</v>
      </c>
      <c r="I1575" t="s">
        <v>501</v>
      </c>
      <c r="J1575">
        <v>741</v>
      </c>
      <c r="K1575" t="s">
        <v>505</v>
      </c>
      <c r="L1575" s="13">
        <v>44593</v>
      </c>
      <c r="M1575" t="s">
        <v>506</v>
      </c>
      <c r="N1575" t="s">
        <v>556</v>
      </c>
      <c r="O1575">
        <v>46.78</v>
      </c>
      <c r="P1575" t="s">
        <v>508</v>
      </c>
    </row>
    <row r="1576" spans="1:16" ht="15" customHeight="1" x14ac:dyDescent="0.4">
      <c r="A1576" t="s">
        <v>15</v>
      </c>
      <c r="B1576" t="s">
        <v>16</v>
      </c>
      <c r="C1576" s="13">
        <v>44562</v>
      </c>
      <c r="D1576" s="13">
        <v>44926</v>
      </c>
      <c r="E1576" t="s">
        <v>17</v>
      </c>
      <c r="F1576">
        <v>11</v>
      </c>
      <c r="G1576" t="s">
        <v>501</v>
      </c>
      <c r="H1576">
        <v>40</v>
      </c>
      <c r="I1576" t="s">
        <v>501</v>
      </c>
      <c r="J1576">
        <v>741</v>
      </c>
      <c r="K1576" t="s">
        <v>505</v>
      </c>
      <c r="L1576" s="13">
        <v>44798</v>
      </c>
      <c r="M1576" t="s">
        <v>509</v>
      </c>
      <c r="N1576" t="s">
        <v>557</v>
      </c>
      <c r="O1576">
        <v>46.97</v>
      </c>
      <c r="P1576" t="s">
        <v>508</v>
      </c>
    </row>
    <row r="1577" spans="1:16" ht="15" customHeight="1" x14ac:dyDescent="0.4">
      <c r="A1577" t="s">
        <v>15</v>
      </c>
      <c r="B1577" t="s">
        <v>16</v>
      </c>
      <c r="C1577" s="13">
        <v>44562</v>
      </c>
      <c r="D1577" s="13">
        <v>44926</v>
      </c>
      <c r="E1577" t="s">
        <v>17</v>
      </c>
      <c r="F1577">
        <v>11</v>
      </c>
      <c r="G1577" t="s">
        <v>501</v>
      </c>
      <c r="H1577">
        <v>40</v>
      </c>
      <c r="I1577" t="s">
        <v>501</v>
      </c>
      <c r="J1577">
        <v>801</v>
      </c>
      <c r="K1577" t="s">
        <v>511</v>
      </c>
      <c r="L1577" s="13">
        <v>44562</v>
      </c>
      <c r="M1577" t="s">
        <v>512</v>
      </c>
      <c r="N1577" t="s">
        <v>513</v>
      </c>
      <c r="O1577">
        <v>247.54</v>
      </c>
      <c r="P1577" t="s">
        <v>508</v>
      </c>
    </row>
    <row r="1578" spans="1:16" ht="15" customHeight="1" x14ac:dyDescent="0.4">
      <c r="A1578" t="s">
        <v>15</v>
      </c>
      <c r="B1578" t="s">
        <v>16</v>
      </c>
      <c r="C1578" s="13">
        <v>44562</v>
      </c>
      <c r="D1578" s="13">
        <v>44926</v>
      </c>
      <c r="E1578" t="s">
        <v>17</v>
      </c>
      <c r="F1578">
        <v>11</v>
      </c>
      <c r="G1578" t="s">
        <v>501</v>
      </c>
      <c r="H1578">
        <v>40</v>
      </c>
      <c r="I1578" t="s">
        <v>501</v>
      </c>
      <c r="J1578">
        <v>801</v>
      </c>
      <c r="K1578" t="s">
        <v>511</v>
      </c>
      <c r="L1578" s="13">
        <v>44627</v>
      </c>
      <c r="M1578" t="s">
        <v>514</v>
      </c>
      <c r="N1578" t="s">
        <v>515</v>
      </c>
      <c r="O1578">
        <v>247.54</v>
      </c>
      <c r="P1578" t="s">
        <v>508</v>
      </c>
    </row>
    <row r="1579" spans="1:16" ht="15" customHeight="1" x14ac:dyDescent="0.4">
      <c r="A1579" t="s">
        <v>15</v>
      </c>
      <c r="B1579" t="s">
        <v>16</v>
      </c>
      <c r="C1579" s="13">
        <v>44562</v>
      </c>
      <c r="D1579" s="13">
        <v>44926</v>
      </c>
      <c r="E1579" t="s">
        <v>17</v>
      </c>
      <c r="F1579">
        <v>11</v>
      </c>
      <c r="G1579" t="s">
        <v>501</v>
      </c>
      <c r="H1579">
        <v>40</v>
      </c>
      <c r="I1579" t="s">
        <v>501</v>
      </c>
      <c r="J1579">
        <v>801</v>
      </c>
      <c r="K1579" t="s">
        <v>511</v>
      </c>
      <c r="L1579" s="13">
        <v>44725</v>
      </c>
      <c r="M1579" t="s">
        <v>516</v>
      </c>
      <c r="N1579" t="s">
        <v>517</v>
      </c>
      <c r="O1579">
        <v>247.54</v>
      </c>
      <c r="P1579" t="s">
        <v>508</v>
      </c>
    </row>
    <row r="1580" spans="1:16" ht="15" customHeight="1" x14ac:dyDescent="0.4">
      <c r="A1580" t="s">
        <v>15</v>
      </c>
      <c r="B1580" t="s">
        <v>16</v>
      </c>
      <c r="C1580" s="13">
        <v>44562</v>
      </c>
      <c r="D1580" s="13">
        <v>44926</v>
      </c>
      <c r="E1580" t="s">
        <v>17</v>
      </c>
      <c r="F1580">
        <v>11</v>
      </c>
      <c r="G1580" t="s">
        <v>501</v>
      </c>
      <c r="H1580">
        <v>40</v>
      </c>
      <c r="I1580" t="s">
        <v>501</v>
      </c>
      <c r="J1580">
        <v>801</v>
      </c>
      <c r="K1580" t="s">
        <v>511</v>
      </c>
      <c r="L1580" s="13">
        <v>44809</v>
      </c>
      <c r="M1580" t="s">
        <v>518</v>
      </c>
      <c r="N1580" t="s">
        <v>519</v>
      </c>
      <c r="O1580">
        <v>247.54</v>
      </c>
      <c r="P1580" t="s">
        <v>508</v>
      </c>
    </row>
    <row r="1581" spans="1:16" ht="15" customHeight="1" x14ac:dyDescent="0.4">
      <c r="A1581" t="s">
        <v>15</v>
      </c>
      <c r="B1581" t="s">
        <v>16</v>
      </c>
      <c r="C1581" s="13">
        <v>44562</v>
      </c>
      <c r="D1581" s="13">
        <v>44926</v>
      </c>
      <c r="E1581" t="s">
        <v>17</v>
      </c>
      <c r="F1581">
        <v>12</v>
      </c>
      <c r="G1581" t="s">
        <v>525</v>
      </c>
      <c r="H1581">
        <v>65</v>
      </c>
      <c r="I1581" t="s">
        <v>526</v>
      </c>
      <c r="J1581">
        <v>821</v>
      </c>
      <c r="K1581" t="s">
        <v>527</v>
      </c>
      <c r="L1581" s="13">
        <v>44926</v>
      </c>
      <c r="M1581" t="s">
        <v>558</v>
      </c>
      <c r="N1581" t="s">
        <v>46</v>
      </c>
      <c r="O1581">
        <v>1691.58</v>
      </c>
      <c r="P1581" t="s">
        <v>46</v>
      </c>
    </row>
    <row r="1582" spans="1:16" ht="15" customHeight="1" x14ac:dyDescent="0.4">
      <c r="A1582" t="s">
        <v>15</v>
      </c>
      <c r="B1582" t="s">
        <v>16</v>
      </c>
      <c r="C1582" s="13">
        <v>44562</v>
      </c>
      <c r="D1582" s="13">
        <v>44926</v>
      </c>
      <c r="E1582" t="s">
        <v>17</v>
      </c>
      <c r="F1582">
        <v>12</v>
      </c>
      <c r="G1582" t="s">
        <v>525</v>
      </c>
      <c r="H1582">
        <v>65</v>
      </c>
      <c r="I1582" t="s">
        <v>526</v>
      </c>
      <c r="J1582">
        <v>825</v>
      </c>
      <c r="K1582" t="s">
        <v>534</v>
      </c>
      <c r="L1582" s="13">
        <v>44685</v>
      </c>
      <c r="M1582" t="s">
        <v>554</v>
      </c>
      <c r="N1582" t="s">
        <v>559</v>
      </c>
      <c r="O1582">
        <v>90.2</v>
      </c>
      <c r="P1582" t="s">
        <v>530</v>
      </c>
    </row>
    <row r="1583" spans="1:16" ht="15" customHeight="1" x14ac:dyDescent="0.4">
      <c r="A1583" t="s">
        <v>15</v>
      </c>
      <c r="B1583" t="s">
        <v>16</v>
      </c>
      <c r="C1583" s="13">
        <v>44562</v>
      </c>
      <c r="D1583" s="13">
        <v>44926</v>
      </c>
      <c r="E1583" t="s">
        <v>17</v>
      </c>
      <c r="F1583">
        <v>13</v>
      </c>
      <c r="G1583" t="s">
        <v>560</v>
      </c>
      <c r="H1583">
        <v>50</v>
      </c>
      <c r="I1583" t="s">
        <v>561</v>
      </c>
      <c r="J1583">
        <v>269</v>
      </c>
      <c r="K1583" t="s">
        <v>562</v>
      </c>
      <c r="L1583" s="13">
        <v>44574</v>
      </c>
      <c r="M1583" t="s">
        <v>563</v>
      </c>
      <c r="N1583" t="s">
        <v>564</v>
      </c>
      <c r="O1583">
        <v>602.46</v>
      </c>
      <c r="P1583" t="s">
        <v>565</v>
      </c>
    </row>
    <row r="1584" spans="1:16" ht="15" customHeight="1" x14ac:dyDescent="0.4">
      <c r="A1584" t="s">
        <v>15</v>
      </c>
      <c r="B1584" t="s">
        <v>16</v>
      </c>
      <c r="C1584" s="13">
        <v>44562</v>
      </c>
      <c r="D1584" s="13">
        <v>44926</v>
      </c>
      <c r="E1584" t="s">
        <v>17</v>
      </c>
      <c r="F1584">
        <v>13</v>
      </c>
      <c r="G1584" t="s">
        <v>560</v>
      </c>
      <c r="H1584">
        <v>50</v>
      </c>
      <c r="I1584" t="s">
        <v>561</v>
      </c>
      <c r="J1584">
        <v>269</v>
      </c>
      <c r="K1584" t="s">
        <v>562</v>
      </c>
      <c r="L1584" s="13">
        <v>44608</v>
      </c>
      <c r="M1584" t="s">
        <v>566</v>
      </c>
      <c r="N1584" t="s">
        <v>567</v>
      </c>
      <c r="O1584">
        <v>649.91</v>
      </c>
      <c r="P1584" t="s">
        <v>565</v>
      </c>
    </row>
    <row r="1585" spans="1:16" ht="15" customHeight="1" x14ac:dyDescent="0.4">
      <c r="A1585" t="s">
        <v>15</v>
      </c>
      <c r="B1585" t="s">
        <v>16</v>
      </c>
      <c r="C1585" s="13">
        <v>44562</v>
      </c>
      <c r="D1585" s="13">
        <v>44926</v>
      </c>
      <c r="E1585" t="s">
        <v>17</v>
      </c>
      <c r="F1585">
        <v>13</v>
      </c>
      <c r="G1585" t="s">
        <v>560</v>
      </c>
      <c r="H1585">
        <v>50</v>
      </c>
      <c r="I1585" t="s">
        <v>561</v>
      </c>
      <c r="J1585">
        <v>269</v>
      </c>
      <c r="K1585" t="s">
        <v>562</v>
      </c>
      <c r="L1585" s="13">
        <v>44635</v>
      </c>
      <c r="M1585" t="s">
        <v>568</v>
      </c>
      <c r="N1585" t="s">
        <v>569</v>
      </c>
      <c r="O1585">
        <v>598.27</v>
      </c>
      <c r="P1585" t="s">
        <v>565</v>
      </c>
    </row>
    <row r="1586" spans="1:16" ht="15" customHeight="1" x14ac:dyDescent="0.4">
      <c r="A1586" t="s">
        <v>15</v>
      </c>
      <c r="B1586" t="s">
        <v>16</v>
      </c>
      <c r="C1586" s="13">
        <v>44562</v>
      </c>
      <c r="D1586" s="13">
        <v>44926</v>
      </c>
      <c r="E1586" t="s">
        <v>17</v>
      </c>
      <c r="F1586">
        <v>13</v>
      </c>
      <c r="G1586" t="s">
        <v>560</v>
      </c>
      <c r="H1586">
        <v>50</v>
      </c>
      <c r="I1586" t="s">
        <v>561</v>
      </c>
      <c r="J1586">
        <v>269</v>
      </c>
      <c r="K1586" t="s">
        <v>562</v>
      </c>
      <c r="L1586" s="13">
        <v>44665</v>
      </c>
      <c r="M1586" t="s">
        <v>570</v>
      </c>
      <c r="N1586" t="s">
        <v>571</v>
      </c>
      <c r="O1586">
        <v>529.9</v>
      </c>
      <c r="P1586" t="s">
        <v>565</v>
      </c>
    </row>
    <row r="1587" spans="1:16" ht="15" customHeight="1" x14ac:dyDescent="0.4">
      <c r="A1587" t="s">
        <v>15</v>
      </c>
      <c r="B1587" t="s">
        <v>16</v>
      </c>
      <c r="C1587" s="13">
        <v>44562</v>
      </c>
      <c r="D1587" s="13">
        <v>44926</v>
      </c>
      <c r="E1587" t="s">
        <v>17</v>
      </c>
      <c r="F1587">
        <v>13</v>
      </c>
      <c r="G1587" t="s">
        <v>560</v>
      </c>
      <c r="H1587">
        <v>50</v>
      </c>
      <c r="I1587" t="s">
        <v>561</v>
      </c>
      <c r="J1587">
        <v>269</v>
      </c>
      <c r="K1587" t="s">
        <v>562</v>
      </c>
      <c r="L1587" s="13">
        <v>44695</v>
      </c>
      <c r="M1587" t="s">
        <v>572</v>
      </c>
      <c r="N1587" t="s">
        <v>573</v>
      </c>
      <c r="O1587">
        <v>304.01</v>
      </c>
      <c r="P1587" t="s">
        <v>565</v>
      </c>
    </row>
    <row r="1588" spans="1:16" ht="15" customHeight="1" x14ac:dyDescent="0.4">
      <c r="A1588" t="s">
        <v>15</v>
      </c>
      <c r="B1588" t="s">
        <v>16</v>
      </c>
      <c r="C1588" s="13">
        <v>44562</v>
      </c>
      <c r="D1588" s="13">
        <v>44926</v>
      </c>
      <c r="E1588" t="s">
        <v>17</v>
      </c>
      <c r="F1588">
        <v>13</v>
      </c>
      <c r="G1588" t="s">
        <v>560</v>
      </c>
      <c r="H1588">
        <v>50</v>
      </c>
      <c r="I1588" t="s">
        <v>561</v>
      </c>
      <c r="J1588">
        <v>269</v>
      </c>
      <c r="K1588" t="s">
        <v>562</v>
      </c>
      <c r="L1588" s="13">
        <v>44727</v>
      </c>
      <c r="M1588" t="s">
        <v>574</v>
      </c>
      <c r="N1588" t="s">
        <v>575</v>
      </c>
      <c r="O1588">
        <v>273.55</v>
      </c>
      <c r="P1588" t="s">
        <v>565</v>
      </c>
    </row>
    <row r="1589" spans="1:16" ht="15" customHeight="1" x14ac:dyDescent="0.4">
      <c r="A1589" t="s">
        <v>15</v>
      </c>
      <c r="B1589" t="s">
        <v>16</v>
      </c>
      <c r="C1589" s="13">
        <v>44562</v>
      </c>
      <c r="D1589" s="13">
        <v>44926</v>
      </c>
      <c r="E1589" t="s">
        <v>17</v>
      </c>
      <c r="F1589">
        <v>13</v>
      </c>
      <c r="G1589" t="s">
        <v>560</v>
      </c>
      <c r="H1589">
        <v>50</v>
      </c>
      <c r="I1589" t="s">
        <v>561</v>
      </c>
      <c r="J1589">
        <v>269</v>
      </c>
      <c r="K1589" t="s">
        <v>562</v>
      </c>
      <c r="L1589" s="13">
        <v>44756</v>
      </c>
      <c r="M1589" t="s">
        <v>576</v>
      </c>
      <c r="N1589" t="s">
        <v>577</v>
      </c>
      <c r="O1589">
        <v>259.55</v>
      </c>
      <c r="P1589" t="s">
        <v>565</v>
      </c>
    </row>
    <row r="1590" spans="1:16" ht="15" customHeight="1" x14ac:dyDescent="0.4">
      <c r="A1590" t="s">
        <v>15</v>
      </c>
      <c r="B1590" t="s">
        <v>16</v>
      </c>
      <c r="C1590" s="13">
        <v>44562</v>
      </c>
      <c r="D1590" s="13">
        <v>44926</v>
      </c>
      <c r="E1590" t="s">
        <v>17</v>
      </c>
      <c r="F1590">
        <v>13</v>
      </c>
      <c r="G1590" t="s">
        <v>560</v>
      </c>
      <c r="H1590">
        <v>50</v>
      </c>
      <c r="I1590" t="s">
        <v>561</v>
      </c>
      <c r="J1590">
        <v>269</v>
      </c>
      <c r="K1590" t="s">
        <v>562</v>
      </c>
      <c r="L1590" s="13">
        <v>44789</v>
      </c>
      <c r="M1590" t="s">
        <v>578</v>
      </c>
      <c r="N1590" t="s">
        <v>579</v>
      </c>
      <c r="O1590">
        <v>264.62</v>
      </c>
      <c r="P1590" t="s">
        <v>565</v>
      </c>
    </row>
    <row r="1591" spans="1:16" ht="15" customHeight="1" x14ac:dyDescent="0.4">
      <c r="A1591" t="s">
        <v>15</v>
      </c>
      <c r="B1591" t="s">
        <v>16</v>
      </c>
      <c r="C1591" s="13">
        <v>44562</v>
      </c>
      <c r="D1591" s="13">
        <v>44926</v>
      </c>
      <c r="E1591" t="s">
        <v>17</v>
      </c>
      <c r="F1591">
        <v>13</v>
      </c>
      <c r="G1591" t="s">
        <v>560</v>
      </c>
      <c r="H1591">
        <v>50</v>
      </c>
      <c r="I1591" t="s">
        <v>561</v>
      </c>
      <c r="J1591">
        <v>269</v>
      </c>
      <c r="K1591" t="s">
        <v>562</v>
      </c>
      <c r="L1591" s="13">
        <v>44818</v>
      </c>
      <c r="M1591" t="s">
        <v>580</v>
      </c>
      <c r="N1591" t="s">
        <v>581</v>
      </c>
      <c r="O1591">
        <v>270.67</v>
      </c>
      <c r="P1591" t="s">
        <v>565</v>
      </c>
    </row>
    <row r="1592" spans="1:16" ht="15" customHeight="1" x14ac:dyDescent="0.4">
      <c r="A1592" t="s">
        <v>15</v>
      </c>
      <c r="B1592" t="s">
        <v>16</v>
      </c>
      <c r="C1592" s="13">
        <v>44562</v>
      </c>
      <c r="D1592" s="13">
        <v>44926</v>
      </c>
      <c r="E1592" t="s">
        <v>17</v>
      </c>
      <c r="F1592">
        <v>13</v>
      </c>
      <c r="G1592" t="s">
        <v>560</v>
      </c>
      <c r="H1592">
        <v>50</v>
      </c>
      <c r="I1592" t="s">
        <v>561</v>
      </c>
      <c r="J1592">
        <v>269</v>
      </c>
      <c r="K1592" t="s">
        <v>562</v>
      </c>
      <c r="L1592" s="13">
        <v>44848</v>
      </c>
      <c r="M1592" t="s">
        <v>582</v>
      </c>
      <c r="N1592" t="s">
        <v>583</v>
      </c>
      <c r="O1592">
        <v>284.64999999999998</v>
      </c>
      <c r="P1592" t="s">
        <v>565</v>
      </c>
    </row>
    <row r="1593" spans="1:16" ht="15" customHeight="1" x14ac:dyDescent="0.4">
      <c r="A1593" t="s">
        <v>15</v>
      </c>
      <c r="B1593" t="s">
        <v>16</v>
      </c>
      <c r="C1593" s="13">
        <v>44562</v>
      </c>
      <c r="D1593" s="13">
        <v>44926</v>
      </c>
      <c r="E1593" t="s">
        <v>17</v>
      </c>
      <c r="F1593">
        <v>13</v>
      </c>
      <c r="G1593" t="s">
        <v>560</v>
      </c>
      <c r="H1593">
        <v>50</v>
      </c>
      <c r="I1593" t="s">
        <v>561</v>
      </c>
      <c r="J1593">
        <v>269</v>
      </c>
      <c r="K1593" t="s">
        <v>562</v>
      </c>
      <c r="L1593" s="13">
        <v>44883</v>
      </c>
      <c r="M1593" t="s">
        <v>584</v>
      </c>
      <c r="N1593" t="s">
        <v>585</v>
      </c>
      <c r="O1593">
        <v>400.62</v>
      </c>
      <c r="P1593" t="s">
        <v>565</v>
      </c>
    </row>
    <row r="1594" spans="1:16" ht="15" customHeight="1" x14ac:dyDescent="0.4">
      <c r="A1594" t="s">
        <v>15</v>
      </c>
      <c r="B1594" t="s">
        <v>16</v>
      </c>
      <c r="C1594" s="13">
        <v>44562</v>
      </c>
      <c r="D1594" s="13">
        <v>44926</v>
      </c>
      <c r="E1594" t="s">
        <v>17</v>
      </c>
      <c r="F1594">
        <v>13</v>
      </c>
      <c r="G1594" t="s">
        <v>560</v>
      </c>
      <c r="H1594">
        <v>50</v>
      </c>
      <c r="I1594" t="s">
        <v>561</v>
      </c>
      <c r="J1594">
        <v>269</v>
      </c>
      <c r="K1594" t="s">
        <v>562</v>
      </c>
      <c r="L1594" s="13">
        <v>44909</v>
      </c>
      <c r="M1594" t="s">
        <v>586</v>
      </c>
      <c r="N1594" t="s">
        <v>587</v>
      </c>
      <c r="O1594">
        <v>613.37</v>
      </c>
      <c r="P1594" t="s">
        <v>565</v>
      </c>
    </row>
    <row r="1595" spans="1:16" ht="15" customHeight="1" x14ac:dyDescent="0.4">
      <c r="A1595" t="s">
        <v>15</v>
      </c>
      <c r="B1595" t="s">
        <v>16</v>
      </c>
      <c r="C1595" s="13">
        <v>44562</v>
      </c>
      <c r="D1595" s="13">
        <v>44926</v>
      </c>
      <c r="E1595" t="s">
        <v>17</v>
      </c>
      <c r="F1595">
        <v>13</v>
      </c>
      <c r="G1595" t="s">
        <v>560</v>
      </c>
      <c r="H1595">
        <v>50</v>
      </c>
      <c r="I1595" t="s">
        <v>561</v>
      </c>
      <c r="J1595">
        <v>286</v>
      </c>
      <c r="K1595" t="s">
        <v>588</v>
      </c>
      <c r="L1595" s="13">
        <v>44926</v>
      </c>
      <c r="M1595" t="s">
        <v>589</v>
      </c>
      <c r="N1595" t="s">
        <v>86</v>
      </c>
      <c r="O1595">
        <v>1277.8699999999999</v>
      </c>
      <c r="P1595" t="s">
        <v>46</v>
      </c>
    </row>
    <row r="1596" spans="1:16" ht="15" customHeight="1" x14ac:dyDescent="0.4">
      <c r="A1596" t="s">
        <v>15</v>
      </c>
      <c r="B1596" t="s">
        <v>16</v>
      </c>
      <c r="C1596" s="13">
        <v>44562</v>
      </c>
      <c r="D1596" s="13">
        <v>44926</v>
      </c>
      <c r="E1596" t="s">
        <v>17</v>
      </c>
      <c r="F1596">
        <v>14</v>
      </c>
      <c r="G1596" t="s">
        <v>560</v>
      </c>
      <c r="H1596">
        <v>50</v>
      </c>
      <c r="I1596" t="s">
        <v>561</v>
      </c>
      <c r="J1596">
        <v>269</v>
      </c>
      <c r="K1596" t="s">
        <v>562</v>
      </c>
      <c r="L1596" s="13">
        <v>44575</v>
      </c>
      <c r="M1596" t="s">
        <v>590</v>
      </c>
      <c r="N1596" t="s">
        <v>591</v>
      </c>
      <c r="O1596">
        <v>634.73</v>
      </c>
      <c r="P1596" t="s">
        <v>565</v>
      </c>
    </row>
    <row r="1597" spans="1:16" ht="15" customHeight="1" x14ac:dyDescent="0.4">
      <c r="A1597" t="s">
        <v>15</v>
      </c>
      <c r="B1597" t="s">
        <v>16</v>
      </c>
      <c r="C1597" s="13">
        <v>44562</v>
      </c>
      <c r="D1597" s="13">
        <v>44926</v>
      </c>
      <c r="E1597" t="s">
        <v>17</v>
      </c>
      <c r="F1597">
        <v>14</v>
      </c>
      <c r="G1597" t="s">
        <v>560</v>
      </c>
      <c r="H1597">
        <v>50</v>
      </c>
      <c r="I1597" t="s">
        <v>561</v>
      </c>
      <c r="J1597">
        <v>269</v>
      </c>
      <c r="K1597" t="s">
        <v>562</v>
      </c>
      <c r="L1597" s="13">
        <v>44613</v>
      </c>
      <c r="M1597" t="s">
        <v>592</v>
      </c>
      <c r="N1597" t="s">
        <v>593</v>
      </c>
      <c r="O1597">
        <v>716.73</v>
      </c>
      <c r="P1597" t="s">
        <v>565</v>
      </c>
    </row>
    <row r="1598" spans="1:16" ht="15" customHeight="1" x14ac:dyDescent="0.4">
      <c r="A1598" t="s">
        <v>15</v>
      </c>
      <c r="B1598" t="s">
        <v>16</v>
      </c>
      <c r="C1598" s="13">
        <v>44562</v>
      </c>
      <c r="D1598" s="13">
        <v>44926</v>
      </c>
      <c r="E1598" t="s">
        <v>17</v>
      </c>
      <c r="F1598">
        <v>14</v>
      </c>
      <c r="G1598" t="s">
        <v>560</v>
      </c>
      <c r="H1598">
        <v>50</v>
      </c>
      <c r="I1598" t="s">
        <v>561</v>
      </c>
      <c r="J1598">
        <v>269</v>
      </c>
      <c r="K1598" t="s">
        <v>562</v>
      </c>
      <c r="L1598" s="13">
        <v>44636</v>
      </c>
      <c r="M1598" t="s">
        <v>594</v>
      </c>
      <c r="N1598" t="s">
        <v>595</v>
      </c>
      <c r="O1598">
        <v>588.63</v>
      </c>
      <c r="P1598" t="s">
        <v>565</v>
      </c>
    </row>
    <row r="1599" spans="1:16" ht="15" customHeight="1" x14ac:dyDescent="0.4">
      <c r="A1599" t="s">
        <v>15</v>
      </c>
      <c r="B1599" t="s">
        <v>16</v>
      </c>
      <c r="C1599" s="13">
        <v>44562</v>
      </c>
      <c r="D1599" s="13">
        <v>44926</v>
      </c>
      <c r="E1599" t="s">
        <v>17</v>
      </c>
      <c r="F1599">
        <v>14</v>
      </c>
      <c r="G1599" t="s">
        <v>560</v>
      </c>
      <c r="H1599">
        <v>50</v>
      </c>
      <c r="I1599" t="s">
        <v>561</v>
      </c>
      <c r="J1599">
        <v>269</v>
      </c>
      <c r="K1599" t="s">
        <v>562</v>
      </c>
      <c r="L1599" s="13">
        <v>44672</v>
      </c>
      <c r="M1599" t="s">
        <v>596</v>
      </c>
      <c r="N1599" t="s">
        <v>46</v>
      </c>
      <c r="O1599">
        <v>506.42</v>
      </c>
      <c r="P1599" t="s">
        <v>46</v>
      </c>
    </row>
    <row r="1600" spans="1:16" ht="15" customHeight="1" x14ac:dyDescent="0.4">
      <c r="A1600" t="s">
        <v>15</v>
      </c>
      <c r="B1600" t="s">
        <v>16</v>
      </c>
      <c r="C1600" s="13">
        <v>44562</v>
      </c>
      <c r="D1600" s="13">
        <v>44926</v>
      </c>
      <c r="E1600" t="s">
        <v>17</v>
      </c>
      <c r="F1600">
        <v>14</v>
      </c>
      <c r="G1600" t="s">
        <v>560</v>
      </c>
      <c r="H1600">
        <v>50</v>
      </c>
      <c r="I1600" t="s">
        <v>561</v>
      </c>
      <c r="J1600">
        <v>269</v>
      </c>
      <c r="K1600" t="s">
        <v>562</v>
      </c>
      <c r="L1600" s="13">
        <v>44697</v>
      </c>
      <c r="M1600" t="s">
        <v>597</v>
      </c>
      <c r="N1600" t="s">
        <v>598</v>
      </c>
      <c r="O1600">
        <v>249.77</v>
      </c>
      <c r="P1600" t="s">
        <v>565</v>
      </c>
    </row>
    <row r="1601" spans="1:16" ht="15" customHeight="1" x14ac:dyDescent="0.4">
      <c r="A1601" t="s">
        <v>15</v>
      </c>
      <c r="B1601" t="s">
        <v>16</v>
      </c>
      <c r="C1601" s="13">
        <v>44562</v>
      </c>
      <c r="D1601" s="13">
        <v>44926</v>
      </c>
      <c r="E1601" t="s">
        <v>17</v>
      </c>
      <c r="F1601">
        <v>14</v>
      </c>
      <c r="G1601" t="s">
        <v>560</v>
      </c>
      <c r="H1601">
        <v>50</v>
      </c>
      <c r="I1601" t="s">
        <v>561</v>
      </c>
      <c r="J1601">
        <v>269</v>
      </c>
      <c r="K1601" t="s">
        <v>562</v>
      </c>
      <c r="L1601" s="13">
        <v>44727</v>
      </c>
      <c r="M1601" t="s">
        <v>599</v>
      </c>
      <c r="N1601" t="s">
        <v>600</v>
      </c>
      <c r="O1601">
        <v>227.64</v>
      </c>
      <c r="P1601" t="s">
        <v>565</v>
      </c>
    </row>
    <row r="1602" spans="1:16" ht="15" customHeight="1" x14ac:dyDescent="0.4">
      <c r="A1602" t="s">
        <v>15</v>
      </c>
      <c r="B1602" t="s">
        <v>16</v>
      </c>
      <c r="C1602" s="13">
        <v>44562</v>
      </c>
      <c r="D1602" s="13">
        <v>44926</v>
      </c>
      <c r="E1602" t="s">
        <v>17</v>
      </c>
      <c r="F1602">
        <v>14</v>
      </c>
      <c r="G1602" t="s">
        <v>560</v>
      </c>
      <c r="H1602">
        <v>50</v>
      </c>
      <c r="I1602" t="s">
        <v>561</v>
      </c>
      <c r="J1602">
        <v>269</v>
      </c>
      <c r="K1602" t="s">
        <v>562</v>
      </c>
      <c r="L1602" s="13">
        <v>44756</v>
      </c>
      <c r="M1602" t="s">
        <v>601</v>
      </c>
      <c r="N1602" t="s">
        <v>602</v>
      </c>
      <c r="O1602">
        <v>203.93</v>
      </c>
      <c r="P1602" t="s">
        <v>565</v>
      </c>
    </row>
    <row r="1603" spans="1:16" ht="15" customHeight="1" x14ac:dyDescent="0.4">
      <c r="A1603" t="s">
        <v>15</v>
      </c>
      <c r="B1603" t="s">
        <v>16</v>
      </c>
      <c r="C1603" s="13">
        <v>44562</v>
      </c>
      <c r="D1603" s="13">
        <v>44926</v>
      </c>
      <c r="E1603" t="s">
        <v>17</v>
      </c>
      <c r="F1603">
        <v>14</v>
      </c>
      <c r="G1603" t="s">
        <v>560</v>
      </c>
      <c r="H1603">
        <v>50</v>
      </c>
      <c r="I1603" t="s">
        <v>561</v>
      </c>
      <c r="J1603">
        <v>269</v>
      </c>
      <c r="K1603" t="s">
        <v>562</v>
      </c>
      <c r="L1603" s="13">
        <v>44791</v>
      </c>
      <c r="M1603" t="s">
        <v>603</v>
      </c>
      <c r="N1603" t="s">
        <v>604</v>
      </c>
      <c r="O1603">
        <v>205.01</v>
      </c>
      <c r="P1603" t="s">
        <v>565</v>
      </c>
    </row>
    <row r="1604" spans="1:16" ht="15" customHeight="1" x14ac:dyDescent="0.4">
      <c r="A1604" t="s">
        <v>15</v>
      </c>
      <c r="B1604" t="s">
        <v>16</v>
      </c>
      <c r="C1604" s="13">
        <v>44562</v>
      </c>
      <c r="D1604" s="13">
        <v>44926</v>
      </c>
      <c r="E1604" t="s">
        <v>17</v>
      </c>
      <c r="F1604">
        <v>14</v>
      </c>
      <c r="G1604" t="s">
        <v>560</v>
      </c>
      <c r="H1604">
        <v>50</v>
      </c>
      <c r="I1604" t="s">
        <v>561</v>
      </c>
      <c r="J1604">
        <v>269</v>
      </c>
      <c r="K1604" t="s">
        <v>562</v>
      </c>
      <c r="L1604" s="13">
        <v>44818</v>
      </c>
      <c r="M1604" t="s">
        <v>605</v>
      </c>
      <c r="N1604" t="s">
        <v>606</v>
      </c>
      <c r="O1604">
        <v>214.39</v>
      </c>
      <c r="P1604" t="s">
        <v>565</v>
      </c>
    </row>
    <row r="1605" spans="1:16" ht="15" customHeight="1" x14ac:dyDescent="0.4">
      <c r="A1605" t="s">
        <v>15</v>
      </c>
      <c r="B1605" t="s">
        <v>16</v>
      </c>
      <c r="C1605" s="13">
        <v>44562</v>
      </c>
      <c r="D1605" s="13">
        <v>44926</v>
      </c>
      <c r="E1605" t="s">
        <v>17</v>
      </c>
      <c r="F1605">
        <v>14</v>
      </c>
      <c r="G1605" t="s">
        <v>560</v>
      </c>
      <c r="H1605">
        <v>50</v>
      </c>
      <c r="I1605" t="s">
        <v>561</v>
      </c>
      <c r="J1605">
        <v>269</v>
      </c>
      <c r="K1605" t="s">
        <v>562</v>
      </c>
      <c r="L1605" s="13">
        <v>44848</v>
      </c>
      <c r="M1605" t="s">
        <v>607</v>
      </c>
      <c r="N1605" t="s">
        <v>608</v>
      </c>
      <c r="O1605">
        <v>236.6</v>
      </c>
      <c r="P1605" t="s">
        <v>565</v>
      </c>
    </row>
    <row r="1606" spans="1:16" ht="15" customHeight="1" x14ac:dyDescent="0.4">
      <c r="A1606" t="s">
        <v>15</v>
      </c>
      <c r="B1606" t="s">
        <v>16</v>
      </c>
      <c r="C1606" s="13">
        <v>44562</v>
      </c>
      <c r="D1606" s="13">
        <v>44926</v>
      </c>
      <c r="E1606" t="s">
        <v>17</v>
      </c>
      <c r="F1606">
        <v>14</v>
      </c>
      <c r="G1606" t="s">
        <v>560</v>
      </c>
      <c r="H1606">
        <v>50</v>
      </c>
      <c r="I1606" t="s">
        <v>561</v>
      </c>
      <c r="J1606">
        <v>269</v>
      </c>
      <c r="K1606" t="s">
        <v>562</v>
      </c>
      <c r="L1606" s="13">
        <v>44884</v>
      </c>
      <c r="M1606" t="s">
        <v>609</v>
      </c>
      <c r="N1606" t="s">
        <v>610</v>
      </c>
      <c r="O1606">
        <v>359.85</v>
      </c>
      <c r="P1606" t="s">
        <v>565</v>
      </c>
    </row>
    <row r="1607" spans="1:16" ht="15" customHeight="1" x14ac:dyDescent="0.4">
      <c r="A1607" t="s">
        <v>15</v>
      </c>
      <c r="B1607" t="s">
        <v>16</v>
      </c>
      <c r="C1607" s="13">
        <v>44562</v>
      </c>
      <c r="D1607" s="13">
        <v>44926</v>
      </c>
      <c r="E1607" t="s">
        <v>17</v>
      </c>
      <c r="F1607">
        <v>14</v>
      </c>
      <c r="G1607" t="s">
        <v>560</v>
      </c>
      <c r="H1607">
        <v>50</v>
      </c>
      <c r="I1607" t="s">
        <v>561</v>
      </c>
      <c r="J1607">
        <v>269</v>
      </c>
      <c r="K1607" t="s">
        <v>562</v>
      </c>
      <c r="L1607" s="13">
        <v>44910</v>
      </c>
      <c r="M1607" t="s">
        <v>611</v>
      </c>
      <c r="N1607" t="s">
        <v>612</v>
      </c>
      <c r="O1607">
        <v>620.01</v>
      </c>
      <c r="P1607" t="s">
        <v>565</v>
      </c>
    </row>
    <row r="1608" spans="1:16" ht="15" customHeight="1" x14ac:dyDescent="0.4">
      <c r="A1608" t="s">
        <v>15</v>
      </c>
      <c r="B1608" t="s">
        <v>16</v>
      </c>
      <c r="C1608" s="13">
        <v>44562</v>
      </c>
      <c r="D1608" s="13">
        <v>44926</v>
      </c>
      <c r="E1608" t="s">
        <v>17</v>
      </c>
      <c r="F1608">
        <v>14</v>
      </c>
      <c r="G1608" t="s">
        <v>560</v>
      </c>
      <c r="H1608">
        <v>50</v>
      </c>
      <c r="I1608" t="s">
        <v>561</v>
      </c>
      <c r="J1608">
        <v>286</v>
      </c>
      <c r="K1608" t="s">
        <v>588</v>
      </c>
      <c r="L1608" s="13">
        <v>44926</v>
      </c>
      <c r="M1608" t="s">
        <v>613</v>
      </c>
      <c r="N1608" t="s">
        <v>86</v>
      </c>
      <c r="O1608">
        <v>1302.8399999999999</v>
      </c>
      <c r="P1608" t="s">
        <v>46</v>
      </c>
    </row>
    <row r="1609" spans="1:16" ht="15" customHeight="1" x14ac:dyDescent="0.4">
      <c r="A1609" t="s">
        <v>15</v>
      </c>
      <c r="B1609" t="s">
        <v>16</v>
      </c>
      <c r="C1609" s="13">
        <v>44562</v>
      </c>
      <c r="D1609" s="13">
        <v>44926</v>
      </c>
      <c r="E1609" t="s">
        <v>17</v>
      </c>
      <c r="F1609">
        <v>15</v>
      </c>
      <c r="G1609" t="s">
        <v>560</v>
      </c>
      <c r="H1609">
        <v>50</v>
      </c>
      <c r="I1609" t="s">
        <v>561</v>
      </c>
      <c r="J1609">
        <v>269</v>
      </c>
      <c r="K1609" t="s">
        <v>562</v>
      </c>
      <c r="L1609" s="13">
        <v>44575</v>
      </c>
      <c r="M1609" t="s">
        <v>590</v>
      </c>
      <c r="N1609" t="s">
        <v>591</v>
      </c>
      <c r="O1609">
        <v>634.74</v>
      </c>
      <c r="P1609" t="s">
        <v>565</v>
      </c>
    </row>
    <row r="1610" spans="1:16" ht="15" customHeight="1" x14ac:dyDescent="0.4">
      <c r="A1610" t="s">
        <v>15</v>
      </c>
      <c r="B1610" t="s">
        <v>16</v>
      </c>
      <c r="C1610" s="13">
        <v>44562</v>
      </c>
      <c r="D1610" s="13">
        <v>44926</v>
      </c>
      <c r="E1610" t="s">
        <v>17</v>
      </c>
      <c r="F1610">
        <v>15</v>
      </c>
      <c r="G1610" t="s">
        <v>560</v>
      </c>
      <c r="H1610">
        <v>50</v>
      </c>
      <c r="I1610" t="s">
        <v>561</v>
      </c>
      <c r="J1610">
        <v>269</v>
      </c>
      <c r="K1610" t="s">
        <v>562</v>
      </c>
      <c r="L1610" s="13">
        <v>44613</v>
      </c>
      <c r="M1610" t="s">
        <v>592</v>
      </c>
      <c r="N1610" t="s">
        <v>593</v>
      </c>
      <c r="O1610">
        <v>716.74</v>
      </c>
      <c r="P1610" t="s">
        <v>565</v>
      </c>
    </row>
    <row r="1611" spans="1:16" ht="15" customHeight="1" x14ac:dyDescent="0.4">
      <c r="A1611" t="s">
        <v>15</v>
      </c>
      <c r="B1611" t="s">
        <v>16</v>
      </c>
      <c r="C1611" s="13">
        <v>44562</v>
      </c>
      <c r="D1611" s="13">
        <v>44926</v>
      </c>
      <c r="E1611" t="s">
        <v>17</v>
      </c>
      <c r="F1611">
        <v>15</v>
      </c>
      <c r="G1611" t="s">
        <v>560</v>
      </c>
      <c r="H1611">
        <v>50</v>
      </c>
      <c r="I1611" t="s">
        <v>561</v>
      </c>
      <c r="J1611">
        <v>269</v>
      </c>
      <c r="K1611" t="s">
        <v>562</v>
      </c>
      <c r="L1611" s="13">
        <v>44636</v>
      </c>
      <c r="M1611" t="s">
        <v>594</v>
      </c>
      <c r="N1611" t="s">
        <v>595</v>
      </c>
      <c r="O1611">
        <v>588.63</v>
      </c>
      <c r="P1611" t="s">
        <v>565</v>
      </c>
    </row>
    <row r="1612" spans="1:16" ht="15" customHeight="1" x14ac:dyDescent="0.4">
      <c r="A1612" t="s">
        <v>15</v>
      </c>
      <c r="B1612" t="s">
        <v>16</v>
      </c>
      <c r="C1612" s="13">
        <v>44562</v>
      </c>
      <c r="D1612" s="13">
        <v>44926</v>
      </c>
      <c r="E1612" t="s">
        <v>17</v>
      </c>
      <c r="F1612">
        <v>15</v>
      </c>
      <c r="G1612" t="s">
        <v>560</v>
      </c>
      <c r="H1612">
        <v>50</v>
      </c>
      <c r="I1612" t="s">
        <v>561</v>
      </c>
      <c r="J1612">
        <v>269</v>
      </c>
      <c r="K1612" t="s">
        <v>562</v>
      </c>
      <c r="L1612" s="13">
        <v>44672</v>
      </c>
      <c r="M1612" t="s">
        <v>596</v>
      </c>
      <c r="N1612" t="s">
        <v>46</v>
      </c>
      <c r="O1612">
        <v>506.42</v>
      </c>
      <c r="P1612" t="s">
        <v>46</v>
      </c>
    </row>
    <row r="1613" spans="1:16" ht="15" customHeight="1" x14ac:dyDescent="0.4">
      <c r="A1613" t="s">
        <v>15</v>
      </c>
      <c r="B1613" t="s">
        <v>16</v>
      </c>
      <c r="C1613" s="13">
        <v>44562</v>
      </c>
      <c r="D1613" s="13">
        <v>44926</v>
      </c>
      <c r="E1613" t="s">
        <v>17</v>
      </c>
      <c r="F1613">
        <v>15</v>
      </c>
      <c r="G1613" t="s">
        <v>560</v>
      </c>
      <c r="H1613">
        <v>50</v>
      </c>
      <c r="I1613" t="s">
        <v>561</v>
      </c>
      <c r="J1613">
        <v>269</v>
      </c>
      <c r="K1613" t="s">
        <v>562</v>
      </c>
      <c r="L1613" s="13">
        <v>44697</v>
      </c>
      <c r="M1613" t="s">
        <v>597</v>
      </c>
      <c r="N1613" t="s">
        <v>598</v>
      </c>
      <c r="O1613">
        <v>249.78</v>
      </c>
      <c r="P1613" t="s">
        <v>565</v>
      </c>
    </row>
    <row r="1614" spans="1:16" ht="15" customHeight="1" x14ac:dyDescent="0.4">
      <c r="A1614" t="s">
        <v>15</v>
      </c>
      <c r="B1614" t="s">
        <v>16</v>
      </c>
      <c r="C1614" s="13">
        <v>44562</v>
      </c>
      <c r="D1614" s="13">
        <v>44926</v>
      </c>
      <c r="E1614" t="s">
        <v>17</v>
      </c>
      <c r="F1614">
        <v>15</v>
      </c>
      <c r="G1614" t="s">
        <v>560</v>
      </c>
      <c r="H1614">
        <v>50</v>
      </c>
      <c r="I1614" t="s">
        <v>561</v>
      </c>
      <c r="J1614">
        <v>269</v>
      </c>
      <c r="K1614" t="s">
        <v>562</v>
      </c>
      <c r="L1614" s="13">
        <v>44727</v>
      </c>
      <c r="M1614" t="s">
        <v>599</v>
      </c>
      <c r="N1614" t="s">
        <v>600</v>
      </c>
      <c r="O1614">
        <v>227.64</v>
      </c>
      <c r="P1614" t="s">
        <v>565</v>
      </c>
    </row>
    <row r="1615" spans="1:16" ht="15" customHeight="1" x14ac:dyDescent="0.4">
      <c r="A1615" t="s">
        <v>15</v>
      </c>
      <c r="B1615" t="s">
        <v>16</v>
      </c>
      <c r="C1615" s="13">
        <v>44562</v>
      </c>
      <c r="D1615" s="13">
        <v>44926</v>
      </c>
      <c r="E1615" t="s">
        <v>17</v>
      </c>
      <c r="F1615">
        <v>15</v>
      </c>
      <c r="G1615" t="s">
        <v>560</v>
      </c>
      <c r="H1615">
        <v>50</v>
      </c>
      <c r="I1615" t="s">
        <v>561</v>
      </c>
      <c r="J1615">
        <v>269</v>
      </c>
      <c r="K1615" t="s">
        <v>562</v>
      </c>
      <c r="L1615" s="13">
        <v>44756</v>
      </c>
      <c r="M1615" t="s">
        <v>601</v>
      </c>
      <c r="N1615" t="s">
        <v>602</v>
      </c>
      <c r="O1615">
        <v>203.93</v>
      </c>
      <c r="P1615" t="s">
        <v>565</v>
      </c>
    </row>
    <row r="1616" spans="1:16" ht="15" customHeight="1" x14ac:dyDescent="0.4">
      <c r="A1616" t="s">
        <v>15</v>
      </c>
      <c r="B1616" t="s">
        <v>16</v>
      </c>
      <c r="C1616" s="13">
        <v>44562</v>
      </c>
      <c r="D1616" s="13">
        <v>44926</v>
      </c>
      <c r="E1616" t="s">
        <v>17</v>
      </c>
      <c r="F1616">
        <v>15</v>
      </c>
      <c r="G1616" t="s">
        <v>560</v>
      </c>
      <c r="H1616">
        <v>50</v>
      </c>
      <c r="I1616" t="s">
        <v>561</v>
      </c>
      <c r="J1616">
        <v>269</v>
      </c>
      <c r="K1616" t="s">
        <v>562</v>
      </c>
      <c r="L1616" s="13">
        <v>44791</v>
      </c>
      <c r="M1616" t="s">
        <v>603</v>
      </c>
      <c r="N1616" t="s">
        <v>604</v>
      </c>
      <c r="O1616">
        <v>205.02</v>
      </c>
      <c r="P1616" t="s">
        <v>565</v>
      </c>
    </row>
    <row r="1617" spans="1:16" ht="15" customHeight="1" x14ac:dyDescent="0.4">
      <c r="A1617" t="s">
        <v>15</v>
      </c>
      <c r="B1617" t="s">
        <v>16</v>
      </c>
      <c r="C1617" s="13">
        <v>44562</v>
      </c>
      <c r="D1617" s="13">
        <v>44926</v>
      </c>
      <c r="E1617" t="s">
        <v>17</v>
      </c>
      <c r="F1617">
        <v>15</v>
      </c>
      <c r="G1617" t="s">
        <v>560</v>
      </c>
      <c r="H1617">
        <v>50</v>
      </c>
      <c r="I1617" t="s">
        <v>561</v>
      </c>
      <c r="J1617">
        <v>269</v>
      </c>
      <c r="K1617" t="s">
        <v>562</v>
      </c>
      <c r="L1617" s="13">
        <v>44818</v>
      </c>
      <c r="M1617" t="s">
        <v>605</v>
      </c>
      <c r="N1617" t="s">
        <v>606</v>
      </c>
      <c r="O1617">
        <v>214.39</v>
      </c>
      <c r="P1617" t="s">
        <v>565</v>
      </c>
    </row>
    <row r="1618" spans="1:16" ht="15" customHeight="1" x14ac:dyDescent="0.4">
      <c r="A1618" t="s">
        <v>15</v>
      </c>
      <c r="B1618" t="s">
        <v>16</v>
      </c>
      <c r="C1618" s="13">
        <v>44562</v>
      </c>
      <c r="D1618" s="13">
        <v>44926</v>
      </c>
      <c r="E1618" t="s">
        <v>17</v>
      </c>
      <c r="F1618">
        <v>15</v>
      </c>
      <c r="G1618" t="s">
        <v>560</v>
      </c>
      <c r="H1618">
        <v>50</v>
      </c>
      <c r="I1618" t="s">
        <v>561</v>
      </c>
      <c r="J1618">
        <v>269</v>
      </c>
      <c r="K1618" t="s">
        <v>562</v>
      </c>
      <c r="L1618" s="13">
        <v>44848</v>
      </c>
      <c r="M1618" t="s">
        <v>607</v>
      </c>
      <c r="N1618" t="s">
        <v>608</v>
      </c>
      <c r="O1618">
        <v>236.6</v>
      </c>
      <c r="P1618" t="s">
        <v>565</v>
      </c>
    </row>
    <row r="1619" spans="1:16" ht="15" customHeight="1" x14ac:dyDescent="0.4">
      <c r="A1619" t="s">
        <v>15</v>
      </c>
      <c r="B1619" t="s">
        <v>16</v>
      </c>
      <c r="C1619" s="13">
        <v>44562</v>
      </c>
      <c r="D1619" s="13">
        <v>44926</v>
      </c>
      <c r="E1619" t="s">
        <v>17</v>
      </c>
      <c r="F1619">
        <v>15</v>
      </c>
      <c r="G1619" t="s">
        <v>560</v>
      </c>
      <c r="H1619">
        <v>50</v>
      </c>
      <c r="I1619" t="s">
        <v>561</v>
      </c>
      <c r="J1619">
        <v>269</v>
      </c>
      <c r="K1619" t="s">
        <v>562</v>
      </c>
      <c r="L1619" s="13">
        <v>44884</v>
      </c>
      <c r="M1619" t="s">
        <v>609</v>
      </c>
      <c r="N1619" t="s">
        <v>610</v>
      </c>
      <c r="O1619">
        <v>359.85</v>
      </c>
      <c r="P1619" t="s">
        <v>565</v>
      </c>
    </row>
    <row r="1620" spans="1:16" ht="15" customHeight="1" x14ac:dyDescent="0.4">
      <c r="A1620" t="s">
        <v>15</v>
      </c>
      <c r="B1620" t="s">
        <v>16</v>
      </c>
      <c r="C1620" s="13">
        <v>44562</v>
      </c>
      <c r="D1620" s="13">
        <v>44926</v>
      </c>
      <c r="E1620" t="s">
        <v>17</v>
      </c>
      <c r="F1620">
        <v>15</v>
      </c>
      <c r="G1620" t="s">
        <v>560</v>
      </c>
      <c r="H1620">
        <v>50</v>
      </c>
      <c r="I1620" t="s">
        <v>561</v>
      </c>
      <c r="J1620">
        <v>269</v>
      </c>
      <c r="K1620" t="s">
        <v>562</v>
      </c>
      <c r="L1620" s="13">
        <v>44910</v>
      </c>
      <c r="M1620" t="s">
        <v>611</v>
      </c>
      <c r="N1620" t="s">
        <v>612</v>
      </c>
      <c r="O1620">
        <v>620.02</v>
      </c>
      <c r="P1620" t="s">
        <v>565</v>
      </c>
    </row>
    <row r="1621" spans="1:16" ht="15" customHeight="1" x14ac:dyDescent="0.4">
      <c r="A1621" t="s">
        <v>15</v>
      </c>
      <c r="B1621" t="s">
        <v>16</v>
      </c>
      <c r="C1621" s="13">
        <v>44562</v>
      </c>
      <c r="D1621" s="13">
        <v>44926</v>
      </c>
      <c r="E1621" t="s">
        <v>17</v>
      </c>
      <c r="F1621">
        <v>15</v>
      </c>
      <c r="G1621" t="s">
        <v>560</v>
      </c>
      <c r="H1621">
        <v>50</v>
      </c>
      <c r="I1621" t="s">
        <v>561</v>
      </c>
      <c r="J1621">
        <v>286</v>
      </c>
      <c r="K1621" t="s">
        <v>588</v>
      </c>
      <c r="L1621" s="13">
        <v>44926</v>
      </c>
      <c r="M1621" t="s">
        <v>614</v>
      </c>
      <c r="N1621" t="s">
        <v>86</v>
      </c>
      <c r="O1621">
        <v>2014.62</v>
      </c>
      <c r="P1621" t="s">
        <v>46</v>
      </c>
    </row>
    <row r="1622" spans="1:16" ht="15" customHeight="1" x14ac:dyDescent="0.4">
      <c r="A1622" t="s">
        <v>15</v>
      </c>
      <c r="B1622" t="s">
        <v>16</v>
      </c>
      <c r="C1622" s="13">
        <v>44562</v>
      </c>
      <c r="D1622" s="13">
        <v>44926</v>
      </c>
      <c r="E1622" t="s">
        <v>17</v>
      </c>
      <c r="F1622">
        <v>15</v>
      </c>
      <c r="G1622" t="s">
        <v>560</v>
      </c>
      <c r="H1622">
        <v>50</v>
      </c>
      <c r="I1622" t="s">
        <v>561</v>
      </c>
      <c r="J1622">
        <v>289</v>
      </c>
      <c r="K1622" t="s">
        <v>615</v>
      </c>
      <c r="L1622" s="13">
        <v>44926</v>
      </c>
      <c r="M1622" t="s">
        <v>616</v>
      </c>
      <c r="N1622" t="s">
        <v>98</v>
      </c>
      <c r="O1622">
        <v>-22.72</v>
      </c>
      <c r="P1622" t="s">
        <v>46</v>
      </c>
    </row>
    <row r="1623" spans="1:16" ht="15" customHeight="1" x14ac:dyDescent="0.4">
      <c r="A1623" t="s">
        <v>15</v>
      </c>
      <c r="B1623" t="s">
        <v>16</v>
      </c>
      <c r="C1623" s="13">
        <v>44562</v>
      </c>
      <c r="D1623" s="13">
        <v>44926</v>
      </c>
      <c r="E1623" t="s">
        <v>17</v>
      </c>
      <c r="F1623">
        <v>16</v>
      </c>
      <c r="G1623" t="s">
        <v>617</v>
      </c>
      <c r="H1623">
        <v>6</v>
      </c>
      <c r="I1623" t="s">
        <v>618</v>
      </c>
      <c r="J1623">
        <v>269</v>
      </c>
      <c r="K1623" t="s">
        <v>3695</v>
      </c>
      <c r="L1623" s="13">
        <v>44583</v>
      </c>
      <c r="M1623" t="s">
        <v>537</v>
      </c>
      <c r="N1623" t="s">
        <v>352</v>
      </c>
      <c r="O1623">
        <v>26.82</v>
      </c>
      <c r="P1623" t="s">
        <v>52</v>
      </c>
    </row>
    <row r="1624" spans="1:16" ht="15" customHeight="1" x14ac:dyDescent="0.4">
      <c r="A1624" t="s">
        <v>15</v>
      </c>
      <c r="B1624" t="s">
        <v>16</v>
      </c>
      <c r="C1624" s="13">
        <v>44562</v>
      </c>
      <c r="D1624" s="13">
        <v>44926</v>
      </c>
      <c r="E1624" t="s">
        <v>17</v>
      </c>
      <c r="F1624">
        <v>16</v>
      </c>
      <c r="G1624" t="s">
        <v>617</v>
      </c>
      <c r="H1624">
        <v>6</v>
      </c>
      <c r="I1624" t="s">
        <v>618</v>
      </c>
      <c r="J1624">
        <v>269</v>
      </c>
      <c r="K1624" t="s">
        <v>3695</v>
      </c>
      <c r="L1624" s="13">
        <v>44614</v>
      </c>
      <c r="M1624" t="s">
        <v>538</v>
      </c>
      <c r="N1624" t="s">
        <v>353</v>
      </c>
      <c r="O1624">
        <v>19.579999999999998</v>
      </c>
      <c r="P1624" t="s">
        <v>52</v>
      </c>
    </row>
    <row r="1625" spans="1:16" ht="15" customHeight="1" x14ac:dyDescent="0.4">
      <c r="A1625" t="s">
        <v>15</v>
      </c>
      <c r="B1625" t="s">
        <v>16</v>
      </c>
      <c r="C1625" s="13">
        <v>44562</v>
      </c>
      <c r="D1625" s="13">
        <v>44926</v>
      </c>
      <c r="E1625" t="s">
        <v>17</v>
      </c>
      <c r="F1625">
        <v>16</v>
      </c>
      <c r="G1625" t="s">
        <v>617</v>
      </c>
      <c r="H1625">
        <v>6</v>
      </c>
      <c r="I1625" t="s">
        <v>618</v>
      </c>
      <c r="J1625">
        <v>269</v>
      </c>
      <c r="K1625" t="s">
        <v>3695</v>
      </c>
      <c r="L1625" s="13">
        <v>44642</v>
      </c>
      <c r="M1625" t="s">
        <v>539</v>
      </c>
      <c r="N1625" t="s">
        <v>354</v>
      </c>
      <c r="O1625">
        <v>15.26</v>
      </c>
      <c r="P1625" t="s">
        <v>52</v>
      </c>
    </row>
    <row r="1626" spans="1:16" ht="15" customHeight="1" x14ac:dyDescent="0.4">
      <c r="A1626" t="s">
        <v>15</v>
      </c>
      <c r="B1626" t="s">
        <v>16</v>
      </c>
      <c r="C1626" s="13">
        <v>44562</v>
      </c>
      <c r="D1626" s="13">
        <v>44926</v>
      </c>
      <c r="E1626" t="s">
        <v>17</v>
      </c>
      <c r="F1626">
        <v>16</v>
      </c>
      <c r="G1626" t="s">
        <v>617</v>
      </c>
      <c r="H1626">
        <v>6</v>
      </c>
      <c r="I1626" t="s">
        <v>618</v>
      </c>
      <c r="J1626">
        <v>269</v>
      </c>
      <c r="K1626" t="s">
        <v>3695</v>
      </c>
      <c r="L1626" s="13">
        <v>44673</v>
      </c>
      <c r="M1626" t="s">
        <v>540</v>
      </c>
      <c r="N1626" t="s">
        <v>355</v>
      </c>
      <c r="O1626">
        <v>18.41</v>
      </c>
      <c r="P1626" t="s">
        <v>52</v>
      </c>
    </row>
    <row r="1627" spans="1:16" ht="15" customHeight="1" x14ac:dyDescent="0.4">
      <c r="A1627" t="s">
        <v>15</v>
      </c>
      <c r="B1627" t="s">
        <v>16</v>
      </c>
      <c r="C1627" s="13">
        <v>44562</v>
      </c>
      <c r="D1627" s="13">
        <v>44926</v>
      </c>
      <c r="E1627" t="s">
        <v>17</v>
      </c>
      <c r="F1627">
        <v>16</v>
      </c>
      <c r="G1627" t="s">
        <v>617</v>
      </c>
      <c r="H1627">
        <v>6</v>
      </c>
      <c r="I1627" t="s">
        <v>618</v>
      </c>
      <c r="J1627">
        <v>269</v>
      </c>
      <c r="K1627" t="s">
        <v>3695</v>
      </c>
      <c r="L1627" s="13">
        <v>44703</v>
      </c>
      <c r="M1627" t="s">
        <v>541</v>
      </c>
      <c r="N1627" t="s">
        <v>356</v>
      </c>
      <c r="O1627">
        <v>15.53</v>
      </c>
      <c r="P1627" t="s">
        <v>52</v>
      </c>
    </row>
    <row r="1628" spans="1:16" ht="15" customHeight="1" x14ac:dyDescent="0.4">
      <c r="A1628" t="s">
        <v>15</v>
      </c>
      <c r="B1628" t="s">
        <v>16</v>
      </c>
      <c r="C1628" s="13">
        <v>44562</v>
      </c>
      <c r="D1628" s="13">
        <v>44926</v>
      </c>
      <c r="E1628" t="s">
        <v>17</v>
      </c>
      <c r="F1628">
        <v>16</v>
      </c>
      <c r="G1628" t="s">
        <v>617</v>
      </c>
      <c r="H1628">
        <v>6</v>
      </c>
      <c r="I1628" t="s">
        <v>618</v>
      </c>
      <c r="J1628">
        <v>269</v>
      </c>
      <c r="K1628" t="s">
        <v>3695</v>
      </c>
      <c r="L1628" s="13">
        <v>44734</v>
      </c>
      <c r="M1628" t="s">
        <v>542</v>
      </c>
      <c r="N1628" t="s">
        <v>357</v>
      </c>
      <c r="O1628">
        <v>13.09</v>
      </c>
      <c r="P1628" t="s">
        <v>52</v>
      </c>
    </row>
    <row r="1629" spans="1:16" ht="15" customHeight="1" x14ac:dyDescent="0.4">
      <c r="A1629" t="s">
        <v>15</v>
      </c>
      <c r="B1629" t="s">
        <v>16</v>
      </c>
      <c r="C1629" s="13">
        <v>44562</v>
      </c>
      <c r="D1629" s="13">
        <v>44926</v>
      </c>
      <c r="E1629" t="s">
        <v>17</v>
      </c>
      <c r="F1629">
        <v>16</v>
      </c>
      <c r="G1629" t="s">
        <v>617</v>
      </c>
      <c r="H1629">
        <v>6</v>
      </c>
      <c r="I1629" t="s">
        <v>618</v>
      </c>
      <c r="J1629">
        <v>269</v>
      </c>
      <c r="K1629" t="s">
        <v>3695</v>
      </c>
      <c r="L1629" s="13">
        <v>44764</v>
      </c>
      <c r="M1629" t="s">
        <v>543</v>
      </c>
      <c r="N1629" t="s">
        <v>358</v>
      </c>
      <c r="O1629">
        <v>15.38</v>
      </c>
      <c r="P1629" t="s">
        <v>52</v>
      </c>
    </row>
    <row r="1630" spans="1:16" ht="15" customHeight="1" x14ac:dyDescent="0.4">
      <c r="A1630" t="s">
        <v>15</v>
      </c>
      <c r="B1630" t="s">
        <v>16</v>
      </c>
      <c r="C1630" s="13">
        <v>44562</v>
      </c>
      <c r="D1630" s="13">
        <v>44926</v>
      </c>
      <c r="E1630" t="s">
        <v>17</v>
      </c>
      <c r="F1630">
        <v>16</v>
      </c>
      <c r="G1630" t="s">
        <v>617</v>
      </c>
      <c r="H1630">
        <v>6</v>
      </c>
      <c r="I1630" t="s">
        <v>618</v>
      </c>
      <c r="J1630">
        <v>269</v>
      </c>
      <c r="K1630" t="s">
        <v>3695</v>
      </c>
      <c r="L1630" s="13">
        <v>44795</v>
      </c>
      <c r="M1630" t="s">
        <v>544</v>
      </c>
      <c r="N1630" t="s">
        <v>359</v>
      </c>
      <c r="O1630">
        <v>16.149999999999999</v>
      </c>
      <c r="P1630" t="s">
        <v>52</v>
      </c>
    </row>
    <row r="1631" spans="1:16" ht="15" customHeight="1" x14ac:dyDescent="0.4">
      <c r="A1631" t="s">
        <v>15</v>
      </c>
      <c r="B1631" t="s">
        <v>16</v>
      </c>
      <c r="C1631" s="13">
        <v>44562</v>
      </c>
      <c r="D1631" s="13">
        <v>44926</v>
      </c>
      <c r="E1631" t="s">
        <v>17</v>
      </c>
      <c r="F1631">
        <v>16</v>
      </c>
      <c r="G1631" t="s">
        <v>617</v>
      </c>
      <c r="H1631">
        <v>6</v>
      </c>
      <c r="I1631" t="s">
        <v>618</v>
      </c>
      <c r="J1631">
        <v>269</v>
      </c>
      <c r="K1631" t="s">
        <v>3695</v>
      </c>
      <c r="L1631" s="13">
        <v>44826</v>
      </c>
      <c r="M1631" t="s">
        <v>545</v>
      </c>
      <c r="N1631" t="s">
        <v>360</v>
      </c>
      <c r="O1631">
        <v>14.22</v>
      </c>
      <c r="P1631" t="s">
        <v>52</v>
      </c>
    </row>
    <row r="1632" spans="1:16" ht="15" customHeight="1" x14ac:dyDescent="0.4">
      <c r="A1632" t="s">
        <v>15</v>
      </c>
      <c r="B1632" t="s">
        <v>16</v>
      </c>
      <c r="C1632" s="13">
        <v>44562</v>
      </c>
      <c r="D1632" s="13">
        <v>44926</v>
      </c>
      <c r="E1632" t="s">
        <v>17</v>
      </c>
      <c r="F1632">
        <v>16</v>
      </c>
      <c r="G1632" t="s">
        <v>617</v>
      </c>
      <c r="H1632">
        <v>6</v>
      </c>
      <c r="I1632" t="s">
        <v>618</v>
      </c>
      <c r="J1632">
        <v>269</v>
      </c>
      <c r="K1632" t="s">
        <v>3695</v>
      </c>
      <c r="L1632" s="13">
        <v>44856</v>
      </c>
      <c r="M1632" t="s">
        <v>546</v>
      </c>
      <c r="N1632" t="s">
        <v>361</v>
      </c>
      <c r="O1632">
        <v>16.260000000000002</v>
      </c>
      <c r="P1632" t="s">
        <v>52</v>
      </c>
    </row>
    <row r="1633" spans="1:16" ht="15" customHeight="1" x14ac:dyDescent="0.4">
      <c r="A1633" t="s">
        <v>15</v>
      </c>
      <c r="B1633" t="s">
        <v>16</v>
      </c>
      <c r="C1633" s="13">
        <v>44562</v>
      </c>
      <c r="D1633" s="13">
        <v>44926</v>
      </c>
      <c r="E1633" t="s">
        <v>17</v>
      </c>
      <c r="F1633">
        <v>16</v>
      </c>
      <c r="G1633" t="s">
        <v>617</v>
      </c>
      <c r="H1633">
        <v>6</v>
      </c>
      <c r="I1633" t="s">
        <v>618</v>
      </c>
      <c r="J1633">
        <v>269</v>
      </c>
      <c r="K1633" t="s">
        <v>3695</v>
      </c>
      <c r="L1633" s="13">
        <v>44887</v>
      </c>
      <c r="M1633" t="s">
        <v>547</v>
      </c>
      <c r="N1633" t="s">
        <v>362</v>
      </c>
      <c r="O1633">
        <v>16.399999999999999</v>
      </c>
      <c r="P1633" t="s">
        <v>52</v>
      </c>
    </row>
    <row r="1634" spans="1:16" ht="15" customHeight="1" x14ac:dyDescent="0.4">
      <c r="A1634" t="s">
        <v>15</v>
      </c>
      <c r="B1634" t="s">
        <v>16</v>
      </c>
      <c r="C1634" s="13">
        <v>44562</v>
      </c>
      <c r="D1634" s="13">
        <v>44926</v>
      </c>
      <c r="E1634" t="s">
        <v>17</v>
      </c>
      <c r="F1634">
        <v>16</v>
      </c>
      <c r="G1634" t="s">
        <v>617</v>
      </c>
      <c r="H1634">
        <v>6</v>
      </c>
      <c r="I1634" t="s">
        <v>618</v>
      </c>
      <c r="J1634">
        <v>269</v>
      </c>
      <c r="K1634" t="s">
        <v>3695</v>
      </c>
      <c r="L1634" s="13">
        <v>44917</v>
      </c>
      <c r="M1634" t="s">
        <v>548</v>
      </c>
      <c r="N1634" t="s">
        <v>363</v>
      </c>
      <c r="O1634">
        <v>19.239999999999998</v>
      </c>
      <c r="P1634" t="s">
        <v>52</v>
      </c>
    </row>
    <row r="1635" spans="1:16" ht="15" customHeight="1" x14ac:dyDescent="0.4">
      <c r="A1635" t="s">
        <v>15</v>
      </c>
      <c r="B1635" t="s">
        <v>16</v>
      </c>
      <c r="C1635" s="13">
        <v>44562</v>
      </c>
      <c r="D1635" s="13">
        <v>44926</v>
      </c>
      <c r="E1635" t="s">
        <v>30</v>
      </c>
      <c r="F1635">
        <v>17</v>
      </c>
      <c r="G1635" t="s">
        <v>619</v>
      </c>
      <c r="H1635">
        <v>6</v>
      </c>
      <c r="I1635" t="s">
        <v>620</v>
      </c>
      <c r="J1635">
        <v>106</v>
      </c>
      <c r="K1635" t="s">
        <v>422</v>
      </c>
      <c r="L1635" s="13">
        <v>44579</v>
      </c>
      <c r="M1635" t="s">
        <v>621</v>
      </c>
      <c r="N1635" t="s">
        <v>46</v>
      </c>
      <c r="O1635">
        <v>1210</v>
      </c>
      <c r="P1635" t="s">
        <v>46</v>
      </c>
    </row>
    <row r="1636" spans="1:16" ht="15" customHeight="1" x14ac:dyDescent="0.4">
      <c r="A1636" t="s">
        <v>15</v>
      </c>
      <c r="B1636" t="s">
        <v>16</v>
      </c>
      <c r="C1636" s="13">
        <v>44562</v>
      </c>
      <c r="D1636" s="13">
        <v>44926</v>
      </c>
      <c r="E1636" t="s">
        <v>30</v>
      </c>
      <c r="F1636">
        <v>17</v>
      </c>
      <c r="G1636" t="s">
        <v>619</v>
      </c>
      <c r="H1636">
        <v>6</v>
      </c>
      <c r="I1636" t="s">
        <v>620</v>
      </c>
      <c r="J1636">
        <v>106</v>
      </c>
      <c r="K1636" t="s">
        <v>422</v>
      </c>
      <c r="L1636" s="13">
        <v>44579</v>
      </c>
      <c r="M1636" t="s">
        <v>622</v>
      </c>
      <c r="N1636" t="s">
        <v>46</v>
      </c>
      <c r="O1636">
        <v>605</v>
      </c>
      <c r="P1636" t="s">
        <v>46</v>
      </c>
    </row>
    <row r="1637" spans="1:16" ht="15" customHeight="1" x14ac:dyDescent="0.4">
      <c r="A1637" t="s">
        <v>15</v>
      </c>
      <c r="B1637" t="s">
        <v>16</v>
      </c>
      <c r="C1637" s="13">
        <v>44562</v>
      </c>
      <c r="D1637" s="13">
        <v>44926</v>
      </c>
      <c r="E1637" t="s">
        <v>17</v>
      </c>
      <c r="F1637">
        <v>17</v>
      </c>
      <c r="G1637" t="s">
        <v>619</v>
      </c>
      <c r="H1637">
        <v>6</v>
      </c>
      <c r="I1637" t="s">
        <v>620</v>
      </c>
      <c r="J1637">
        <v>117</v>
      </c>
      <c r="K1637" t="s">
        <v>623</v>
      </c>
      <c r="L1637" s="13">
        <v>44896</v>
      </c>
      <c r="M1637" t="s">
        <v>624</v>
      </c>
      <c r="N1637" t="s">
        <v>625</v>
      </c>
      <c r="O1637">
        <v>390.5</v>
      </c>
      <c r="P1637" t="s">
        <v>626</v>
      </c>
    </row>
    <row r="1638" spans="1:16" ht="15" customHeight="1" x14ac:dyDescent="0.4">
      <c r="A1638" t="s">
        <v>15</v>
      </c>
      <c r="B1638" t="s">
        <v>16</v>
      </c>
      <c r="C1638" s="13">
        <v>44562</v>
      </c>
      <c r="D1638" s="13">
        <v>44926</v>
      </c>
      <c r="E1638" t="s">
        <v>17</v>
      </c>
      <c r="F1638">
        <v>17</v>
      </c>
      <c r="G1638" t="s">
        <v>619</v>
      </c>
      <c r="H1638">
        <v>6</v>
      </c>
      <c r="I1638" t="s">
        <v>620</v>
      </c>
      <c r="J1638">
        <v>269</v>
      </c>
      <c r="K1638" t="s">
        <v>3695</v>
      </c>
      <c r="L1638" s="13">
        <v>44583</v>
      </c>
      <c r="M1638" t="s">
        <v>537</v>
      </c>
      <c r="N1638" t="s">
        <v>352</v>
      </c>
      <c r="O1638">
        <v>26.82</v>
      </c>
      <c r="P1638" t="s">
        <v>52</v>
      </c>
    </row>
    <row r="1639" spans="1:16" ht="15" customHeight="1" x14ac:dyDescent="0.4">
      <c r="A1639" t="s">
        <v>15</v>
      </c>
      <c r="B1639" t="s">
        <v>16</v>
      </c>
      <c r="C1639" s="13">
        <v>44562</v>
      </c>
      <c r="D1639" s="13">
        <v>44926</v>
      </c>
      <c r="E1639" t="s">
        <v>17</v>
      </c>
      <c r="F1639">
        <v>17</v>
      </c>
      <c r="G1639" t="s">
        <v>619</v>
      </c>
      <c r="H1639">
        <v>6</v>
      </c>
      <c r="I1639" t="s">
        <v>620</v>
      </c>
      <c r="J1639">
        <v>269</v>
      </c>
      <c r="K1639" t="s">
        <v>3695</v>
      </c>
      <c r="L1639" s="13">
        <v>44614</v>
      </c>
      <c r="M1639" t="s">
        <v>538</v>
      </c>
      <c r="N1639" t="s">
        <v>353</v>
      </c>
      <c r="O1639">
        <v>19.579999999999998</v>
      </c>
      <c r="P1639" t="s">
        <v>52</v>
      </c>
    </row>
    <row r="1640" spans="1:16" ht="15" customHeight="1" x14ac:dyDescent="0.4">
      <c r="A1640" t="s">
        <v>15</v>
      </c>
      <c r="B1640" t="s">
        <v>16</v>
      </c>
      <c r="C1640" s="13">
        <v>44562</v>
      </c>
      <c r="D1640" s="13">
        <v>44926</v>
      </c>
      <c r="E1640" t="s">
        <v>17</v>
      </c>
      <c r="F1640">
        <v>17</v>
      </c>
      <c r="G1640" t="s">
        <v>619</v>
      </c>
      <c r="H1640">
        <v>6</v>
      </c>
      <c r="I1640" t="s">
        <v>620</v>
      </c>
      <c r="J1640">
        <v>269</v>
      </c>
      <c r="K1640" t="s">
        <v>3695</v>
      </c>
      <c r="L1640" s="13">
        <v>44642</v>
      </c>
      <c r="M1640" t="s">
        <v>539</v>
      </c>
      <c r="N1640" t="s">
        <v>354</v>
      </c>
      <c r="O1640">
        <v>15.26</v>
      </c>
      <c r="P1640" t="s">
        <v>52</v>
      </c>
    </row>
    <row r="1641" spans="1:16" ht="15" customHeight="1" x14ac:dyDescent="0.4">
      <c r="A1641" t="s">
        <v>15</v>
      </c>
      <c r="B1641" t="s">
        <v>16</v>
      </c>
      <c r="C1641" s="13">
        <v>44562</v>
      </c>
      <c r="D1641" s="13">
        <v>44926</v>
      </c>
      <c r="E1641" t="s">
        <v>17</v>
      </c>
      <c r="F1641">
        <v>17</v>
      </c>
      <c r="G1641" t="s">
        <v>619</v>
      </c>
      <c r="H1641">
        <v>6</v>
      </c>
      <c r="I1641" t="s">
        <v>620</v>
      </c>
      <c r="J1641">
        <v>269</v>
      </c>
      <c r="K1641" t="s">
        <v>3695</v>
      </c>
      <c r="L1641" s="13">
        <v>44673</v>
      </c>
      <c r="M1641" t="s">
        <v>540</v>
      </c>
      <c r="N1641" t="s">
        <v>355</v>
      </c>
      <c r="O1641">
        <v>18.41</v>
      </c>
      <c r="P1641" t="s">
        <v>52</v>
      </c>
    </row>
    <row r="1642" spans="1:16" ht="15" customHeight="1" x14ac:dyDescent="0.4">
      <c r="A1642" t="s">
        <v>15</v>
      </c>
      <c r="B1642" t="s">
        <v>16</v>
      </c>
      <c r="C1642" s="13">
        <v>44562</v>
      </c>
      <c r="D1642" s="13">
        <v>44926</v>
      </c>
      <c r="E1642" t="s">
        <v>17</v>
      </c>
      <c r="F1642">
        <v>17</v>
      </c>
      <c r="G1642" t="s">
        <v>619</v>
      </c>
      <c r="H1642">
        <v>6</v>
      </c>
      <c r="I1642" t="s">
        <v>620</v>
      </c>
      <c r="J1642">
        <v>269</v>
      </c>
      <c r="K1642" t="s">
        <v>3695</v>
      </c>
      <c r="L1642" s="13">
        <v>44703</v>
      </c>
      <c r="M1642" t="s">
        <v>541</v>
      </c>
      <c r="N1642" t="s">
        <v>356</v>
      </c>
      <c r="O1642">
        <v>15.53</v>
      </c>
      <c r="P1642" t="s">
        <v>52</v>
      </c>
    </row>
    <row r="1643" spans="1:16" ht="15" customHeight="1" x14ac:dyDescent="0.4">
      <c r="A1643" t="s">
        <v>15</v>
      </c>
      <c r="B1643" t="s">
        <v>16</v>
      </c>
      <c r="C1643" s="13">
        <v>44562</v>
      </c>
      <c r="D1643" s="13">
        <v>44926</v>
      </c>
      <c r="E1643" t="s">
        <v>17</v>
      </c>
      <c r="F1643">
        <v>17</v>
      </c>
      <c r="G1643" t="s">
        <v>619</v>
      </c>
      <c r="H1643">
        <v>6</v>
      </c>
      <c r="I1643" t="s">
        <v>620</v>
      </c>
      <c r="J1643">
        <v>269</v>
      </c>
      <c r="K1643" t="s">
        <v>3695</v>
      </c>
      <c r="L1643" s="13">
        <v>44734</v>
      </c>
      <c r="M1643" t="s">
        <v>542</v>
      </c>
      <c r="N1643" t="s">
        <v>357</v>
      </c>
      <c r="O1643">
        <v>13.09</v>
      </c>
      <c r="P1643" t="s">
        <v>52</v>
      </c>
    </row>
    <row r="1644" spans="1:16" ht="15" customHeight="1" x14ac:dyDescent="0.4">
      <c r="A1644" t="s">
        <v>15</v>
      </c>
      <c r="B1644" t="s">
        <v>16</v>
      </c>
      <c r="C1644" s="13">
        <v>44562</v>
      </c>
      <c r="D1644" s="13">
        <v>44926</v>
      </c>
      <c r="E1644" t="s">
        <v>17</v>
      </c>
      <c r="F1644">
        <v>17</v>
      </c>
      <c r="G1644" t="s">
        <v>619</v>
      </c>
      <c r="H1644">
        <v>6</v>
      </c>
      <c r="I1644" t="s">
        <v>620</v>
      </c>
      <c r="J1644">
        <v>269</v>
      </c>
      <c r="K1644" t="s">
        <v>3695</v>
      </c>
      <c r="L1644" s="13">
        <v>44764</v>
      </c>
      <c r="M1644" t="s">
        <v>543</v>
      </c>
      <c r="N1644" t="s">
        <v>358</v>
      </c>
      <c r="O1644">
        <v>15.38</v>
      </c>
      <c r="P1644" t="s">
        <v>52</v>
      </c>
    </row>
    <row r="1645" spans="1:16" ht="15" customHeight="1" x14ac:dyDescent="0.4">
      <c r="A1645" t="s">
        <v>15</v>
      </c>
      <c r="B1645" t="s">
        <v>16</v>
      </c>
      <c r="C1645" s="13">
        <v>44562</v>
      </c>
      <c r="D1645" s="13">
        <v>44926</v>
      </c>
      <c r="E1645" t="s">
        <v>17</v>
      </c>
      <c r="F1645">
        <v>17</v>
      </c>
      <c r="G1645" t="s">
        <v>619</v>
      </c>
      <c r="H1645">
        <v>6</v>
      </c>
      <c r="I1645" t="s">
        <v>620</v>
      </c>
      <c r="J1645">
        <v>269</v>
      </c>
      <c r="K1645" t="s">
        <v>3695</v>
      </c>
      <c r="L1645" s="13">
        <v>44795</v>
      </c>
      <c r="M1645" t="s">
        <v>544</v>
      </c>
      <c r="N1645" t="s">
        <v>359</v>
      </c>
      <c r="O1645">
        <v>16.149999999999999</v>
      </c>
      <c r="P1645" t="s">
        <v>52</v>
      </c>
    </row>
    <row r="1646" spans="1:16" ht="15" customHeight="1" x14ac:dyDescent="0.4">
      <c r="A1646" t="s">
        <v>15</v>
      </c>
      <c r="B1646" t="s">
        <v>16</v>
      </c>
      <c r="C1646" s="13">
        <v>44562</v>
      </c>
      <c r="D1646" s="13">
        <v>44926</v>
      </c>
      <c r="E1646" t="s">
        <v>17</v>
      </c>
      <c r="F1646">
        <v>17</v>
      </c>
      <c r="G1646" t="s">
        <v>619</v>
      </c>
      <c r="H1646">
        <v>6</v>
      </c>
      <c r="I1646" t="s">
        <v>620</v>
      </c>
      <c r="J1646">
        <v>269</v>
      </c>
      <c r="K1646" t="s">
        <v>3695</v>
      </c>
      <c r="L1646" s="13">
        <v>44826</v>
      </c>
      <c r="M1646" t="s">
        <v>545</v>
      </c>
      <c r="N1646" t="s">
        <v>360</v>
      </c>
      <c r="O1646">
        <v>14.22</v>
      </c>
      <c r="P1646" t="s">
        <v>52</v>
      </c>
    </row>
    <row r="1647" spans="1:16" ht="15" customHeight="1" x14ac:dyDescent="0.4">
      <c r="A1647" t="s">
        <v>15</v>
      </c>
      <c r="B1647" t="s">
        <v>16</v>
      </c>
      <c r="C1647" s="13">
        <v>44562</v>
      </c>
      <c r="D1647" s="13">
        <v>44926</v>
      </c>
      <c r="E1647" t="s">
        <v>17</v>
      </c>
      <c r="F1647">
        <v>17</v>
      </c>
      <c r="G1647" t="s">
        <v>619</v>
      </c>
      <c r="H1647">
        <v>6</v>
      </c>
      <c r="I1647" t="s">
        <v>620</v>
      </c>
      <c r="J1647">
        <v>269</v>
      </c>
      <c r="K1647" t="s">
        <v>3695</v>
      </c>
      <c r="L1647" s="13">
        <v>44856</v>
      </c>
      <c r="M1647" t="s">
        <v>546</v>
      </c>
      <c r="N1647" t="s">
        <v>361</v>
      </c>
      <c r="O1647">
        <v>16.260000000000002</v>
      </c>
      <c r="P1647" t="s">
        <v>52</v>
      </c>
    </row>
    <row r="1648" spans="1:16" ht="15" customHeight="1" x14ac:dyDescent="0.4">
      <c r="A1648" t="s">
        <v>15</v>
      </c>
      <c r="B1648" t="s">
        <v>16</v>
      </c>
      <c r="C1648" s="13">
        <v>44562</v>
      </c>
      <c r="D1648" s="13">
        <v>44926</v>
      </c>
      <c r="E1648" t="s">
        <v>17</v>
      </c>
      <c r="F1648">
        <v>17</v>
      </c>
      <c r="G1648" t="s">
        <v>619</v>
      </c>
      <c r="H1648">
        <v>6</v>
      </c>
      <c r="I1648" t="s">
        <v>620</v>
      </c>
      <c r="J1648">
        <v>269</v>
      </c>
      <c r="K1648" t="s">
        <v>3695</v>
      </c>
      <c r="L1648" s="13">
        <v>44887</v>
      </c>
      <c r="M1648" t="s">
        <v>547</v>
      </c>
      <c r="N1648" t="s">
        <v>362</v>
      </c>
      <c r="O1648">
        <v>16.399999999999999</v>
      </c>
      <c r="P1648" t="s">
        <v>52</v>
      </c>
    </row>
    <row r="1649" spans="1:16" ht="15" customHeight="1" x14ac:dyDescent="0.4">
      <c r="A1649" t="s">
        <v>15</v>
      </c>
      <c r="B1649" t="s">
        <v>16</v>
      </c>
      <c r="C1649" s="13">
        <v>44562</v>
      </c>
      <c r="D1649" s="13">
        <v>44926</v>
      </c>
      <c r="E1649" t="s">
        <v>17</v>
      </c>
      <c r="F1649">
        <v>17</v>
      </c>
      <c r="G1649" t="s">
        <v>619</v>
      </c>
      <c r="H1649">
        <v>6</v>
      </c>
      <c r="I1649" t="s">
        <v>620</v>
      </c>
      <c r="J1649">
        <v>269</v>
      </c>
      <c r="K1649" t="s">
        <v>3695</v>
      </c>
      <c r="L1649" s="13">
        <v>44917</v>
      </c>
      <c r="M1649" t="s">
        <v>548</v>
      </c>
      <c r="N1649" t="s">
        <v>363</v>
      </c>
      <c r="O1649">
        <v>19.239999999999998</v>
      </c>
      <c r="P1649" t="s">
        <v>52</v>
      </c>
    </row>
    <row r="1650" spans="1:16" ht="15" customHeight="1" x14ac:dyDescent="0.4">
      <c r="A1650" t="s">
        <v>15</v>
      </c>
      <c r="B1650" t="s">
        <v>16</v>
      </c>
      <c r="C1650" s="13">
        <v>44197</v>
      </c>
      <c r="D1650" s="13">
        <v>44561</v>
      </c>
      <c r="E1650" t="s">
        <v>17</v>
      </c>
      <c r="F1650">
        <v>0</v>
      </c>
      <c r="G1650" t="s">
        <v>18</v>
      </c>
      <c r="H1650">
        <v>1</v>
      </c>
      <c r="I1650" t="s">
        <v>19</v>
      </c>
      <c r="J1650">
        <v>171</v>
      </c>
      <c r="K1650" t="s">
        <v>20</v>
      </c>
      <c r="L1650" s="13">
        <v>44482</v>
      </c>
      <c r="M1650" t="s">
        <v>627</v>
      </c>
      <c r="N1650" t="s">
        <v>628</v>
      </c>
      <c r="O1650">
        <v>1987.2</v>
      </c>
      <c r="P1650" t="s">
        <v>23</v>
      </c>
    </row>
    <row r="1651" spans="1:16" ht="15" customHeight="1" x14ac:dyDescent="0.4">
      <c r="A1651" t="s">
        <v>15</v>
      </c>
      <c r="B1651" t="s">
        <v>16</v>
      </c>
      <c r="C1651" s="13">
        <v>44197</v>
      </c>
      <c r="D1651" s="13">
        <v>44561</v>
      </c>
      <c r="E1651" t="s">
        <v>30</v>
      </c>
      <c r="F1651">
        <v>0</v>
      </c>
      <c r="G1651" t="s">
        <v>18</v>
      </c>
      <c r="H1651">
        <v>1</v>
      </c>
      <c r="I1651" t="s">
        <v>19</v>
      </c>
      <c r="J1651">
        <v>233</v>
      </c>
      <c r="K1651" t="s">
        <v>31</v>
      </c>
      <c r="L1651" s="13">
        <v>44207</v>
      </c>
      <c r="M1651" t="s">
        <v>631</v>
      </c>
      <c r="N1651" t="s">
        <v>631</v>
      </c>
      <c r="O1651">
        <v>300</v>
      </c>
      <c r="P1651" t="s">
        <v>34</v>
      </c>
    </row>
    <row r="1652" spans="1:16" ht="15" customHeight="1" x14ac:dyDescent="0.4">
      <c r="A1652" t="s">
        <v>15</v>
      </c>
      <c r="B1652" t="s">
        <v>16</v>
      </c>
      <c r="C1652" s="13">
        <v>44197</v>
      </c>
      <c r="D1652" s="13">
        <v>44561</v>
      </c>
      <c r="E1652" t="s">
        <v>30</v>
      </c>
      <c r="F1652">
        <v>0</v>
      </c>
      <c r="G1652" t="s">
        <v>18</v>
      </c>
      <c r="H1652">
        <v>1</v>
      </c>
      <c r="I1652" t="s">
        <v>19</v>
      </c>
      <c r="J1652">
        <v>233</v>
      </c>
      <c r="K1652" t="s">
        <v>31</v>
      </c>
      <c r="L1652" s="13">
        <v>44207</v>
      </c>
      <c r="M1652" t="s">
        <v>629</v>
      </c>
      <c r="N1652" t="s">
        <v>630</v>
      </c>
      <c r="O1652">
        <v>358.15</v>
      </c>
      <c r="P1652" t="s">
        <v>34</v>
      </c>
    </row>
    <row r="1653" spans="1:16" ht="15" customHeight="1" x14ac:dyDescent="0.4">
      <c r="A1653" t="s">
        <v>15</v>
      </c>
      <c r="B1653" t="s">
        <v>16</v>
      </c>
      <c r="C1653" s="13">
        <v>44197</v>
      </c>
      <c r="D1653" s="13">
        <v>44561</v>
      </c>
      <c r="E1653" t="s">
        <v>30</v>
      </c>
      <c r="F1653">
        <v>0</v>
      </c>
      <c r="G1653" t="s">
        <v>18</v>
      </c>
      <c r="H1653">
        <v>1</v>
      </c>
      <c r="I1653" t="s">
        <v>19</v>
      </c>
      <c r="J1653">
        <v>233</v>
      </c>
      <c r="K1653" t="s">
        <v>31</v>
      </c>
      <c r="L1653" s="13">
        <v>44382</v>
      </c>
      <c r="M1653" t="s">
        <v>37</v>
      </c>
      <c r="N1653" t="s">
        <v>634</v>
      </c>
      <c r="O1653">
        <v>300</v>
      </c>
      <c r="P1653" t="s">
        <v>34</v>
      </c>
    </row>
    <row r="1654" spans="1:16" ht="15" customHeight="1" x14ac:dyDescent="0.4">
      <c r="A1654" t="s">
        <v>15</v>
      </c>
      <c r="B1654" t="s">
        <v>16</v>
      </c>
      <c r="C1654" s="13">
        <v>44197</v>
      </c>
      <c r="D1654" s="13">
        <v>44561</v>
      </c>
      <c r="E1654" t="s">
        <v>30</v>
      </c>
      <c r="F1654">
        <v>0</v>
      </c>
      <c r="G1654" t="s">
        <v>18</v>
      </c>
      <c r="H1654">
        <v>1</v>
      </c>
      <c r="I1654" t="s">
        <v>19</v>
      </c>
      <c r="J1654">
        <v>233</v>
      </c>
      <c r="K1654" t="s">
        <v>31</v>
      </c>
      <c r="L1654" s="13">
        <v>44382</v>
      </c>
      <c r="M1654" t="s">
        <v>632</v>
      </c>
      <c r="N1654" t="s">
        <v>633</v>
      </c>
      <c r="O1654">
        <v>134.85</v>
      </c>
      <c r="P1654" t="s">
        <v>34</v>
      </c>
    </row>
    <row r="1655" spans="1:16" ht="15" customHeight="1" x14ac:dyDescent="0.4">
      <c r="A1655" t="s">
        <v>15</v>
      </c>
      <c r="B1655" t="s">
        <v>16</v>
      </c>
      <c r="C1655" s="13">
        <v>44197</v>
      </c>
      <c r="D1655" s="13">
        <v>44561</v>
      </c>
      <c r="E1655" t="s">
        <v>30</v>
      </c>
      <c r="F1655">
        <v>0</v>
      </c>
      <c r="G1655" t="s">
        <v>18</v>
      </c>
      <c r="H1655">
        <v>1</v>
      </c>
      <c r="I1655" t="s">
        <v>19</v>
      </c>
      <c r="J1655">
        <v>233</v>
      </c>
      <c r="K1655" t="s">
        <v>31</v>
      </c>
      <c r="L1655" s="13">
        <v>44461</v>
      </c>
      <c r="M1655" t="s">
        <v>635</v>
      </c>
      <c r="N1655" t="s">
        <v>46</v>
      </c>
      <c r="O1655">
        <v>52.4</v>
      </c>
      <c r="P1655" t="s">
        <v>46</v>
      </c>
    </row>
    <row r="1656" spans="1:16" ht="15" customHeight="1" x14ac:dyDescent="0.4">
      <c r="A1656" t="s">
        <v>15</v>
      </c>
      <c r="B1656" t="s">
        <v>16</v>
      </c>
      <c r="C1656" s="13">
        <v>44197</v>
      </c>
      <c r="D1656" s="13">
        <v>44561</v>
      </c>
      <c r="E1656" t="s">
        <v>30</v>
      </c>
      <c r="F1656">
        <v>0</v>
      </c>
      <c r="G1656" t="s">
        <v>18</v>
      </c>
      <c r="H1656">
        <v>1</v>
      </c>
      <c r="I1656" t="s">
        <v>19</v>
      </c>
      <c r="J1656">
        <v>233</v>
      </c>
      <c r="K1656" t="s">
        <v>31</v>
      </c>
      <c r="L1656" s="13">
        <v>44503</v>
      </c>
      <c r="M1656" t="s">
        <v>636</v>
      </c>
      <c r="N1656" t="s">
        <v>46</v>
      </c>
      <c r="O1656">
        <v>114.95</v>
      </c>
      <c r="P1656" t="s">
        <v>46</v>
      </c>
    </row>
    <row r="1657" spans="1:16" ht="15" customHeight="1" x14ac:dyDescent="0.4">
      <c r="A1657" t="s">
        <v>15</v>
      </c>
      <c r="B1657" t="s">
        <v>16</v>
      </c>
      <c r="C1657" s="13">
        <v>44197</v>
      </c>
      <c r="D1657" s="13">
        <v>44561</v>
      </c>
      <c r="E1657" t="s">
        <v>17</v>
      </c>
      <c r="F1657">
        <v>0</v>
      </c>
      <c r="G1657" t="s">
        <v>18</v>
      </c>
      <c r="H1657">
        <v>1</v>
      </c>
      <c r="I1657" t="s">
        <v>19</v>
      </c>
      <c r="J1657">
        <v>242</v>
      </c>
      <c r="K1657" t="s">
        <v>40</v>
      </c>
      <c r="L1657" s="13">
        <v>44212</v>
      </c>
      <c r="M1657" t="s">
        <v>637</v>
      </c>
      <c r="N1657" t="s">
        <v>638</v>
      </c>
      <c r="O1657">
        <v>1545.31</v>
      </c>
      <c r="P1657" t="s">
        <v>43</v>
      </c>
    </row>
    <row r="1658" spans="1:16" ht="15" customHeight="1" x14ac:dyDescent="0.4">
      <c r="A1658" t="s">
        <v>15</v>
      </c>
      <c r="B1658" t="s">
        <v>16</v>
      </c>
      <c r="C1658" s="13">
        <v>44197</v>
      </c>
      <c r="D1658" s="13">
        <v>44561</v>
      </c>
      <c r="E1658" t="s">
        <v>17</v>
      </c>
      <c r="F1658">
        <v>0</v>
      </c>
      <c r="G1658" t="s">
        <v>18</v>
      </c>
      <c r="H1658">
        <v>1</v>
      </c>
      <c r="I1658" t="s">
        <v>19</v>
      </c>
      <c r="J1658">
        <v>242</v>
      </c>
      <c r="K1658" t="s">
        <v>40</v>
      </c>
      <c r="L1658" s="13">
        <v>44561</v>
      </c>
      <c r="M1658" t="s">
        <v>48</v>
      </c>
      <c r="N1658" t="s">
        <v>45</v>
      </c>
      <c r="O1658">
        <v>-111.66</v>
      </c>
      <c r="P1658" t="s">
        <v>46</v>
      </c>
    </row>
    <row r="1659" spans="1:16" ht="15" customHeight="1" x14ac:dyDescent="0.4">
      <c r="A1659" t="s">
        <v>15</v>
      </c>
      <c r="B1659" t="s">
        <v>16</v>
      </c>
      <c r="C1659" s="13">
        <v>44197</v>
      </c>
      <c r="D1659" s="13">
        <v>44561</v>
      </c>
      <c r="E1659" t="s">
        <v>17</v>
      </c>
      <c r="F1659">
        <v>0</v>
      </c>
      <c r="G1659" t="s">
        <v>18</v>
      </c>
      <c r="H1659">
        <v>1</v>
      </c>
      <c r="I1659" t="s">
        <v>19</v>
      </c>
      <c r="J1659">
        <v>242</v>
      </c>
      <c r="K1659" t="s">
        <v>40</v>
      </c>
      <c r="L1659" s="13">
        <v>44561</v>
      </c>
      <c r="M1659" t="s">
        <v>44</v>
      </c>
      <c r="N1659" t="s">
        <v>45</v>
      </c>
      <c r="O1659">
        <v>-334.98</v>
      </c>
      <c r="P1659" t="s">
        <v>46</v>
      </c>
    </row>
    <row r="1660" spans="1:16" ht="15" customHeight="1" x14ac:dyDescent="0.4">
      <c r="A1660" t="s">
        <v>15</v>
      </c>
      <c r="B1660" t="s">
        <v>16</v>
      </c>
      <c r="C1660" s="13">
        <v>44197</v>
      </c>
      <c r="D1660" s="13">
        <v>44561</v>
      </c>
      <c r="E1660" t="s">
        <v>17</v>
      </c>
      <c r="F1660">
        <v>0</v>
      </c>
      <c r="G1660" t="s">
        <v>18</v>
      </c>
      <c r="H1660">
        <v>1</v>
      </c>
      <c r="I1660" t="s">
        <v>19</v>
      </c>
      <c r="J1660">
        <v>242</v>
      </c>
      <c r="K1660" t="s">
        <v>40</v>
      </c>
      <c r="L1660" s="13">
        <v>44561</v>
      </c>
      <c r="M1660" t="s">
        <v>47</v>
      </c>
      <c r="N1660" t="s">
        <v>45</v>
      </c>
      <c r="O1660">
        <v>-446.64</v>
      </c>
      <c r="P1660" t="s">
        <v>46</v>
      </c>
    </row>
    <row r="1661" spans="1:16" ht="15" customHeight="1" x14ac:dyDescent="0.4">
      <c r="A1661" t="s">
        <v>15</v>
      </c>
      <c r="B1661" t="s">
        <v>16</v>
      </c>
      <c r="C1661" s="13">
        <v>44197</v>
      </c>
      <c r="D1661" s="13">
        <v>44561</v>
      </c>
      <c r="E1661" t="s">
        <v>17</v>
      </c>
      <c r="F1661">
        <v>0</v>
      </c>
      <c r="G1661" t="s">
        <v>18</v>
      </c>
      <c r="H1661">
        <v>1</v>
      </c>
      <c r="I1661" t="s">
        <v>19</v>
      </c>
      <c r="J1661">
        <v>268</v>
      </c>
      <c r="K1661" t="s">
        <v>3585</v>
      </c>
      <c r="L1661" s="13">
        <v>44216</v>
      </c>
      <c r="M1661" t="s">
        <v>351</v>
      </c>
      <c r="N1661" t="s">
        <v>639</v>
      </c>
      <c r="O1661">
        <v>13.56</v>
      </c>
      <c r="P1661" t="s">
        <v>52</v>
      </c>
    </row>
    <row r="1662" spans="1:16" ht="15" customHeight="1" x14ac:dyDescent="0.4">
      <c r="A1662" t="s">
        <v>15</v>
      </c>
      <c r="B1662" t="s">
        <v>16</v>
      </c>
      <c r="C1662" s="13">
        <v>44197</v>
      </c>
      <c r="D1662" s="13">
        <v>44561</v>
      </c>
      <c r="E1662" t="s">
        <v>17</v>
      </c>
      <c r="F1662">
        <v>0</v>
      </c>
      <c r="G1662" t="s">
        <v>18</v>
      </c>
      <c r="H1662">
        <v>1</v>
      </c>
      <c r="I1662" t="s">
        <v>19</v>
      </c>
      <c r="J1662">
        <v>268</v>
      </c>
      <c r="K1662" t="s">
        <v>3585</v>
      </c>
      <c r="L1662" s="13">
        <v>44275</v>
      </c>
      <c r="M1662" t="s">
        <v>351</v>
      </c>
      <c r="N1662" t="s">
        <v>640</v>
      </c>
      <c r="O1662">
        <v>16.440000000000001</v>
      </c>
      <c r="P1662" t="s">
        <v>52</v>
      </c>
    </row>
    <row r="1663" spans="1:16" ht="15" customHeight="1" x14ac:dyDescent="0.4">
      <c r="A1663" t="s">
        <v>15</v>
      </c>
      <c r="B1663" t="s">
        <v>16</v>
      </c>
      <c r="C1663" s="13">
        <v>44197</v>
      </c>
      <c r="D1663" s="13">
        <v>44561</v>
      </c>
      <c r="E1663" t="s">
        <v>17</v>
      </c>
      <c r="F1663">
        <v>0</v>
      </c>
      <c r="G1663" t="s">
        <v>18</v>
      </c>
      <c r="H1663">
        <v>1</v>
      </c>
      <c r="I1663" t="s">
        <v>19</v>
      </c>
      <c r="J1663">
        <v>268</v>
      </c>
      <c r="K1663" t="s">
        <v>3585</v>
      </c>
      <c r="L1663" s="13">
        <v>44336</v>
      </c>
      <c r="M1663" t="s">
        <v>351</v>
      </c>
      <c r="N1663" t="s">
        <v>641</v>
      </c>
      <c r="O1663">
        <v>40.94</v>
      </c>
      <c r="P1663" t="s">
        <v>52</v>
      </c>
    </row>
    <row r="1664" spans="1:16" ht="15" customHeight="1" x14ac:dyDescent="0.4">
      <c r="A1664" t="s">
        <v>15</v>
      </c>
      <c r="B1664" t="s">
        <v>16</v>
      </c>
      <c r="C1664" s="13">
        <v>44197</v>
      </c>
      <c r="D1664" s="13">
        <v>44561</v>
      </c>
      <c r="E1664" t="s">
        <v>17</v>
      </c>
      <c r="F1664">
        <v>0</v>
      </c>
      <c r="G1664" t="s">
        <v>18</v>
      </c>
      <c r="H1664">
        <v>1</v>
      </c>
      <c r="I1664" t="s">
        <v>19</v>
      </c>
      <c r="J1664">
        <v>268</v>
      </c>
      <c r="K1664" t="s">
        <v>3585</v>
      </c>
      <c r="L1664" s="13">
        <v>44397</v>
      </c>
      <c r="M1664" t="s">
        <v>351</v>
      </c>
      <c r="N1664" t="s">
        <v>642</v>
      </c>
      <c r="O1664">
        <v>55.9</v>
      </c>
      <c r="P1664" t="s">
        <v>52</v>
      </c>
    </row>
    <row r="1665" spans="1:16" ht="15" customHeight="1" x14ac:dyDescent="0.4">
      <c r="A1665" t="s">
        <v>15</v>
      </c>
      <c r="B1665" t="s">
        <v>16</v>
      </c>
      <c r="C1665" s="13">
        <v>44197</v>
      </c>
      <c r="D1665" s="13">
        <v>44561</v>
      </c>
      <c r="E1665" t="s">
        <v>17</v>
      </c>
      <c r="F1665">
        <v>0</v>
      </c>
      <c r="G1665" t="s">
        <v>18</v>
      </c>
      <c r="H1665">
        <v>1</v>
      </c>
      <c r="I1665" t="s">
        <v>19</v>
      </c>
      <c r="J1665">
        <v>268</v>
      </c>
      <c r="K1665" t="s">
        <v>3585</v>
      </c>
      <c r="L1665" s="13">
        <v>44431</v>
      </c>
      <c r="M1665" t="s">
        <v>351</v>
      </c>
      <c r="N1665" t="s">
        <v>643</v>
      </c>
      <c r="O1665">
        <v>29.47</v>
      </c>
      <c r="P1665" t="s">
        <v>52</v>
      </c>
    </row>
    <row r="1666" spans="1:16" ht="15" customHeight="1" x14ac:dyDescent="0.4">
      <c r="A1666" t="s">
        <v>15</v>
      </c>
      <c r="B1666" t="s">
        <v>16</v>
      </c>
      <c r="C1666" s="13">
        <v>44197</v>
      </c>
      <c r="D1666" s="13">
        <v>44561</v>
      </c>
      <c r="E1666" t="s">
        <v>17</v>
      </c>
      <c r="F1666">
        <v>0</v>
      </c>
      <c r="G1666" t="s">
        <v>18</v>
      </c>
      <c r="H1666">
        <v>1</v>
      </c>
      <c r="I1666" t="s">
        <v>19</v>
      </c>
      <c r="J1666">
        <v>268</v>
      </c>
      <c r="K1666" t="s">
        <v>3585</v>
      </c>
      <c r="L1666" s="13">
        <v>44459</v>
      </c>
      <c r="M1666" t="s">
        <v>351</v>
      </c>
      <c r="N1666" t="s">
        <v>644</v>
      </c>
      <c r="O1666">
        <v>31.99</v>
      </c>
      <c r="P1666" t="s">
        <v>52</v>
      </c>
    </row>
    <row r="1667" spans="1:16" ht="15" customHeight="1" x14ac:dyDescent="0.4">
      <c r="A1667" t="s">
        <v>15</v>
      </c>
      <c r="B1667" t="s">
        <v>16</v>
      </c>
      <c r="C1667" s="13">
        <v>44197</v>
      </c>
      <c r="D1667" s="13">
        <v>44561</v>
      </c>
      <c r="E1667" t="s">
        <v>17</v>
      </c>
      <c r="F1667">
        <v>0</v>
      </c>
      <c r="G1667" t="s">
        <v>18</v>
      </c>
      <c r="H1667">
        <v>1</v>
      </c>
      <c r="I1667" t="s">
        <v>19</v>
      </c>
      <c r="J1667">
        <v>268</v>
      </c>
      <c r="K1667" t="s">
        <v>3585</v>
      </c>
      <c r="L1667" s="13">
        <v>44490</v>
      </c>
      <c r="M1667" t="s">
        <v>351</v>
      </c>
      <c r="N1667" t="s">
        <v>645</v>
      </c>
      <c r="O1667">
        <v>28.63</v>
      </c>
      <c r="P1667" t="s">
        <v>52</v>
      </c>
    </row>
    <row r="1668" spans="1:16" ht="15" customHeight="1" x14ac:dyDescent="0.4">
      <c r="A1668" t="s">
        <v>15</v>
      </c>
      <c r="B1668" t="s">
        <v>16</v>
      </c>
      <c r="C1668" s="13">
        <v>44197</v>
      </c>
      <c r="D1668" s="13">
        <v>44561</v>
      </c>
      <c r="E1668" t="s">
        <v>17</v>
      </c>
      <c r="F1668">
        <v>0</v>
      </c>
      <c r="G1668" t="s">
        <v>18</v>
      </c>
      <c r="H1668">
        <v>1</v>
      </c>
      <c r="I1668" t="s">
        <v>19</v>
      </c>
      <c r="J1668">
        <v>268</v>
      </c>
      <c r="K1668" t="s">
        <v>3585</v>
      </c>
      <c r="L1668" s="13">
        <v>44520</v>
      </c>
      <c r="M1668" t="s">
        <v>351</v>
      </c>
      <c r="N1668" t="s">
        <v>646</v>
      </c>
      <c r="O1668">
        <v>18.71</v>
      </c>
      <c r="P1668" t="s">
        <v>52</v>
      </c>
    </row>
    <row r="1669" spans="1:16" ht="15" customHeight="1" x14ac:dyDescent="0.4">
      <c r="A1669" t="s">
        <v>15</v>
      </c>
      <c r="B1669" t="s">
        <v>16</v>
      </c>
      <c r="C1669" s="13">
        <v>44197</v>
      </c>
      <c r="D1669" s="13">
        <v>44561</v>
      </c>
      <c r="E1669" t="s">
        <v>17</v>
      </c>
      <c r="F1669">
        <v>0</v>
      </c>
      <c r="G1669" t="s">
        <v>18</v>
      </c>
      <c r="H1669">
        <v>1</v>
      </c>
      <c r="I1669" t="s">
        <v>19</v>
      </c>
      <c r="J1669">
        <v>268</v>
      </c>
      <c r="K1669" t="s">
        <v>3585</v>
      </c>
      <c r="L1669" s="13">
        <v>44550</v>
      </c>
      <c r="M1669" t="s">
        <v>351</v>
      </c>
      <c r="N1669" t="s">
        <v>647</v>
      </c>
      <c r="O1669">
        <v>6.1</v>
      </c>
      <c r="P1669" t="s">
        <v>52</v>
      </c>
    </row>
    <row r="1670" spans="1:16" ht="15" customHeight="1" x14ac:dyDescent="0.4">
      <c r="A1670" t="s">
        <v>15</v>
      </c>
      <c r="B1670" t="s">
        <v>16</v>
      </c>
      <c r="C1670" s="13">
        <v>44197</v>
      </c>
      <c r="D1670" s="13">
        <v>44561</v>
      </c>
      <c r="E1670" t="s">
        <v>17</v>
      </c>
      <c r="F1670">
        <v>0</v>
      </c>
      <c r="G1670" t="s">
        <v>18</v>
      </c>
      <c r="H1670">
        <v>1</v>
      </c>
      <c r="I1670" t="s">
        <v>19</v>
      </c>
      <c r="J1670">
        <v>269</v>
      </c>
      <c r="K1670" t="s">
        <v>3589</v>
      </c>
      <c r="L1670" s="13">
        <v>44216</v>
      </c>
      <c r="M1670" t="s">
        <v>351</v>
      </c>
      <c r="N1670" t="s">
        <v>639</v>
      </c>
      <c r="O1670">
        <v>101.74</v>
      </c>
      <c r="P1670" t="s">
        <v>52</v>
      </c>
    </row>
    <row r="1671" spans="1:16" ht="15" customHeight="1" x14ac:dyDescent="0.4">
      <c r="A1671" t="s">
        <v>15</v>
      </c>
      <c r="B1671" t="s">
        <v>16</v>
      </c>
      <c r="C1671" s="13">
        <v>44197</v>
      </c>
      <c r="D1671" s="13">
        <v>44561</v>
      </c>
      <c r="E1671" t="s">
        <v>17</v>
      </c>
      <c r="F1671">
        <v>0</v>
      </c>
      <c r="G1671" t="s">
        <v>18</v>
      </c>
      <c r="H1671">
        <v>1</v>
      </c>
      <c r="I1671" t="s">
        <v>19</v>
      </c>
      <c r="J1671">
        <v>269</v>
      </c>
      <c r="K1671" t="s">
        <v>3589</v>
      </c>
      <c r="L1671" s="13">
        <v>44275</v>
      </c>
      <c r="M1671" t="s">
        <v>351</v>
      </c>
      <c r="N1671" t="s">
        <v>640</v>
      </c>
      <c r="O1671">
        <v>123.3</v>
      </c>
      <c r="P1671" t="s">
        <v>52</v>
      </c>
    </row>
    <row r="1672" spans="1:16" ht="15" customHeight="1" x14ac:dyDescent="0.4">
      <c r="A1672" t="s">
        <v>15</v>
      </c>
      <c r="B1672" t="s">
        <v>16</v>
      </c>
      <c r="C1672" s="13">
        <v>44197</v>
      </c>
      <c r="D1672" s="13">
        <v>44561</v>
      </c>
      <c r="E1672" t="s">
        <v>17</v>
      </c>
      <c r="F1672">
        <v>0</v>
      </c>
      <c r="G1672" t="s">
        <v>18</v>
      </c>
      <c r="H1672">
        <v>1</v>
      </c>
      <c r="I1672" t="s">
        <v>19</v>
      </c>
      <c r="J1672">
        <v>269</v>
      </c>
      <c r="K1672" t="s">
        <v>3589</v>
      </c>
      <c r="L1672" s="13">
        <v>44336</v>
      </c>
      <c r="M1672" t="s">
        <v>351</v>
      </c>
      <c r="N1672" t="s">
        <v>641</v>
      </c>
      <c r="O1672">
        <v>307</v>
      </c>
      <c r="P1672" t="s">
        <v>52</v>
      </c>
    </row>
    <row r="1673" spans="1:16" ht="15" customHeight="1" x14ac:dyDescent="0.4">
      <c r="A1673" t="s">
        <v>15</v>
      </c>
      <c r="B1673" t="s">
        <v>16</v>
      </c>
      <c r="C1673" s="13">
        <v>44197</v>
      </c>
      <c r="D1673" s="13">
        <v>44561</v>
      </c>
      <c r="E1673" t="s">
        <v>17</v>
      </c>
      <c r="F1673">
        <v>0</v>
      </c>
      <c r="G1673" t="s">
        <v>18</v>
      </c>
      <c r="H1673">
        <v>1</v>
      </c>
      <c r="I1673" t="s">
        <v>19</v>
      </c>
      <c r="J1673">
        <v>269</v>
      </c>
      <c r="K1673" t="s">
        <v>3589</v>
      </c>
      <c r="L1673" s="13">
        <v>44397</v>
      </c>
      <c r="M1673" t="s">
        <v>351</v>
      </c>
      <c r="N1673" t="s">
        <v>642</v>
      </c>
      <c r="O1673">
        <v>419.21</v>
      </c>
      <c r="P1673" t="s">
        <v>52</v>
      </c>
    </row>
    <row r="1674" spans="1:16" ht="15" customHeight="1" x14ac:dyDescent="0.4">
      <c r="A1674" t="s">
        <v>15</v>
      </c>
      <c r="B1674" t="s">
        <v>16</v>
      </c>
      <c r="C1674" s="13">
        <v>44197</v>
      </c>
      <c r="D1674" s="13">
        <v>44561</v>
      </c>
      <c r="E1674" t="s">
        <v>17</v>
      </c>
      <c r="F1674">
        <v>0</v>
      </c>
      <c r="G1674" t="s">
        <v>18</v>
      </c>
      <c r="H1674">
        <v>1</v>
      </c>
      <c r="I1674" t="s">
        <v>19</v>
      </c>
      <c r="J1674">
        <v>269</v>
      </c>
      <c r="K1674" t="s">
        <v>3589</v>
      </c>
      <c r="L1674" s="13">
        <v>44431</v>
      </c>
      <c r="M1674" t="s">
        <v>351</v>
      </c>
      <c r="N1674" t="s">
        <v>643</v>
      </c>
      <c r="O1674">
        <v>221.04</v>
      </c>
      <c r="P1674" t="s">
        <v>52</v>
      </c>
    </row>
    <row r="1675" spans="1:16" ht="15" customHeight="1" x14ac:dyDescent="0.4">
      <c r="A1675" t="s">
        <v>15</v>
      </c>
      <c r="B1675" t="s">
        <v>16</v>
      </c>
      <c r="C1675" s="13">
        <v>44197</v>
      </c>
      <c r="D1675" s="13">
        <v>44561</v>
      </c>
      <c r="E1675" t="s">
        <v>17</v>
      </c>
      <c r="F1675">
        <v>0</v>
      </c>
      <c r="G1675" t="s">
        <v>18</v>
      </c>
      <c r="H1675">
        <v>1</v>
      </c>
      <c r="I1675" t="s">
        <v>19</v>
      </c>
      <c r="J1675">
        <v>269</v>
      </c>
      <c r="K1675" t="s">
        <v>3589</v>
      </c>
      <c r="L1675" s="13">
        <v>44459</v>
      </c>
      <c r="M1675" t="s">
        <v>351</v>
      </c>
      <c r="N1675" t="s">
        <v>644</v>
      </c>
      <c r="O1675">
        <v>239.94</v>
      </c>
      <c r="P1675" t="s">
        <v>52</v>
      </c>
    </row>
    <row r="1676" spans="1:16" ht="15" customHeight="1" x14ac:dyDescent="0.4">
      <c r="A1676" t="s">
        <v>15</v>
      </c>
      <c r="B1676" t="s">
        <v>16</v>
      </c>
      <c r="C1676" s="13">
        <v>44197</v>
      </c>
      <c r="D1676" s="13">
        <v>44561</v>
      </c>
      <c r="E1676" t="s">
        <v>17</v>
      </c>
      <c r="F1676">
        <v>0</v>
      </c>
      <c r="G1676" t="s">
        <v>18</v>
      </c>
      <c r="H1676">
        <v>1</v>
      </c>
      <c r="I1676" t="s">
        <v>19</v>
      </c>
      <c r="J1676">
        <v>269</v>
      </c>
      <c r="K1676" t="s">
        <v>3589</v>
      </c>
      <c r="L1676" s="13">
        <v>44490</v>
      </c>
      <c r="M1676" t="s">
        <v>351</v>
      </c>
      <c r="N1676" t="s">
        <v>645</v>
      </c>
      <c r="O1676">
        <v>214.69</v>
      </c>
      <c r="P1676" t="s">
        <v>52</v>
      </c>
    </row>
    <row r="1677" spans="1:16" ht="15" customHeight="1" x14ac:dyDescent="0.4">
      <c r="A1677" t="s">
        <v>15</v>
      </c>
      <c r="B1677" t="s">
        <v>16</v>
      </c>
      <c r="C1677" s="13">
        <v>44197</v>
      </c>
      <c r="D1677" s="13">
        <v>44561</v>
      </c>
      <c r="E1677" t="s">
        <v>17</v>
      </c>
      <c r="F1677">
        <v>0</v>
      </c>
      <c r="G1677" t="s">
        <v>18</v>
      </c>
      <c r="H1677">
        <v>1</v>
      </c>
      <c r="I1677" t="s">
        <v>19</v>
      </c>
      <c r="J1677">
        <v>269</v>
      </c>
      <c r="K1677" t="s">
        <v>3589</v>
      </c>
      <c r="L1677" s="13">
        <v>44520</v>
      </c>
      <c r="M1677" t="s">
        <v>351</v>
      </c>
      <c r="N1677" t="s">
        <v>646</v>
      </c>
      <c r="O1677">
        <v>140.34</v>
      </c>
      <c r="P1677" t="s">
        <v>52</v>
      </c>
    </row>
    <row r="1678" spans="1:16" ht="15" customHeight="1" x14ac:dyDescent="0.4">
      <c r="A1678" t="s">
        <v>15</v>
      </c>
      <c r="B1678" t="s">
        <v>16</v>
      </c>
      <c r="C1678" s="13">
        <v>44197</v>
      </c>
      <c r="D1678" s="13">
        <v>44561</v>
      </c>
      <c r="E1678" t="s">
        <v>17</v>
      </c>
      <c r="F1678">
        <v>0</v>
      </c>
      <c r="G1678" t="s">
        <v>18</v>
      </c>
      <c r="H1678">
        <v>1</v>
      </c>
      <c r="I1678" t="s">
        <v>19</v>
      </c>
      <c r="J1678">
        <v>269</v>
      </c>
      <c r="K1678" t="s">
        <v>3589</v>
      </c>
      <c r="L1678" s="13">
        <v>44550</v>
      </c>
      <c r="M1678" t="s">
        <v>351</v>
      </c>
      <c r="N1678" t="s">
        <v>647</v>
      </c>
      <c r="O1678">
        <v>45.72</v>
      </c>
      <c r="P1678" t="s">
        <v>52</v>
      </c>
    </row>
    <row r="1679" spans="1:16" ht="15" customHeight="1" x14ac:dyDescent="0.4">
      <c r="A1679" t="s">
        <v>15</v>
      </c>
      <c r="B1679" t="s">
        <v>16</v>
      </c>
      <c r="C1679" s="13">
        <v>44197</v>
      </c>
      <c r="D1679" s="13">
        <v>44561</v>
      </c>
      <c r="E1679" t="s">
        <v>17</v>
      </c>
      <c r="F1679">
        <v>0</v>
      </c>
      <c r="G1679" t="s">
        <v>18</v>
      </c>
      <c r="H1679">
        <v>1</v>
      </c>
      <c r="I1679" t="s">
        <v>19</v>
      </c>
      <c r="J1679">
        <v>269</v>
      </c>
      <c r="K1679" t="s">
        <v>3589</v>
      </c>
      <c r="L1679" s="13">
        <v>44561</v>
      </c>
      <c r="M1679" t="s">
        <v>77</v>
      </c>
      <c r="N1679" t="s">
        <v>46</v>
      </c>
      <c r="O1679">
        <v>-1812.98</v>
      </c>
      <c r="P1679" t="s">
        <v>46</v>
      </c>
    </row>
    <row r="1680" spans="1:16" ht="15" customHeight="1" x14ac:dyDescent="0.4">
      <c r="A1680" t="s">
        <v>15</v>
      </c>
      <c r="B1680" t="s">
        <v>16</v>
      </c>
      <c r="C1680" s="13">
        <v>44197</v>
      </c>
      <c r="D1680" s="13">
        <v>44561</v>
      </c>
      <c r="E1680" t="s">
        <v>17</v>
      </c>
      <c r="F1680">
        <v>0</v>
      </c>
      <c r="G1680" t="s">
        <v>18</v>
      </c>
      <c r="H1680">
        <v>1</v>
      </c>
      <c r="I1680" t="s">
        <v>19</v>
      </c>
      <c r="J1680">
        <v>281</v>
      </c>
      <c r="K1680" t="s">
        <v>78</v>
      </c>
      <c r="L1680" s="13">
        <v>44246</v>
      </c>
      <c r="M1680" t="s">
        <v>648</v>
      </c>
      <c r="N1680" t="s">
        <v>649</v>
      </c>
      <c r="O1680">
        <v>6043.22</v>
      </c>
      <c r="P1680" t="s">
        <v>81</v>
      </c>
    </row>
    <row r="1681" spans="1:16" ht="15" customHeight="1" x14ac:dyDescent="0.4">
      <c r="A1681" t="s">
        <v>15</v>
      </c>
      <c r="B1681" t="s">
        <v>16</v>
      </c>
      <c r="C1681" s="13">
        <v>44197</v>
      </c>
      <c r="D1681" s="13">
        <v>44561</v>
      </c>
      <c r="E1681" t="s">
        <v>17</v>
      </c>
      <c r="F1681">
        <v>0</v>
      </c>
      <c r="G1681" t="s">
        <v>18</v>
      </c>
      <c r="H1681">
        <v>1</v>
      </c>
      <c r="I1681" t="s">
        <v>19</v>
      </c>
      <c r="J1681">
        <v>281</v>
      </c>
      <c r="K1681" t="s">
        <v>78</v>
      </c>
      <c r="L1681" s="13">
        <v>44435</v>
      </c>
      <c r="M1681" t="s">
        <v>650</v>
      </c>
      <c r="N1681" t="s">
        <v>651</v>
      </c>
      <c r="O1681">
        <v>5676.64</v>
      </c>
      <c r="P1681" t="s">
        <v>81</v>
      </c>
    </row>
    <row r="1682" spans="1:16" ht="15" customHeight="1" x14ac:dyDescent="0.4">
      <c r="A1682" t="s">
        <v>15</v>
      </c>
      <c r="B1682" t="s">
        <v>16</v>
      </c>
      <c r="C1682" s="13">
        <v>44197</v>
      </c>
      <c r="D1682" s="13">
        <v>44561</v>
      </c>
      <c r="E1682" t="s">
        <v>17</v>
      </c>
      <c r="F1682">
        <v>0</v>
      </c>
      <c r="G1682" t="s">
        <v>18</v>
      </c>
      <c r="H1682">
        <v>1</v>
      </c>
      <c r="I1682" t="s">
        <v>19</v>
      </c>
      <c r="J1682">
        <v>281</v>
      </c>
      <c r="K1682" t="s">
        <v>78</v>
      </c>
      <c r="L1682" s="13">
        <v>44561</v>
      </c>
      <c r="M1682" t="s">
        <v>85</v>
      </c>
      <c r="N1682" t="s">
        <v>86</v>
      </c>
      <c r="O1682">
        <v>-7394.16</v>
      </c>
      <c r="P1682" t="s">
        <v>46</v>
      </c>
    </row>
    <row r="1683" spans="1:16" ht="15" customHeight="1" x14ac:dyDescent="0.4">
      <c r="A1683" t="s">
        <v>15</v>
      </c>
      <c r="B1683" t="s">
        <v>16</v>
      </c>
      <c r="C1683" s="13">
        <v>44197</v>
      </c>
      <c r="D1683" s="13">
        <v>44561</v>
      </c>
      <c r="E1683" t="s">
        <v>17</v>
      </c>
      <c r="F1683">
        <v>0</v>
      </c>
      <c r="G1683" t="s">
        <v>18</v>
      </c>
      <c r="H1683">
        <v>1</v>
      </c>
      <c r="I1683" t="s">
        <v>19</v>
      </c>
      <c r="J1683">
        <v>281</v>
      </c>
      <c r="K1683" t="s">
        <v>78</v>
      </c>
      <c r="L1683" s="13">
        <v>44561</v>
      </c>
      <c r="M1683" t="s">
        <v>88</v>
      </c>
      <c r="N1683" t="s">
        <v>86</v>
      </c>
      <c r="O1683">
        <v>-15.72</v>
      </c>
      <c r="P1683" t="s">
        <v>46</v>
      </c>
    </row>
    <row r="1684" spans="1:16" ht="15" customHeight="1" x14ac:dyDescent="0.4">
      <c r="A1684" t="s">
        <v>15</v>
      </c>
      <c r="B1684" t="s">
        <v>16</v>
      </c>
      <c r="C1684" s="13">
        <v>44197</v>
      </c>
      <c r="D1684" s="13">
        <v>44561</v>
      </c>
      <c r="E1684" t="s">
        <v>17</v>
      </c>
      <c r="F1684">
        <v>0</v>
      </c>
      <c r="G1684" t="s">
        <v>18</v>
      </c>
      <c r="H1684">
        <v>1</v>
      </c>
      <c r="I1684" t="s">
        <v>19</v>
      </c>
      <c r="J1684">
        <v>281</v>
      </c>
      <c r="K1684" t="s">
        <v>78</v>
      </c>
      <c r="L1684" s="13">
        <v>44561</v>
      </c>
      <c r="M1684" t="s">
        <v>89</v>
      </c>
      <c r="N1684" t="s">
        <v>86</v>
      </c>
      <c r="O1684">
        <v>-1166.8800000000001</v>
      </c>
      <c r="P1684" t="s">
        <v>46</v>
      </c>
    </row>
    <row r="1685" spans="1:16" ht="15" customHeight="1" x14ac:dyDescent="0.4">
      <c r="A1685" t="s">
        <v>15</v>
      </c>
      <c r="B1685" t="s">
        <v>16</v>
      </c>
      <c r="C1685" s="13">
        <v>44197</v>
      </c>
      <c r="D1685" s="13">
        <v>44561</v>
      </c>
      <c r="E1685" t="s">
        <v>17</v>
      </c>
      <c r="F1685">
        <v>0</v>
      </c>
      <c r="G1685" t="s">
        <v>18</v>
      </c>
      <c r="H1685">
        <v>1</v>
      </c>
      <c r="I1685" t="s">
        <v>19</v>
      </c>
      <c r="J1685">
        <v>281</v>
      </c>
      <c r="K1685" t="s">
        <v>78</v>
      </c>
      <c r="L1685" s="13">
        <v>44561</v>
      </c>
      <c r="M1685" t="s">
        <v>90</v>
      </c>
      <c r="N1685" t="s">
        <v>86</v>
      </c>
      <c r="O1685">
        <v>-1312.25</v>
      </c>
      <c r="P1685" t="s">
        <v>46</v>
      </c>
    </row>
    <row r="1686" spans="1:16" ht="15" customHeight="1" x14ac:dyDescent="0.4">
      <c r="A1686" t="s">
        <v>15</v>
      </c>
      <c r="B1686" t="s">
        <v>16</v>
      </c>
      <c r="C1686" s="13">
        <v>44197</v>
      </c>
      <c r="D1686" s="13">
        <v>44561</v>
      </c>
      <c r="E1686" t="s">
        <v>17</v>
      </c>
      <c r="F1686">
        <v>0</v>
      </c>
      <c r="G1686" t="s">
        <v>18</v>
      </c>
      <c r="H1686">
        <v>1</v>
      </c>
      <c r="I1686" t="s">
        <v>19</v>
      </c>
      <c r="J1686">
        <v>281</v>
      </c>
      <c r="K1686" t="s">
        <v>78</v>
      </c>
      <c r="L1686" s="13">
        <v>44561</v>
      </c>
      <c r="M1686" t="s">
        <v>87</v>
      </c>
      <c r="N1686" t="s">
        <v>86</v>
      </c>
      <c r="O1686">
        <v>-1874.08</v>
      </c>
      <c r="P1686" t="s">
        <v>46</v>
      </c>
    </row>
    <row r="1687" spans="1:16" ht="15" customHeight="1" x14ac:dyDescent="0.4">
      <c r="A1687" t="s">
        <v>15</v>
      </c>
      <c r="B1687" t="s">
        <v>16</v>
      </c>
      <c r="C1687" s="13">
        <v>44197</v>
      </c>
      <c r="D1687" s="13">
        <v>44561</v>
      </c>
      <c r="E1687" t="s">
        <v>17</v>
      </c>
      <c r="F1687">
        <v>0</v>
      </c>
      <c r="G1687" t="s">
        <v>18</v>
      </c>
      <c r="H1687">
        <v>1</v>
      </c>
      <c r="I1687" t="s">
        <v>19</v>
      </c>
      <c r="J1687">
        <v>281</v>
      </c>
      <c r="K1687" t="s">
        <v>78</v>
      </c>
      <c r="L1687" s="13">
        <v>44561</v>
      </c>
      <c r="M1687" t="s">
        <v>652</v>
      </c>
      <c r="N1687" t="s">
        <v>46</v>
      </c>
      <c r="O1687">
        <v>43.23</v>
      </c>
      <c r="P1687" t="s">
        <v>46</v>
      </c>
    </row>
    <row r="1688" spans="1:16" ht="15" customHeight="1" x14ac:dyDescent="0.4">
      <c r="A1688" t="s">
        <v>15</v>
      </c>
      <c r="B1688" t="s">
        <v>16</v>
      </c>
      <c r="C1688" s="13">
        <v>44197</v>
      </c>
      <c r="D1688" s="13">
        <v>44561</v>
      </c>
      <c r="E1688" t="s">
        <v>17</v>
      </c>
      <c r="F1688">
        <v>0</v>
      </c>
      <c r="G1688" t="s">
        <v>18</v>
      </c>
      <c r="H1688">
        <v>1</v>
      </c>
      <c r="I1688" t="s">
        <v>19</v>
      </c>
      <c r="J1688">
        <v>285</v>
      </c>
      <c r="K1688" t="s">
        <v>91</v>
      </c>
      <c r="L1688" s="13">
        <v>44246</v>
      </c>
      <c r="M1688" t="s">
        <v>653</v>
      </c>
      <c r="N1688" t="s">
        <v>654</v>
      </c>
      <c r="O1688">
        <v>2322.44</v>
      </c>
      <c r="P1688" t="s">
        <v>81</v>
      </c>
    </row>
    <row r="1689" spans="1:16" ht="15" customHeight="1" x14ac:dyDescent="0.4">
      <c r="A1689" t="s">
        <v>15</v>
      </c>
      <c r="B1689" t="s">
        <v>16</v>
      </c>
      <c r="C1689" s="13">
        <v>44197</v>
      </c>
      <c r="D1689" s="13">
        <v>44561</v>
      </c>
      <c r="E1689" t="s">
        <v>17</v>
      </c>
      <c r="F1689">
        <v>0</v>
      </c>
      <c r="G1689" t="s">
        <v>18</v>
      </c>
      <c r="H1689">
        <v>1</v>
      </c>
      <c r="I1689" t="s">
        <v>19</v>
      </c>
      <c r="J1689">
        <v>285</v>
      </c>
      <c r="K1689" t="s">
        <v>91</v>
      </c>
      <c r="L1689" s="13">
        <v>44490</v>
      </c>
      <c r="M1689" t="s">
        <v>653</v>
      </c>
      <c r="N1689" t="s">
        <v>655</v>
      </c>
      <c r="O1689">
        <v>2343.11</v>
      </c>
      <c r="P1689" t="s">
        <v>81</v>
      </c>
    </row>
    <row r="1690" spans="1:16" ht="15" customHeight="1" x14ac:dyDescent="0.4">
      <c r="A1690" t="s">
        <v>15</v>
      </c>
      <c r="B1690" t="s">
        <v>16</v>
      </c>
      <c r="C1690" s="13">
        <v>44197</v>
      </c>
      <c r="D1690" s="13">
        <v>44561</v>
      </c>
      <c r="E1690" t="s">
        <v>17</v>
      </c>
      <c r="F1690">
        <v>0</v>
      </c>
      <c r="G1690" t="s">
        <v>18</v>
      </c>
      <c r="H1690">
        <v>1</v>
      </c>
      <c r="I1690" t="s">
        <v>19</v>
      </c>
      <c r="J1690">
        <v>289</v>
      </c>
      <c r="K1690" t="s">
        <v>96</v>
      </c>
      <c r="L1690" s="13">
        <v>44561</v>
      </c>
      <c r="M1690" t="s">
        <v>657</v>
      </c>
      <c r="N1690" t="s">
        <v>98</v>
      </c>
      <c r="O1690">
        <v>22.26</v>
      </c>
      <c r="P1690" t="s">
        <v>46</v>
      </c>
    </row>
    <row r="1691" spans="1:16" ht="15" customHeight="1" x14ac:dyDescent="0.4">
      <c r="A1691" t="s">
        <v>15</v>
      </c>
      <c r="B1691" t="s">
        <v>16</v>
      </c>
      <c r="C1691" s="13">
        <v>44197</v>
      </c>
      <c r="D1691" s="13">
        <v>44561</v>
      </c>
      <c r="E1691" t="s">
        <v>17</v>
      </c>
      <c r="F1691">
        <v>0</v>
      </c>
      <c r="G1691" t="s">
        <v>18</v>
      </c>
      <c r="H1691">
        <v>1</v>
      </c>
      <c r="I1691" t="s">
        <v>19</v>
      </c>
      <c r="J1691">
        <v>289</v>
      </c>
      <c r="K1691" t="s">
        <v>96</v>
      </c>
      <c r="L1691" s="13">
        <v>44561</v>
      </c>
      <c r="M1691" t="s">
        <v>656</v>
      </c>
      <c r="N1691" t="s">
        <v>86</v>
      </c>
      <c r="O1691">
        <v>15.72</v>
      </c>
      <c r="P1691" t="s">
        <v>46</v>
      </c>
    </row>
    <row r="1692" spans="1:16" ht="15" customHeight="1" x14ac:dyDescent="0.4">
      <c r="A1692" t="s">
        <v>15</v>
      </c>
      <c r="B1692" t="s">
        <v>16</v>
      </c>
      <c r="C1692" s="13">
        <v>44197</v>
      </c>
      <c r="D1692" s="13">
        <v>44561</v>
      </c>
      <c r="E1692" t="s">
        <v>17</v>
      </c>
      <c r="F1692">
        <v>0</v>
      </c>
      <c r="G1692" t="s">
        <v>18</v>
      </c>
      <c r="H1692">
        <v>1</v>
      </c>
      <c r="I1692" t="s">
        <v>19</v>
      </c>
      <c r="J1692">
        <v>308</v>
      </c>
      <c r="K1692" t="s">
        <v>100</v>
      </c>
      <c r="L1692" s="13">
        <v>44209</v>
      </c>
      <c r="M1692" t="s">
        <v>658</v>
      </c>
      <c r="N1692" t="s">
        <v>659</v>
      </c>
      <c r="O1692">
        <v>87.6</v>
      </c>
      <c r="P1692" t="s">
        <v>103</v>
      </c>
    </row>
    <row r="1693" spans="1:16" ht="15" customHeight="1" x14ac:dyDescent="0.4">
      <c r="A1693" t="s">
        <v>15</v>
      </c>
      <c r="B1693" t="s">
        <v>16</v>
      </c>
      <c r="C1693" s="13">
        <v>44197</v>
      </c>
      <c r="D1693" s="13">
        <v>44561</v>
      </c>
      <c r="E1693" t="s">
        <v>17</v>
      </c>
      <c r="F1693">
        <v>0</v>
      </c>
      <c r="G1693" t="s">
        <v>18</v>
      </c>
      <c r="H1693">
        <v>1</v>
      </c>
      <c r="I1693" t="s">
        <v>19</v>
      </c>
      <c r="J1693">
        <v>321</v>
      </c>
      <c r="K1693" t="s">
        <v>104</v>
      </c>
      <c r="L1693" s="13">
        <v>44224</v>
      </c>
      <c r="M1693" t="s">
        <v>660</v>
      </c>
      <c r="N1693" t="s">
        <v>661</v>
      </c>
      <c r="O1693">
        <v>2218.7199999999998</v>
      </c>
      <c r="P1693" t="s">
        <v>34</v>
      </c>
    </row>
    <row r="1694" spans="1:16" ht="15" customHeight="1" x14ac:dyDescent="0.4">
      <c r="A1694" t="s">
        <v>15</v>
      </c>
      <c r="B1694" t="s">
        <v>16</v>
      </c>
      <c r="C1694" s="13">
        <v>44197</v>
      </c>
      <c r="D1694" s="13">
        <v>44561</v>
      </c>
      <c r="E1694" t="s">
        <v>17</v>
      </c>
      <c r="F1694">
        <v>0</v>
      </c>
      <c r="G1694" t="s">
        <v>18</v>
      </c>
      <c r="H1694">
        <v>1</v>
      </c>
      <c r="I1694" t="s">
        <v>19</v>
      </c>
      <c r="J1694">
        <v>321</v>
      </c>
      <c r="K1694" t="s">
        <v>104</v>
      </c>
      <c r="L1694" s="13">
        <v>44232</v>
      </c>
      <c r="M1694" t="s">
        <v>662</v>
      </c>
      <c r="N1694" t="s">
        <v>106</v>
      </c>
      <c r="O1694">
        <v>-0.06</v>
      </c>
      <c r="P1694" t="s">
        <v>107</v>
      </c>
    </row>
    <row r="1695" spans="1:16" ht="15" customHeight="1" x14ac:dyDescent="0.4">
      <c r="A1695" t="s">
        <v>15</v>
      </c>
      <c r="B1695" t="s">
        <v>16</v>
      </c>
      <c r="C1695" s="13">
        <v>44197</v>
      </c>
      <c r="D1695" s="13">
        <v>44561</v>
      </c>
      <c r="E1695" t="s">
        <v>17</v>
      </c>
      <c r="F1695">
        <v>0</v>
      </c>
      <c r="G1695" t="s">
        <v>18</v>
      </c>
      <c r="H1695">
        <v>1</v>
      </c>
      <c r="I1695" t="s">
        <v>19</v>
      </c>
      <c r="J1695">
        <v>321</v>
      </c>
      <c r="K1695" t="s">
        <v>104</v>
      </c>
      <c r="L1695" s="13">
        <v>44253</v>
      </c>
      <c r="M1695" t="s">
        <v>663</v>
      </c>
      <c r="N1695" t="s">
        <v>664</v>
      </c>
      <c r="O1695">
        <v>2218.7199999999998</v>
      </c>
      <c r="P1695" t="s">
        <v>34</v>
      </c>
    </row>
    <row r="1696" spans="1:16" ht="15" customHeight="1" x14ac:dyDescent="0.4">
      <c r="A1696" t="s">
        <v>15</v>
      </c>
      <c r="B1696" t="s">
        <v>16</v>
      </c>
      <c r="C1696" s="13">
        <v>44197</v>
      </c>
      <c r="D1696" s="13">
        <v>44561</v>
      </c>
      <c r="E1696" t="s">
        <v>17</v>
      </c>
      <c r="F1696">
        <v>0</v>
      </c>
      <c r="G1696" t="s">
        <v>18</v>
      </c>
      <c r="H1696">
        <v>1</v>
      </c>
      <c r="I1696" t="s">
        <v>19</v>
      </c>
      <c r="J1696">
        <v>321</v>
      </c>
      <c r="K1696" t="s">
        <v>104</v>
      </c>
      <c r="L1696" s="13">
        <v>44257</v>
      </c>
      <c r="M1696" t="s">
        <v>665</v>
      </c>
      <c r="N1696" t="s">
        <v>106</v>
      </c>
      <c r="O1696">
        <v>-0.06</v>
      </c>
      <c r="P1696" t="s">
        <v>107</v>
      </c>
    </row>
    <row r="1697" spans="1:16" ht="15" customHeight="1" x14ac:dyDescent="0.4">
      <c r="A1697" t="s">
        <v>15</v>
      </c>
      <c r="B1697" t="s">
        <v>16</v>
      </c>
      <c r="C1697" s="13">
        <v>44197</v>
      </c>
      <c r="D1697" s="13">
        <v>44561</v>
      </c>
      <c r="E1697" t="s">
        <v>17</v>
      </c>
      <c r="F1697">
        <v>0</v>
      </c>
      <c r="G1697" t="s">
        <v>18</v>
      </c>
      <c r="H1697">
        <v>1</v>
      </c>
      <c r="I1697" t="s">
        <v>19</v>
      </c>
      <c r="J1697">
        <v>321</v>
      </c>
      <c r="K1697" t="s">
        <v>104</v>
      </c>
      <c r="L1697" s="13">
        <v>44285</v>
      </c>
      <c r="M1697" t="s">
        <v>666</v>
      </c>
      <c r="N1697" t="s">
        <v>667</v>
      </c>
      <c r="O1697">
        <v>2266.98</v>
      </c>
      <c r="P1697" t="s">
        <v>34</v>
      </c>
    </row>
    <row r="1698" spans="1:16" ht="15" customHeight="1" x14ac:dyDescent="0.4">
      <c r="A1698" t="s">
        <v>15</v>
      </c>
      <c r="B1698" t="s">
        <v>16</v>
      </c>
      <c r="C1698" s="13">
        <v>44197</v>
      </c>
      <c r="D1698" s="13">
        <v>44561</v>
      </c>
      <c r="E1698" t="s">
        <v>17</v>
      </c>
      <c r="F1698">
        <v>0</v>
      </c>
      <c r="G1698" t="s">
        <v>18</v>
      </c>
      <c r="H1698">
        <v>1</v>
      </c>
      <c r="I1698" t="s">
        <v>19</v>
      </c>
      <c r="J1698">
        <v>321</v>
      </c>
      <c r="K1698" t="s">
        <v>104</v>
      </c>
      <c r="L1698" s="13">
        <v>44287</v>
      </c>
      <c r="M1698" t="s">
        <v>668</v>
      </c>
      <c r="N1698" t="s">
        <v>106</v>
      </c>
      <c r="O1698">
        <v>0.13</v>
      </c>
      <c r="P1698" t="s">
        <v>107</v>
      </c>
    </row>
    <row r="1699" spans="1:16" ht="15" customHeight="1" x14ac:dyDescent="0.4">
      <c r="A1699" t="s">
        <v>15</v>
      </c>
      <c r="B1699" t="s">
        <v>16</v>
      </c>
      <c r="C1699" s="13">
        <v>44197</v>
      </c>
      <c r="D1699" s="13">
        <v>44561</v>
      </c>
      <c r="E1699" t="s">
        <v>17</v>
      </c>
      <c r="F1699">
        <v>0</v>
      </c>
      <c r="G1699" t="s">
        <v>18</v>
      </c>
      <c r="H1699">
        <v>1</v>
      </c>
      <c r="I1699" t="s">
        <v>19</v>
      </c>
      <c r="J1699">
        <v>321</v>
      </c>
      <c r="K1699" t="s">
        <v>104</v>
      </c>
      <c r="L1699" s="13">
        <v>44315</v>
      </c>
      <c r="M1699" t="s">
        <v>669</v>
      </c>
      <c r="N1699" t="s">
        <v>670</v>
      </c>
      <c r="O1699">
        <v>2266.98</v>
      </c>
      <c r="P1699" t="s">
        <v>34</v>
      </c>
    </row>
    <row r="1700" spans="1:16" ht="15" customHeight="1" x14ac:dyDescent="0.4">
      <c r="A1700" t="s">
        <v>15</v>
      </c>
      <c r="B1700" t="s">
        <v>16</v>
      </c>
      <c r="C1700" s="13">
        <v>44197</v>
      </c>
      <c r="D1700" s="13">
        <v>44561</v>
      </c>
      <c r="E1700" t="s">
        <v>17</v>
      </c>
      <c r="F1700">
        <v>0</v>
      </c>
      <c r="G1700" t="s">
        <v>18</v>
      </c>
      <c r="H1700">
        <v>1</v>
      </c>
      <c r="I1700" t="s">
        <v>19</v>
      </c>
      <c r="J1700">
        <v>321</v>
      </c>
      <c r="K1700" t="s">
        <v>104</v>
      </c>
      <c r="L1700" s="13">
        <v>44322</v>
      </c>
      <c r="M1700" t="s">
        <v>671</v>
      </c>
      <c r="N1700" t="s">
        <v>106</v>
      </c>
      <c r="O1700">
        <v>0.13</v>
      </c>
      <c r="P1700" t="s">
        <v>107</v>
      </c>
    </row>
    <row r="1701" spans="1:16" ht="15" customHeight="1" x14ac:dyDescent="0.4">
      <c r="A1701" t="s">
        <v>15</v>
      </c>
      <c r="B1701" t="s">
        <v>16</v>
      </c>
      <c r="C1701" s="13">
        <v>44197</v>
      </c>
      <c r="D1701" s="13">
        <v>44561</v>
      </c>
      <c r="E1701" t="s">
        <v>17</v>
      </c>
      <c r="F1701">
        <v>0</v>
      </c>
      <c r="G1701" t="s">
        <v>18</v>
      </c>
      <c r="H1701">
        <v>1</v>
      </c>
      <c r="I1701" t="s">
        <v>19</v>
      </c>
      <c r="J1701">
        <v>321</v>
      </c>
      <c r="K1701" t="s">
        <v>104</v>
      </c>
      <c r="L1701" s="13">
        <v>44347</v>
      </c>
      <c r="M1701" t="s">
        <v>672</v>
      </c>
      <c r="N1701" t="s">
        <v>673</v>
      </c>
      <c r="O1701">
        <v>2266.98</v>
      </c>
      <c r="P1701" t="s">
        <v>34</v>
      </c>
    </row>
    <row r="1702" spans="1:16" ht="15" customHeight="1" x14ac:dyDescent="0.4">
      <c r="A1702" t="s">
        <v>15</v>
      </c>
      <c r="B1702" t="s">
        <v>16</v>
      </c>
      <c r="C1702" s="13">
        <v>44197</v>
      </c>
      <c r="D1702" s="13">
        <v>44561</v>
      </c>
      <c r="E1702" t="s">
        <v>17</v>
      </c>
      <c r="F1702">
        <v>0</v>
      </c>
      <c r="G1702" t="s">
        <v>18</v>
      </c>
      <c r="H1702">
        <v>1</v>
      </c>
      <c r="I1702" t="s">
        <v>19</v>
      </c>
      <c r="J1702">
        <v>321</v>
      </c>
      <c r="K1702" t="s">
        <v>104</v>
      </c>
      <c r="L1702" s="13">
        <v>44350</v>
      </c>
      <c r="M1702" t="s">
        <v>674</v>
      </c>
      <c r="N1702" t="s">
        <v>106</v>
      </c>
      <c r="O1702">
        <v>0.13</v>
      </c>
      <c r="P1702" t="s">
        <v>107</v>
      </c>
    </row>
    <row r="1703" spans="1:16" ht="15" customHeight="1" x14ac:dyDescent="0.4">
      <c r="A1703" t="s">
        <v>15</v>
      </c>
      <c r="B1703" t="s">
        <v>16</v>
      </c>
      <c r="C1703" s="13">
        <v>44197</v>
      </c>
      <c r="D1703" s="13">
        <v>44561</v>
      </c>
      <c r="E1703" t="s">
        <v>17</v>
      </c>
      <c r="F1703">
        <v>0</v>
      </c>
      <c r="G1703" t="s">
        <v>18</v>
      </c>
      <c r="H1703">
        <v>1</v>
      </c>
      <c r="I1703" t="s">
        <v>19</v>
      </c>
      <c r="J1703">
        <v>321</v>
      </c>
      <c r="K1703" t="s">
        <v>104</v>
      </c>
      <c r="L1703" s="13">
        <v>44372</v>
      </c>
      <c r="M1703" t="s">
        <v>675</v>
      </c>
      <c r="N1703" t="s">
        <v>676</v>
      </c>
      <c r="O1703">
        <v>2346.98</v>
      </c>
      <c r="P1703" t="s">
        <v>34</v>
      </c>
    </row>
    <row r="1704" spans="1:16" ht="15" customHeight="1" x14ac:dyDescent="0.4">
      <c r="A1704" t="s">
        <v>15</v>
      </c>
      <c r="B1704" t="s">
        <v>16</v>
      </c>
      <c r="C1704" s="13">
        <v>44197</v>
      </c>
      <c r="D1704" s="13">
        <v>44561</v>
      </c>
      <c r="E1704" t="s">
        <v>17</v>
      </c>
      <c r="F1704">
        <v>0</v>
      </c>
      <c r="G1704" t="s">
        <v>18</v>
      </c>
      <c r="H1704">
        <v>1</v>
      </c>
      <c r="I1704" t="s">
        <v>19</v>
      </c>
      <c r="J1704">
        <v>321</v>
      </c>
      <c r="K1704" t="s">
        <v>104</v>
      </c>
      <c r="L1704" s="13">
        <v>44385</v>
      </c>
      <c r="M1704" t="s">
        <v>677</v>
      </c>
      <c r="N1704" t="s">
        <v>106</v>
      </c>
      <c r="O1704">
        <v>-0.21</v>
      </c>
      <c r="P1704" t="s">
        <v>107</v>
      </c>
    </row>
    <row r="1705" spans="1:16" ht="15" customHeight="1" x14ac:dyDescent="0.4">
      <c r="A1705" t="s">
        <v>15</v>
      </c>
      <c r="B1705" t="s">
        <v>16</v>
      </c>
      <c r="C1705" s="13">
        <v>44197</v>
      </c>
      <c r="D1705" s="13">
        <v>44561</v>
      </c>
      <c r="E1705" t="s">
        <v>17</v>
      </c>
      <c r="F1705">
        <v>0</v>
      </c>
      <c r="G1705" t="s">
        <v>18</v>
      </c>
      <c r="H1705">
        <v>1</v>
      </c>
      <c r="I1705" t="s">
        <v>19</v>
      </c>
      <c r="J1705">
        <v>321</v>
      </c>
      <c r="K1705" t="s">
        <v>104</v>
      </c>
      <c r="L1705" s="13">
        <v>44400</v>
      </c>
      <c r="M1705" t="s">
        <v>678</v>
      </c>
      <c r="N1705" t="s">
        <v>679</v>
      </c>
      <c r="O1705">
        <v>2266.98</v>
      </c>
      <c r="P1705" t="s">
        <v>34</v>
      </c>
    </row>
    <row r="1706" spans="1:16" ht="15" customHeight="1" x14ac:dyDescent="0.4">
      <c r="A1706" t="s">
        <v>15</v>
      </c>
      <c r="B1706" t="s">
        <v>16</v>
      </c>
      <c r="C1706" s="13">
        <v>44197</v>
      </c>
      <c r="D1706" s="13">
        <v>44561</v>
      </c>
      <c r="E1706" t="s">
        <v>17</v>
      </c>
      <c r="F1706">
        <v>0</v>
      </c>
      <c r="G1706" t="s">
        <v>18</v>
      </c>
      <c r="H1706">
        <v>1</v>
      </c>
      <c r="I1706" t="s">
        <v>19</v>
      </c>
      <c r="J1706">
        <v>321</v>
      </c>
      <c r="K1706" t="s">
        <v>104</v>
      </c>
      <c r="L1706" s="13">
        <v>44407</v>
      </c>
      <c r="M1706" t="s">
        <v>680</v>
      </c>
      <c r="N1706" t="s">
        <v>106</v>
      </c>
      <c r="O1706">
        <v>0.13</v>
      </c>
      <c r="P1706" t="s">
        <v>107</v>
      </c>
    </row>
    <row r="1707" spans="1:16" ht="15" customHeight="1" x14ac:dyDescent="0.4">
      <c r="A1707" t="s">
        <v>15</v>
      </c>
      <c r="B1707" t="s">
        <v>16</v>
      </c>
      <c r="C1707" s="13">
        <v>44197</v>
      </c>
      <c r="D1707" s="13">
        <v>44561</v>
      </c>
      <c r="E1707" t="s">
        <v>17</v>
      </c>
      <c r="F1707">
        <v>0</v>
      </c>
      <c r="G1707" t="s">
        <v>18</v>
      </c>
      <c r="H1707">
        <v>1</v>
      </c>
      <c r="I1707" t="s">
        <v>19</v>
      </c>
      <c r="J1707">
        <v>321</v>
      </c>
      <c r="K1707" t="s">
        <v>104</v>
      </c>
      <c r="L1707" s="13">
        <v>44435</v>
      </c>
      <c r="M1707" t="s">
        <v>681</v>
      </c>
      <c r="N1707" t="s">
        <v>682</v>
      </c>
      <c r="O1707">
        <v>2266.98</v>
      </c>
      <c r="P1707" t="s">
        <v>34</v>
      </c>
    </row>
    <row r="1708" spans="1:16" ht="15" customHeight="1" x14ac:dyDescent="0.4">
      <c r="A1708" t="s">
        <v>15</v>
      </c>
      <c r="B1708" t="s">
        <v>16</v>
      </c>
      <c r="C1708" s="13">
        <v>44197</v>
      </c>
      <c r="D1708" s="13">
        <v>44561</v>
      </c>
      <c r="E1708" t="s">
        <v>17</v>
      </c>
      <c r="F1708">
        <v>0</v>
      </c>
      <c r="G1708" t="s">
        <v>18</v>
      </c>
      <c r="H1708">
        <v>1</v>
      </c>
      <c r="I1708" t="s">
        <v>19</v>
      </c>
      <c r="J1708">
        <v>321</v>
      </c>
      <c r="K1708" t="s">
        <v>104</v>
      </c>
      <c r="L1708" s="13">
        <v>44441</v>
      </c>
      <c r="M1708" t="s">
        <v>683</v>
      </c>
      <c r="N1708" t="s">
        <v>106</v>
      </c>
      <c r="O1708">
        <v>0.13</v>
      </c>
      <c r="P1708" t="s">
        <v>107</v>
      </c>
    </row>
    <row r="1709" spans="1:16" ht="15" customHeight="1" x14ac:dyDescent="0.4">
      <c r="A1709" t="s">
        <v>15</v>
      </c>
      <c r="B1709" t="s">
        <v>16</v>
      </c>
      <c r="C1709" s="13">
        <v>44197</v>
      </c>
      <c r="D1709" s="13">
        <v>44561</v>
      </c>
      <c r="E1709" t="s">
        <v>17</v>
      </c>
      <c r="F1709">
        <v>0</v>
      </c>
      <c r="G1709" t="s">
        <v>18</v>
      </c>
      <c r="H1709">
        <v>1</v>
      </c>
      <c r="I1709" t="s">
        <v>19</v>
      </c>
      <c r="J1709">
        <v>321</v>
      </c>
      <c r="K1709" t="s">
        <v>104</v>
      </c>
      <c r="L1709" s="13">
        <v>44467</v>
      </c>
      <c r="M1709" t="s">
        <v>684</v>
      </c>
      <c r="N1709" t="s">
        <v>685</v>
      </c>
      <c r="O1709">
        <v>2351.48</v>
      </c>
      <c r="P1709" t="s">
        <v>34</v>
      </c>
    </row>
    <row r="1710" spans="1:16" ht="15" customHeight="1" x14ac:dyDescent="0.4">
      <c r="A1710" t="s">
        <v>15</v>
      </c>
      <c r="B1710" t="s">
        <v>16</v>
      </c>
      <c r="C1710" s="13">
        <v>44197</v>
      </c>
      <c r="D1710" s="13">
        <v>44561</v>
      </c>
      <c r="E1710" t="s">
        <v>17</v>
      </c>
      <c r="F1710">
        <v>0</v>
      </c>
      <c r="G1710" t="s">
        <v>18</v>
      </c>
      <c r="H1710">
        <v>1</v>
      </c>
      <c r="I1710" t="s">
        <v>19</v>
      </c>
      <c r="J1710">
        <v>321</v>
      </c>
      <c r="K1710" t="s">
        <v>104</v>
      </c>
      <c r="L1710" s="13">
        <v>44487</v>
      </c>
      <c r="M1710" t="s">
        <v>686</v>
      </c>
      <c r="N1710" t="s">
        <v>106</v>
      </c>
      <c r="O1710">
        <v>-0.42</v>
      </c>
      <c r="P1710" t="s">
        <v>107</v>
      </c>
    </row>
    <row r="1711" spans="1:16" ht="15" customHeight="1" x14ac:dyDescent="0.4">
      <c r="A1711" t="s">
        <v>15</v>
      </c>
      <c r="B1711" t="s">
        <v>16</v>
      </c>
      <c r="C1711" s="13">
        <v>44197</v>
      </c>
      <c r="D1711" s="13">
        <v>44561</v>
      </c>
      <c r="E1711" t="s">
        <v>17</v>
      </c>
      <c r="F1711">
        <v>0</v>
      </c>
      <c r="G1711" t="s">
        <v>18</v>
      </c>
      <c r="H1711">
        <v>1</v>
      </c>
      <c r="I1711" t="s">
        <v>19</v>
      </c>
      <c r="J1711">
        <v>321</v>
      </c>
      <c r="K1711" t="s">
        <v>104</v>
      </c>
      <c r="L1711" s="13">
        <v>44491</v>
      </c>
      <c r="M1711" t="s">
        <v>687</v>
      </c>
      <c r="N1711" t="s">
        <v>688</v>
      </c>
      <c r="O1711">
        <v>2297.71</v>
      </c>
      <c r="P1711" t="s">
        <v>34</v>
      </c>
    </row>
    <row r="1712" spans="1:16" ht="15" customHeight="1" x14ac:dyDescent="0.4">
      <c r="A1712" t="s">
        <v>15</v>
      </c>
      <c r="B1712" t="s">
        <v>16</v>
      </c>
      <c r="C1712" s="13">
        <v>44197</v>
      </c>
      <c r="D1712" s="13">
        <v>44561</v>
      </c>
      <c r="E1712" t="s">
        <v>17</v>
      </c>
      <c r="F1712">
        <v>0</v>
      </c>
      <c r="G1712" t="s">
        <v>18</v>
      </c>
      <c r="H1712">
        <v>1</v>
      </c>
      <c r="I1712" t="s">
        <v>19</v>
      </c>
      <c r="J1712">
        <v>321</v>
      </c>
      <c r="K1712" t="s">
        <v>104</v>
      </c>
      <c r="L1712" s="13">
        <v>44502</v>
      </c>
      <c r="M1712" t="s">
        <v>689</v>
      </c>
      <c r="N1712" t="s">
        <v>106</v>
      </c>
      <c r="O1712">
        <v>0.44</v>
      </c>
      <c r="P1712" t="s">
        <v>107</v>
      </c>
    </row>
    <row r="1713" spans="1:16" ht="15" customHeight="1" x14ac:dyDescent="0.4">
      <c r="A1713" t="s">
        <v>15</v>
      </c>
      <c r="B1713" t="s">
        <v>16</v>
      </c>
      <c r="C1713" s="13">
        <v>44197</v>
      </c>
      <c r="D1713" s="13">
        <v>44561</v>
      </c>
      <c r="E1713" t="s">
        <v>17</v>
      </c>
      <c r="F1713">
        <v>0</v>
      </c>
      <c r="G1713" t="s">
        <v>18</v>
      </c>
      <c r="H1713">
        <v>1</v>
      </c>
      <c r="I1713" t="s">
        <v>19</v>
      </c>
      <c r="J1713">
        <v>321</v>
      </c>
      <c r="K1713" t="s">
        <v>104</v>
      </c>
      <c r="L1713" s="13">
        <v>44524</v>
      </c>
      <c r="M1713" t="s">
        <v>690</v>
      </c>
      <c r="N1713" t="s">
        <v>691</v>
      </c>
      <c r="O1713">
        <v>2266.98</v>
      </c>
      <c r="P1713" t="s">
        <v>34</v>
      </c>
    </row>
    <row r="1714" spans="1:16" ht="15" customHeight="1" x14ac:dyDescent="0.4">
      <c r="A1714" t="s">
        <v>15</v>
      </c>
      <c r="B1714" t="s">
        <v>16</v>
      </c>
      <c r="C1714" s="13">
        <v>44197</v>
      </c>
      <c r="D1714" s="13">
        <v>44561</v>
      </c>
      <c r="E1714" t="s">
        <v>17</v>
      </c>
      <c r="F1714">
        <v>0</v>
      </c>
      <c r="G1714" t="s">
        <v>18</v>
      </c>
      <c r="H1714">
        <v>1</v>
      </c>
      <c r="I1714" t="s">
        <v>19</v>
      </c>
      <c r="J1714">
        <v>321</v>
      </c>
      <c r="K1714" t="s">
        <v>104</v>
      </c>
      <c r="L1714" s="13">
        <v>44531</v>
      </c>
      <c r="M1714" t="s">
        <v>692</v>
      </c>
      <c r="N1714" t="s">
        <v>106</v>
      </c>
      <c r="O1714">
        <v>-7.0000000000000007E-2</v>
      </c>
      <c r="P1714" t="s">
        <v>107</v>
      </c>
    </row>
    <row r="1715" spans="1:16" ht="15" customHeight="1" x14ac:dyDescent="0.4">
      <c r="A1715" t="s">
        <v>15</v>
      </c>
      <c r="B1715" t="s">
        <v>16</v>
      </c>
      <c r="C1715" s="13">
        <v>44197</v>
      </c>
      <c r="D1715" s="13">
        <v>44561</v>
      </c>
      <c r="E1715" t="s">
        <v>17</v>
      </c>
      <c r="F1715">
        <v>0</v>
      </c>
      <c r="G1715" t="s">
        <v>18</v>
      </c>
      <c r="H1715">
        <v>1</v>
      </c>
      <c r="I1715" t="s">
        <v>19</v>
      </c>
      <c r="J1715">
        <v>321</v>
      </c>
      <c r="K1715" t="s">
        <v>104</v>
      </c>
      <c r="L1715" s="13">
        <v>44552</v>
      </c>
      <c r="M1715" t="s">
        <v>693</v>
      </c>
      <c r="N1715" t="s">
        <v>694</v>
      </c>
      <c r="O1715">
        <v>4417.5600000000004</v>
      </c>
      <c r="P1715" t="s">
        <v>34</v>
      </c>
    </row>
    <row r="1716" spans="1:16" ht="15" customHeight="1" x14ac:dyDescent="0.4">
      <c r="A1716" t="s">
        <v>15</v>
      </c>
      <c r="B1716" t="s">
        <v>16</v>
      </c>
      <c r="C1716" s="13">
        <v>44197</v>
      </c>
      <c r="D1716" s="13">
        <v>44561</v>
      </c>
      <c r="E1716" t="s">
        <v>17</v>
      </c>
      <c r="F1716">
        <v>0</v>
      </c>
      <c r="G1716" t="s">
        <v>18</v>
      </c>
      <c r="H1716">
        <v>1</v>
      </c>
      <c r="I1716" t="s">
        <v>19</v>
      </c>
      <c r="J1716">
        <v>322</v>
      </c>
      <c r="K1716" t="s">
        <v>143</v>
      </c>
      <c r="L1716" s="13">
        <v>44224</v>
      </c>
      <c r="M1716" t="s">
        <v>695</v>
      </c>
      <c r="N1716" t="s">
        <v>661</v>
      </c>
      <c r="O1716">
        <v>517.16</v>
      </c>
      <c r="P1716" t="s">
        <v>34</v>
      </c>
    </row>
    <row r="1717" spans="1:16" ht="15" customHeight="1" x14ac:dyDescent="0.4">
      <c r="A1717" t="s">
        <v>15</v>
      </c>
      <c r="B1717" t="s">
        <v>16</v>
      </c>
      <c r="C1717" s="13">
        <v>44197</v>
      </c>
      <c r="D1717" s="13">
        <v>44561</v>
      </c>
      <c r="E1717" t="s">
        <v>17</v>
      </c>
      <c r="F1717">
        <v>0</v>
      </c>
      <c r="G1717" t="s">
        <v>18</v>
      </c>
      <c r="H1717">
        <v>1</v>
      </c>
      <c r="I1717" t="s">
        <v>19</v>
      </c>
      <c r="J1717">
        <v>322</v>
      </c>
      <c r="K1717" t="s">
        <v>143</v>
      </c>
      <c r="L1717" s="13">
        <v>44232</v>
      </c>
      <c r="M1717" t="s">
        <v>696</v>
      </c>
      <c r="N1717" t="s">
        <v>697</v>
      </c>
      <c r="O1717">
        <v>7.0000000000000007E-2</v>
      </c>
      <c r="P1717" t="s">
        <v>146</v>
      </c>
    </row>
    <row r="1718" spans="1:16" ht="15" customHeight="1" x14ac:dyDescent="0.4">
      <c r="A1718" t="s">
        <v>15</v>
      </c>
      <c r="B1718" t="s">
        <v>16</v>
      </c>
      <c r="C1718" s="13">
        <v>44197</v>
      </c>
      <c r="D1718" s="13">
        <v>44561</v>
      </c>
      <c r="E1718" t="s">
        <v>17</v>
      </c>
      <c r="F1718">
        <v>0</v>
      </c>
      <c r="G1718" t="s">
        <v>18</v>
      </c>
      <c r="H1718">
        <v>1</v>
      </c>
      <c r="I1718" t="s">
        <v>19</v>
      </c>
      <c r="J1718">
        <v>322</v>
      </c>
      <c r="K1718" t="s">
        <v>143</v>
      </c>
      <c r="L1718" s="13">
        <v>44253</v>
      </c>
      <c r="M1718" t="s">
        <v>698</v>
      </c>
      <c r="N1718" t="s">
        <v>664</v>
      </c>
      <c r="O1718">
        <v>517.16</v>
      </c>
      <c r="P1718" t="s">
        <v>34</v>
      </c>
    </row>
    <row r="1719" spans="1:16" ht="15" customHeight="1" x14ac:dyDescent="0.4">
      <c r="A1719" t="s">
        <v>15</v>
      </c>
      <c r="B1719" t="s">
        <v>16</v>
      </c>
      <c r="C1719" s="13">
        <v>44197</v>
      </c>
      <c r="D1719" s="13">
        <v>44561</v>
      </c>
      <c r="E1719" t="s">
        <v>17</v>
      </c>
      <c r="F1719">
        <v>0</v>
      </c>
      <c r="G1719" t="s">
        <v>18</v>
      </c>
      <c r="H1719">
        <v>1</v>
      </c>
      <c r="I1719" t="s">
        <v>19</v>
      </c>
      <c r="J1719">
        <v>322</v>
      </c>
      <c r="K1719" t="s">
        <v>143</v>
      </c>
      <c r="L1719" s="13">
        <v>44257</v>
      </c>
      <c r="M1719" t="s">
        <v>699</v>
      </c>
      <c r="N1719" t="s">
        <v>700</v>
      </c>
      <c r="O1719">
        <v>7.0000000000000007E-2</v>
      </c>
      <c r="P1719" t="s">
        <v>146</v>
      </c>
    </row>
    <row r="1720" spans="1:16" ht="15" customHeight="1" x14ac:dyDescent="0.4">
      <c r="A1720" t="s">
        <v>15</v>
      </c>
      <c r="B1720" t="s">
        <v>16</v>
      </c>
      <c r="C1720" s="13">
        <v>44197</v>
      </c>
      <c r="D1720" s="13">
        <v>44561</v>
      </c>
      <c r="E1720" t="s">
        <v>17</v>
      </c>
      <c r="F1720">
        <v>0</v>
      </c>
      <c r="G1720" t="s">
        <v>18</v>
      </c>
      <c r="H1720">
        <v>1</v>
      </c>
      <c r="I1720" t="s">
        <v>19</v>
      </c>
      <c r="J1720">
        <v>322</v>
      </c>
      <c r="K1720" t="s">
        <v>143</v>
      </c>
      <c r="L1720" s="13">
        <v>44285</v>
      </c>
      <c r="M1720" t="s">
        <v>701</v>
      </c>
      <c r="N1720" t="s">
        <v>667</v>
      </c>
      <c r="O1720">
        <v>551.89</v>
      </c>
      <c r="P1720" t="s">
        <v>34</v>
      </c>
    </row>
    <row r="1721" spans="1:16" ht="15" customHeight="1" x14ac:dyDescent="0.4">
      <c r="A1721" t="s">
        <v>15</v>
      </c>
      <c r="B1721" t="s">
        <v>16</v>
      </c>
      <c r="C1721" s="13">
        <v>44197</v>
      </c>
      <c r="D1721" s="13">
        <v>44561</v>
      </c>
      <c r="E1721" t="s">
        <v>17</v>
      </c>
      <c r="F1721">
        <v>0</v>
      </c>
      <c r="G1721" t="s">
        <v>18</v>
      </c>
      <c r="H1721">
        <v>1</v>
      </c>
      <c r="I1721" t="s">
        <v>19</v>
      </c>
      <c r="J1721">
        <v>322</v>
      </c>
      <c r="K1721" t="s">
        <v>143</v>
      </c>
      <c r="L1721" s="13">
        <v>44287</v>
      </c>
      <c r="M1721" t="s">
        <v>702</v>
      </c>
      <c r="N1721" t="s">
        <v>703</v>
      </c>
      <c r="O1721">
        <v>-1.82</v>
      </c>
      <c r="P1721" t="s">
        <v>146</v>
      </c>
    </row>
    <row r="1722" spans="1:16" ht="15" customHeight="1" x14ac:dyDescent="0.4">
      <c r="A1722" t="s">
        <v>15</v>
      </c>
      <c r="B1722" t="s">
        <v>16</v>
      </c>
      <c r="C1722" s="13">
        <v>44197</v>
      </c>
      <c r="D1722" s="13">
        <v>44561</v>
      </c>
      <c r="E1722" t="s">
        <v>17</v>
      </c>
      <c r="F1722">
        <v>0</v>
      </c>
      <c r="G1722" t="s">
        <v>18</v>
      </c>
      <c r="H1722">
        <v>1</v>
      </c>
      <c r="I1722" t="s">
        <v>19</v>
      </c>
      <c r="J1722">
        <v>322</v>
      </c>
      <c r="K1722" t="s">
        <v>143</v>
      </c>
      <c r="L1722" s="13">
        <v>44315</v>
      </c>
      <c r="M1722" t="s">
        <v>704</v>
      </c>
      <c r="N1722" t="s">
        <v>670</v>
      </c>
      <c r="O1722">
        <v>551.88</v>
      </c>
      <c r="P1722" t="s">
        <v>34</v>
      </c>
    </row>
    <row r="1723" spans="1:16" ht="15" customHeight="1" x14ac:dyDescent="0.4">
      <c r="A1723" t="s">
        <v>15</v>
      </c>
      <c r="B1723" t="s">
        <v>16</v>
      </c>
      <c r="C1723" s="13">
        <v>44197</v>
      </c>
      <c r="D1723" s="13">
        <v>44561</v>
      </c>
      <c r="E1723" t="s">
        <v>17</v>
      </c>
      <c r="F1723">
        <v>0</v>
      </c>
      <c r="G1723" t="s">
        <v>18</v>
      </c>
      <c r="H1723">
        <v>1</v>
      </c>
      <c r="I1723" t="s">
        <v>19</v>
      </c>
      <c r="J1723">
        <v>322</v>
      </c>
      <c r="K1723" t="s">
        <v>143</v>
      </c>
      <c r="L1723" s="13">
        <v>44322</v>
      </c>
      <c r="M1723" t="s">
        <v>705</v>
      </c>
      <c r="N1723" t="s">
        <v>706</v>
      </c>
      <c r="O1723">
        <v>-1.81</v>
      </c>
      <c r="P1723" t="s">
        <v>146</v>
      </c>
    </row>
    <row r="1724" spans="1:16" ht="15" customHeight="1" x14ac:dyDescent="0.4">
      <c r="A1724" t="s">
        <v>15</v>
      </c>
      <c r="B1724" t="s">
        <v>16</v>
      </c>
      <c r="C1724" s="13">
        <v>44197</v>
      </c>
      <c r="D1724" s="13">
        <v>44561</v>
      </c>
      <c r="E1724" t="s">
        <v>17</v>
      </c>
      <c r="F1724">
        <v>0</v>
      </c>
      <c r="G1724" t="s">
        <v>18</v>
      </c>
      <c r="H1724">
        <v>1</v>
      </c>
      <c r="I1724" t="s">
        <v>19</v>
      </c>
      <c r="J1724">
        <v>322</v>
      </c>
      <c r="K1724" t="s">
        <v>143</v>
      </c>
      <c r="L1724" s="13">
        <v>44347</v>
      </c>
      <c r="M1724" t="s">
        <v>707</v>
      </c>
      <c r="N1724" t="s">
        <v>673</v>
      </c>
      <c r="O1724">
        <v>551.89</v>
      </c>
      <c r="P1724" t="s">
        <v>34</v>
      </c>
    </row>
    <row r="1725" spans="1:16" ht="15" customHeight="1" x14ac:dyDescent="0.4">
      <c r="A1725" t="s">
        <v>15</v>
      </c>
      <c r="B1725" t="s">
        <v>16</v>
      </c>
      <c r="C1725" s="13">
        <v>44197</v>
      </c>
      <c r="D1725" s="13">
        <v>44561</v>
      </c>
      <c r="E1725" t="s">
        <v>17</v>
      </c>
      <c r="F1725">
        <v>0</v>
      </c>
      <c r="G1725" t="s">
        <v>18</v>
      </c>
      <c r="H1725">
        <v>1</v>
      </c>
      <c r="I1725" t="s">
        <v>19</v>
      </c>
      <c r="J1725">
        <v>322</v>
      </c>
      <c r="K1725" t="s">
        <v>143</v>
      </c>
      <c r="L1725" s="13">
        <v>44350</v>
      </c>
      <c r="M1725" t="s">
        <v>708</v>
      </c>
      <c r="N1725" t="s">
        <v>709</v>
      </c>
      <c r="O1725">
        <v>-1.82</v>
      </c>
      <c r="P1725" t="s">
        <v>146</v>
      </c>
    </row>
    <row r="1726" spans="1:16" ht="15" customHeight="1" x14ac:dyDescent="0.4">
      <c r="A1726" t="s">
        <v>15</v>
      </c>
      <c r="B1726" t="s">
        <v>16</v>
      </c>
      <c r="C1726" s="13">
        <v>44197</v>
      </c>
      <c r="D1726" s="13">
        <v>44561</v>
      </c>
      <c r="E1726" t="s">
        <v>17</v>
      </c>
      <c r="F1726">
        <v>0</v>
      </c>
      <c r="G1726" t="s">
        <v>18</v>
      </c>
      <c r="H1726">
        <v>1</v>
      </c>
      <c r="I1726" t="s">
        <v>19</v>
      </c>
      <c r="J1726">
        <v>322</v>
      </c>
      <c r="K1726" t="s">
        <v>143</v>
      </c>
      <c r="L1726" s="13">
        <v>44372</v>
      </c>
      <c r="M1726" t="s">
        <v>710</v>
      </c>
      <c r="N1726" t="s">
        <v>676</v>
      </c>
      <c r="O1726">
        <v>609.48</v>
      </c>
      <c r="P1726" t="s">
        <v>34</v>
      </c>
    </row>
    <row r="1727" spans="1:16" ht="15" customHeight="1" x14ac:dyDescent="0.4">
      <c r="A1727" t="s">
        <v>15</v>
      </c>
      <c r="B1727" t="s">
        <v>16</v>
      </c>
      <c r="C1727" s="13">
        <v>44197</v>
      </c>
      <c r="D1727" s="13">
        <v>44561</v>
      </c>
      <c r="E1727" t="s">
        <v>17</v>
      </c>
      <c r="F1727">
        <v>0</v>
      </c>
      <c r="G1727" t="s">
        <v>18</v>
      </c>
      <c r="H1727">
        <v>1</v>
      </c>
      <c r="I1727" t="s">
        <v>19</v>
      </c>
      <c r="J1727">
        <v>322</v>
      </c>
      <c r="K1727" t="s">
        <v>143</v>
      </c>
      <c r="L1727" s="13">
        <v>44385</v>
      </c>
      <c r="M1727" t="s">
        <v>711</v>
      </c>
      <c r="N1727" t="s">
        <v>712</v>
      </c>
      <c r="O1727">
        <v>-0.94</v>
      </c>
      <c r="P1727" t="s">
        <v>146</v>
      </c>
    </row>
    <row r="1728" spans="1:16" ht="15" customHeight="1" x14ac:dyDescent="0.4">
      <c r="A1728" t="s">
        <v>15</v>
      </c>
      <c r="B1728" t="s">
        <v>16</v>
      </c>
      <c r="C1728" s="13">
        <v>44197</v>
      </c>
      <c r="D1728" s="13">
        <v>44561</v>
      </c>
      <c r="E1728" t="s">
        <v>17</v>
      </c>
      <c r="F1728">
        <v>0</v>
      </c>
      <c r="G1728" t="s">
        <v>18</v>
      </c>
      <c r="H1728">
        <v>1</v>
      </c>
      <c r="I1728" t="s">
        <v>19</v>
      </c>
      <c r="J1728">
        <v>322</v>
      </c>
      <c r="K1728" t="s">
        <v>143</v>
      </c>
      <c r="L1728" s="13">
        <v>44400</v>
      </c>
      <c r="M1728" t="s">
        <v>713</v>
      </c>
      <c r="N1728" t="s">
        <v>679</v>
      </c>
      <c r="O1728">
        <v>551.89</v>
      </c>
      <c r="P1728" t="s">
        <v>34</v>
      </c>
    </row>
    <row r="1729" spans="1:16" ht="15" customHeight="1" x14ac:dyDescent="0.4">
      <c r="A1729" t="s">
        <v>15</v>
      </c>
      <c r="B1729" t="s">
        <v>16</v>
      </c>
      <c r="C1729" s="13">
        <v>44197</v>
      </c>
      <c r="D1729" s="13">
        <v>44561</v>
      </c>
      <c r="E1729" t="s">
        <v>17</v>
      </c>
      <c r="F1729">
        <v>0</v>
      </c>
      <c r="G1729" t="s">
        <v>18</v>
      </c>
      <c r="H1729">
        <v>1</v>
      </c>
      <c r="I1729" t="s">
        <v>19</v>
      </c>
      <c r="J1729">
        <v>322</v>
      </c>
      <c r="K1729" t="s">
        <v>143</v>
      </c>
      <c r="L1729" s="13">
        <v>44407</v>
      </c>
      <c r="M1729" t="s">
        <v>714</v>
      </c>
      <c r="N1729" t="s">
        <v>715</v>
      </c>
      <c r="O1729">
        <v>-1.82</v>
      </c>
      <c r="P1729" t="s">
        <v>146</v>
      </c>
    </row>
    <row r="1730" spans="1:16" ht="15" customHeight="1" x14ac:dyDescent="0.4">
      <c r="A1730" t="s">
        <v>15</v>
      </c>
      <c r="B1730" t="s">
        <v>16</v>
      </c>
      <c r="C1730" s="13">
        <v>44197</v>
      </c>
      <c r="D1730" s="13">
        <v>44561</v>
      </c>
      <c r="E1730" t="s">
        <v>17</v>
      </c>
      <c r="F1730">
        <v>0</v>
      </c>
      <c r="G1730" t="s">
        <v>18</v>
      </c>
      <c r="H1730">
        <v>1</v>
      </c>
      <c r="I1730" t="s">
        <v>19</v>
      </c>
      <c r="J1730">
        <v>322</v>
      </c>
      <c r="K1730" t="s">
        <v>143</v>
      </c>
      <c r="L1730" s="13">
        <v>44435</v>
      </c>
      <c r="M1730" t="s">
        <v>716</v>
      </c>
      <c r="N1730" t="s">
        <v>682</v>
      </c>
      <c r="O1730">
        <v>551.88</v>
      </c>
      <c r="P1730" t="s">
        <v>34</v>
      </c>
    </row>
    <row r="1731" spans="1:16" ht="15" customHeight="1" x14ac:dyDescent="0.4">
      <c r="A1731" t="s">
        <v>15</v>
      </c>
      <c r="B1731" t="s">
        <v>16</v>
      </c>
      <c r="C1731" s="13">
        <v>44197</v>
      </c>
      <c r="D1731" s="13">
        <v>44561</v>
      </c>
      <c r="E1731" t="s">
        <v>17</v>
      </c>
      <c r="F1731">
        <v>0</v>
      </c>
      <c r="G1731" t="s">
        <v>18</v>
      </c>
      <c r="H1731">
        <v>1</v>
      </c>
      <c r="I1731" t="s">
        <v>19</v>
      </c>
      <c r="J1731">
        <v>322</v>
      </c>
      <c r="K1731" t="s">
        <v>143</v>
      </c>
      <c r="L1731" s="13">
        <v>44441</v>
      </c>
      <c r="M1731" t="s">
        <v>717</v>
      </c>
      <c r="N1731" t="s">
        <v>718</v>
      </c>
      <c r="O1731">
        <v>-1.81</v>
      </c>
      <c r="P1731" t="s">
        <v>146</v>
      </c>
    </row>
    <row r="1732" spans="1:16" ht="15" customHeight="1" x14ac:dyDescent="0.4">
      <c r="A1732" t="s">
        <v>15</v>
      </c>
      <c r="B1732" t="s">
        <v>16</v>
      </c>
      <c r="C1732" s="13">
        <v>44197</v>
      </c>
      <c r="D1732" s="13">
        <v>44561</v>
      </c>
      <c r="E1732" t="s">
        <v>17</v>
      </c>
      <c r="F1732">
        <v>0</v>
      </c>
      <c r="G1732" t="s">
        <v>18</v>
      </c>
      <c r="H1732">
        <v>1</v>
      </c>
      <c r="I1732" t="s">
        <v>19</v>
      </c>
      <c r="J1732">
        <v>322</v>
      </c>
      <c r="K1732" t="s">
        <v>143</v>
      </c>
      <c r="L1732" s="13">
        <v>44467</v>
      </c>
      <c r="M1732" t="s">
        <v>719</v>
      </c>
      <c r="N1732" t="s">
        <v>685</v>
      </c>
      <c r="O1732">
        <v>612.71</v>
      </c>
      <c r="P1732" t="s">
        <v>34</v>
      </c>
    </row>
    <row r="1733" spans="1:16" ht="15" customHeight="1" x14ac:dyDescent="0.4">
      <c r="A1733" t="s">
        <v>15</v>
      </c>
      <c r="B1733" t="s">
        <v>16</v>
      </c>
      <c r="C1733" s="13">
        <v>44197</v>
      </c>
      <c r="D1733" s="13">
        <v>44561</v>
      </c>
      <c r="E1733" t="s">
        <v>17</v>
      </c>
      <c r="F1733">
        <v>0</v>
      </c>
      <c r="G1733" t="s">
        <v>18</v>
      </c>
      <c r="H1733">
        <v>1</v>
      </c>
      <c r="I1733" t="s">
        <v>19</v>
      </c>
      <c r="J1733">
        <v>322</v>
      </c>
      <c r="K1733" t="s">
        <v>143</v>
      </c>
      <c r="L1733" s="13">
        <v>44487</v>
      </c>
      <c r="M1733" t="s">
        <v>720</v>
      </c>
      <c r="N1733" t="s">
        <v>721</v>
      </c>
      <c r="O1733">
        <v>-0.93</v>
      </c>
      <c r="P1733" t="s">
        <v>146</v>
      </c>
    </row>
    <row r="1734" spans="1:16" ht="15" customHeight="1" x14ac:dyDescent="0.4">
      <c r="A1734" t="s">
        <v>15</v>
      </c>
      <c r="B1734" t="s">
        <v>16</v>
      </c>
      <c r="C1734" s="13">
        <v>44197</v>
      </c>
      <c r="D1734" s="13">
        <v>44561</v>
      </c>
      <c r="E1734" t="s">
        <v>17</v>
      </c>
      <c r="F1734">
        <v>0</v>
      </c>
      <c r="G1734" t="s">
        <v>18</v>
      </c>
      <c r="H1734">
        <v>1</v>
      </c>
      <c r="I1734" t="s">
        <v>19</v>
      </c>
      <c r="J1734">
        <v>322</v>
      </c>
      <c r="K1734" t="s">
        <v>143</v>
      </c>
      <c r="L1734" s="13">
        <v>44491</v>
      </c>
      <c r="M1734" t="s">
        <v>722</v>
      </c>
      <c r="N1734" t="s">
        <v>688</v>
      </c>
      <c r="O1734">
        <v>549.79</v>
      </c>
      <c r="P1734" t="s">
        <v>34</v>
      </c>
    </row>
    <row r="1735" spans="1:16" ht="15" customHeight="1" x14ac:dyDescent="0.4">
      <c r="A1735" t="s">
        <v>15</v>
      </c>
      <c r="B1735" t="s">
        <v>16</v>
      </c>
      <c r="C1735" s="13">
        <v>44197</v>
      </c>
      <c r="D1735" s="13">
        <v>44561</v>
      </c>
      <c r="E1735" t="s">
        <v>17</v>
      </c>
      <c r="F1735">
        <v>0</v>
      </c>
      <c r="G1735" t="s">
        <v>18</v>
      </c>
      <c r="H1735">
        <v>1</v>
      </c>
      <c r="I1735" t="s">
        <v>19</v>
      </c>
      <c r="J1735">
        <v>322</v>
      </c>
      <c r="K1735" t="s">
        <v>143</v>
      </c>
      <c r="L1735" s="13">
        <v>44502</v>
      </c>
      <c r="M1735" t="s">
        <v>723</v>
      </c>
      <c r="N1735" t="s">
        <v>724</v>
      </c>
      <c r="O1735">
        <v>-1.92</v>
      </c>
      <c r="P1735" t="s">
        <v>146</v>
      </c>
    </row>
    <row r="1736" spans="1:16" ht="15" customHeight="1" x14ac:dyDescent="0.4">
      <c r="A1736" t="s">
        <v>15</v>
      </c>
      <c r="B1736" t="s">
        <v>16</v>
      </c>
      <c r="C1736" s="13">
        <v>44197</v>
      </c>
      <c r="D1736" s="13">
        <v>44561</v>
      </c>
      <c r="E1736" t="s">
        <v>17</v>
      </c>
      <c r="F1736">
        <v>0</v>
      </c>
      <c r="G1736" t="s">
        <v>18</v>
      </c>
      <c r="H1736">
        <v>1</v>
      </c>
      <c r="I1736" t="s">
        <v>19</v>
      </c>
      <c r="J1736">
        <v>322</v>
      </c>
      <c r="K1736" t="s">
        <v>143</v>
      </c>
      <c r="L1736" s="13">
        <v>44524</v>
      </c>
      <c r="M1736" t="s">
        <v>725</v>
      </c>
      <c r="N1736" t="s">
        <v>691</v>
      </c>
      <c r="O1736">
        <v>527.65</v>
      </c>
      <c r="P1736" t="s">
        <v>34</v>
      </c>
    </row>
    <row r="1737" spans="1:16" ht="15" customHeight="1" x14ac:dyDescent="0.4">
      <c r="A1737" t="s">
        <v>15</v>
      </c>
      <c r="B1737" t="s">
        <v>16</v>
      </c>
      <c r="C1737" s="13">
        <v>44197</v>
      </c>
      <c r="D1737" s="13">
        <v>44561</v>
      </c>
      <c r="E1737" t="s">
        <v>17</v>
      </c>
      <c r="F1737">
        <v>0</v>
      </c>
      <c r="G1737" t="s">
        <v>18</v>
      </c>
      <c r="H1737">
        <v>1</v>
      </c>
      <c r="I1737" t="s">
        <v>19</v>
      </c>
      <c r="J1737">
        <v>322</v>
      </c>
      <c r="K1737" t="s">
        <v>143</v>
      </c>
      <c r="L1737" s="13">
        <v>44531</v>
      </c>
      <c r="M1737" t="s">
        <v>726</v>
      </c>
      <c r="N1737" t="s">
        <v>727</v>
      </c>
      <c r="O1737">
        <v>-1.58</v>
      </c>
      <c r="P1737" t="s">
        <v>146</v>
      </c>
    </row>
    <row r="1738" spans="1:16" ht="15" customHeight="1" x14ac:dyDescent="0.4">
      <c r="A1738" t="s">
        <v>15</v>
      </c>
      <c r="B1738" t="s">
        <v>16</v>
      </c>
      <c r="C1738" s="13">
        <v>44197</v>
      </c>
      <c r="D1738" s="13">
        <v>44561</v>
      </c>
      <c r="E1738" t="s">
        <v>17</v>
      </c>
      <c r="F1738">
        <v>0</v>
      </c>
      <c r="G1738" t="s">
        <v>18</v>
      </c>
      <c r="H1738">
        <v>1</v>
      </c>
      <c r="I1738" t="s">
        <v>19</v>
      </c>
      <c r="J1738">
        <v>322</v>
      </c>
      <c r="K1738" t="s">
        <v>143</v>
      </c>
      <c r="L1738" s="13">
        <v>44552</v>
      </c>
      <c r="M1738" t="s">
        <v>728</v>
      </c>
      <c r="N1738" t="s">
        <v>694</v>
      </c>
      <c r="O1738">
        <v>2075.71</v>
      </c>
      <c r="P1738" t="s">
        <v>34</v>
      </c>
    </row>
    <row r="1739" spans="1:16" ht="15" customHeight="1" x14ac:dyDescent="0.4">
      <c r="A1739" t="s">
        <v>15</v>
      </c>
      <c r="B1739" t="s">
        <v>16</v>
      </c>
      <c r="C1739" s="13">
        <v>44197</v>
      </c>
      <c r="D1739" s="13">
        <v>44561</v>
      </c>
      <c r="E1739" t="s">
        <v>17</v>
      </c>
      <c r="F1739">
        <v>0</v>
      </c>
      <c r="G1739" t="s">
        <v>18</v>
      </c>
      <c r="H1739">
        <v>1</v>
      </c>
      <c r="I1739" t="s">
        <v>19</v>
      </c>
      <c r="J1739">
        <v>323</v>
      </c>
      <c r="K1739" t="s">
        <v>181</v>
      </c>
      <c r="L1739" s="13">
        <v>44224</v>
      </c>
      <c r="M1739" t="s">
        <v>729</v>
      </c>
      <c r="N1739" t="s">
        <v>661</v>
      </c>
      <c r="O1739">
        <v>125.74</v>
      </c>
      <c r="P1739" t="s">
        <v>34</v>
      </c>
    </row>
    <row r="1740" spans="1:16" ht="15" customHeight="1" x14ac:dyDescent="0.4">
      <c r="A1740" t="s">
        <v>15</v>
      </c>
      <c r="B1740" t="s">
        <v>16</v>
      </c>
      <c r="C1740" s="13">
        <v>44197</v>
      </c>
      <c r="D1740" s="13">
        <v>44561</v>
      </c>
      <c r="E1740" t="s">
        <v>17</v>
      </c>
      <c r="F1740">
        <v>0</v>
      </c>
      <c r="G1740" t="s">
        <v>18</v>
      </c>
      <c r="H1740">
        <v>1</v>
      </c>
      <c r="I1740" t="s">
        <v>19</v>
      </c>
      <c r="J1740">
        <v>323</v>
      </c>
      <c r="K1740" t="s">
        <v>181</v>
      </c>
      <c r="L1740" s="13">
        <v>44232</v>
      </c>
      <c r="M1740" t="s">
        <v>730</v>
      </c>
      <c r="N1740" t="s">
        <v>731</v>
      </c>
      <c r="O1740">
        <v>-0.01</v>
      </c>
      <c r="P1740" t="s">
        <v>184</v>
      </c>
    </row>
    <row r="1741" spans="1:16" ht="15" customHeight="1" x14ac:dyDescent="0.4">
      <c r="A1741" t="s">
        <v>15</v>
      </c>
      <c r="B1741" t="s">
        <v>16</v>
      </c>
      <c r="C1741" s="13">
        <v>44197</v>
      </c>
      <c r="D1741" s="13">
        <v>44561</v>
      </c>
      <c r="E1741" t="s">
        <v>17</v>
      </c>
      <c r="F1741">
        <v>0</v>
      </c>
      <c r="G1741" t="s">
        <v>18</v>
      </c>
      <c r="H1741">
        <v>1</v>
      </c>
      <c r="I1741" t="s">
        <v>19</v>
      </c>
      <c r="J1741">
        <v>323</v>
      </c>
      <c r="K1741" t="s">
        <v>181</v>
      </c>
      <c r="L1741" s="13">
        <v>44253</v>
      </c>
      <c r="M1741" t="s">
        <v>732</v>
      </c>
      <c r="N1741" t="s">
        <v>664</v>
      </c>
      <c r="O1741">
        <v>125.74</v>
      </c>
      <c r="P1741" t="s">
        <v>34</v>
      </c>
    </row>
    <row r="1742" spans="1:16" ht="15" customHeight="1" x14ac:dyDescent="0.4">
      <c r="A1742" t="s">
        <v>15</v>
      </c>
      <c r="B1742" t="s">
        <v>16</v>
      </c>
      <c r="C1742" s="13">
        <v>44197</v>
      </c>
      <c r="D1742" s="13">
        <v>44561</v>
      </c>
      <c r="E1742" t="s">
        <v>17</v>
      </c>
      <c r="F1742">
        <v>0</v>
      </c>
      <c r="G1742" t="s">
        <v>18</v>
      </c>
      <c r="H1742">
        <v>1</v>
      </c>
      <c r="I1742" t="s">
        <v>19</v>
      </c>
      <c r="J1742">
        <v>323</v>
      </c>
      <c r="K1742" t="s">
        <v>181</v>
      </c>
      <c r="L1742" s="13">
        <v>44257</v>
      </c>
      <c r="M1742" t="s">
        <v>733</v>
      </c>
      <c r="N1742" t="s">
        <v>106</v>
      </c>
      <c r="O1742">
        <v>-0.01</v>
      </c>
      <c r="P1742" t="s">
        <v>184</v>
      </c>
    </row>
    <row r="1743" spans="1:16" ht="15" customHeight="1" x14ac:dyDescent="0.4">
      <c r="A1743" t="s">
        <v>15</v>
      </c>
      <c r="B1743" t="s">
        <v>16</v>
      </c>
      <c r="C1743" s="13">
        <v>44197</v>
      </c>
      <c r="D1743" s="13">
        <v>44561</v>
      </c>
      <c r="E1743" t="s">
        <v>17</v>
      </c>
      <c r="F1743">
        <v>0</v>
      </c>
      <c r="G1743" t="s">
        <v>18</v>
      </c>
      <c r="H1743">
        <v>1</v>
      </c>
      <c r="I1743" t="s">
        <v>19</v>
      </c>
      <c r="J1743">
        <v>323</v>
      </c>
      <c r="K1743" t="s">
        <v>181</v>
      </c>
      <c r="L1743" s="13">
        <v>44285</v>
      </c>
      <c r="M1743" t="s">
        <v>734</v>
      </c>
      <c r="N1743" t="s">
        <v>667</v>
      </c>
      <c r="O1743">
        <v>133.88</v>
      </c>
      <c r="P1743" t="s">
        <v>34</v>
      </c>
    </row>
    <row r="1744" spans="1:16" ht="15" customHeight="1" x14ac:dyDescent="0.4">
      <c r="A1744" t="s">
        <v>15</v>
      </c>
      <c r="B1744" t="s">
        <v>16</v>
      </c>
      <c r="C1744" s="13">
        <v>44197</v>
      </c>
      <c r="D1744" s="13">
        <v>44561</v>
      </c>
      <c r="E1744" t="s">
        <v>17</v>
      </c>
      <c r="F1744">
        <v>0</v>
      </c>
      <c r="G1744" t="s">
        <v>18</v>
      </c>
      <c r="H1744">
        <v>1</v>
      </c>
      <c r="I1744" t="s">
        <v>19</v>
      </c>
      <c r="J1744">
        <v>323</v>
      </c>
      <c r="K1744" t="s">
        <v>181</v>
      </c>
      <c r="L1744" s="13">
        <v>44287</v>
      </c>
      <c r="M1744" t="s">
        <v>735</v>
      </c>
      <c r="N1744" t="s">
        <v>106</v>
      </c>
      <c r="O1744">
        <v>0.01</v>
      </c>
      <c r="P1744" t="s">
        <v>184</v>
      </c>
    </row>
    <row r="1745" spans="1:16" ht="15" customHeight="1" x14ac:dyDescent="0.4">
      <c r="A1745" t="s">
        <v>15</v>
      </c>
      <c r="B1745" t="s">
        <v>16</v>
      </c>
      <c r="C1745" s="13">
        <v>44197</v>
      </c>
      <c r="D1745" s="13">
        <v>44561</v>
      </c>
      <c r="E1745" t="s">
        <v>17</v>
      </c>
      <c r="F1745">
        <v>0</v>
      </c>
      <c r="G1745" t="s">
        <v>18</v>
      </c>
      <c r="H1745">
        <v>1</v>
      </c>
      <c r="I1745" t="s">
        <v>19</v>
      </c>
      <c r="J1745">
        <v>323</v>
      </c>
      <c r="K1745" t="s">
        <v>181</v>
      </c>
      <c r="L1745" s="13">
        <v>44315</v>
      </c>
      <c r="M1745" t="s">
        <v>736</v>
      </c>
      <c r="N1745" t="s">
        <v>670</v>
      </c>
      <c r="O1745">
        <v>133.88</v>
      </c>
      <c r="P1745" t="s">
        <v>34</v>
      </c>
    </row>
    <row r="1746" spans="1:16" ht="15" customHeight="1" x14ac:dyDescent="0.4">
      <c r="A1746" t="s">
        <v>15</v>
      </c>
      <c r="B1746" t="s">
        <v>16</v>
      </c>
      <c r="C1746" s="13">
        <v>44197</v>
      </c>
      <c r="D1746" s="13">
        <v>44561</v>
      </c>
      <c r="E1746" t="s">
        <v>17</v>
      </c>
      <c r="F1746">
        <v>0</v>
      </c>
      <c r="G1746" t="s">
        <v>18</v>
      </c>
      <c r="H1746">
        <v>1</v>
      </c>
      <c r="I1746" t="s">
        <v>19</v>
      </c>
      <c r="J1746">
        <v>323</v>
      </c>
      <c r="K1746" t="s">
        <v>181</v>
      </c>
      <c r="L1746" s="13">
        <v>44322</v>
      </c>
      <c r="M1746" t="s">
        <v>737</v>
      </c>
      <c r="N1746" t="s">
        <v>106</v>
      </c>
      <c r="O1746">
        <v>0.01</v>
      </c>
      <c r="P1746" t="s">
        <v>184</v>
      </c>
    </row>
    <row r="1747" spans="1:16" ht="15" customHeight="1" x14ac:dyDescent="0.4">
      <c r="A1747" t="s">
        <v>15</v>
      </c>
      <c r="B1747" t="s">
        <v>16</v>
      </c>
      <c r="C1747" s="13">
        <v>44197</v>
      </c>
      <c r="D1747" s="13">
        <v>44561</v>
      </c>
      <c r="E1747" t="s">
        <v>17</v>
      </c>
      <c r="F1747">
        <v>0</v>
      </c>
      <c r="G1747" t="s">
        <v>18</v>
      </c>
      <c r="H1747">
        <v>1</v>
      </c>
      <c r="I1747" t="s">
        <v>19</v>
      </c>
      <c r="J1747">
        <v>323</v>
      </c>
      <c r="K1747" t="s">
        <v>181</v>
      </c>
      <c r="L1747" s="13">
        <v>44347</v>
      </c>
      <c r="M1747" t="s">
        <v>738</v>
      </c>
      <c r="N1747" t="s">
        <v>673</v>
      </c>
      <c r="O1747">
        <v>133.88</v>
      </c>
      <c r="P1747" t="s">
        <v>34</v>
      </c>
    </row>
    <row r="1748" spans="1:16" ht="15" customHeight="1" x14ac:dyDescent="0.4">
      <c r="A1748" t="s">
        <v>15</v>
      </c>
      <c r="B1748" t="s">
        <v>16</v>
      </c>
      <c r="C1748" s="13">
        <v>44197</v>
      </c>
      <c r="D1748" s="13">
        <v>44561</v>
      </c>
      <c r="E1748" t="s">
        <v>17</v>
      </c>
      <c r="F1748">
        <v>0</v>
      </c>
      <c r="G1748" t="s">
        <v>18</v>
      </c>
      <c r="H1748">
        <v>1</v>
      </c>
      <c r="I1748" t="s">
        <v>19</v>
      </c>
      <c r="J1748">
        <v>323</v>
      </c>
      <c r="K1748" t="s">
        <v>181</v>
      </c>
      <c r="L1748" s="13">
        <v>44350</v>
      </c>
      <c r="M1748" t="s">
        <v>739</v>
      </c>
      <c r="N1748" t="s">
        <v>106</v>
      </c>
      <c r="O1748">
        <v>0.01</v>
      </c>
      <c r="P1748" t="s">
        <v>184</v>
      </c>
    </row>
    <row r="1749" spans="1:16" ht="15" customHeight="1" x14ac:dyDescent="0.4">
      <c r="A1749" t="s">
        <v>15</v>
      </c>
      <c r="B1749" t="s">
        <v>16</v>
      </c>
      <c r="C1749" s="13">
        <v>44197</v>
      </c>
      <c r="D1749" s="13">
        <v>44561</v>
      </c>
      <c r="E1749" t="s">
        <v>17</v>
      </c>
      <c r="F1749">
        <v>0</v>
      </c>
      <c r="G1749" t="s">
        <v>18</v>
      </c>
      <c r="H1749">
        <v>1</v>
      </c>
      <c r="I1749" t="s">
        <v>19</v>
      </c>
      <c r="J1749">
        <v>323</v>
      </c>
      <c r="K1749" t="s">
        <v>181</v>
      </c>
      <c r="L1749" s="13">
        <v>44372</v>
      </c>
      <c r="M1749" t="s">
        <v>740</v>
      </c>
      <c r="N1749" t="s">
        <v>676</v>
      </c>
      <c r="O1749">
        <v>147.41999999999999</v>
      </c>
      <c r="P1749" t="s">
        <v>34</v>
      </c>
    </row>
    <row r="1750" spans="1:16" ht="15" customHeight="1" x14ac:dyDescent="0.4">
      <c r="A1750" t="s">
        <v>15</v>
      </c>
      <c r="B1750" t="s">
        <v>16</v>
      </c>
      <c r="C1750" s="13">
        <v>44197</v>
      </c>
      <c r="D1750" s="13">
        <v>44561</v>
      </c>
      <c r="E1750" t="s">
        <v>17</v>
      </c>
      <c r="F1750">
        <v>0</v>
      </c>
      <c r="G1750" t="s">
        <v>18</v>
      </c>
      <c r="H1750">
        <v>1</v>
      </c>
      <c r="I1750" t="s">
        <v>19</v>
      </c>
      <c r="J1750">
        <v>323</v>
      </c>
      <c r="K1750" t="s">
        <v>181</v>
      </c>
      <c r="L1750" s="13">
        <v>44385</v>
      </c>
      <c r="M1750" t="s">
        <v>741</v>
      </c>
      <c r="N1750" t="s">
        <v>106</v>
      </c>
      <c r="O1750">
        <v>-0.01</v>
      </c>
      <c r="P1750" t="s">
        <v>184</v>
      </c>
    </row>
    <row r="1751" spans="1:16" ht="15" customHeight="1" x14ac:dyDescent="0.4">
      <c r="A1751" t="s">
        <v>15</v>
      </c>
      <c r="B1751" t="s">
        <v>16</v>
      </c>
      <c r="C1751" s="13">
        <v>44197</v>
      </c>
      <c r="D1751" s="13">
        <v>44561</v>
      </c>
      <c r="E1751" t="s">
        <v>17</v>
      </c>
      <c r="F1751">
        <v>0</v>
      </c>
      <c r="G1751" t="s">
        <v>18</v>
      </c>
      <c r="H1751">
        <v>1</v>
      </c>
      <c r="I1751" t="s">
        <v>19</v>
      </c>
      <c r="J1751">
        <v>323</v>
      </c>
      <c r="K1751" t="s">
        <v>181</v>
      </c>
      <c r="L1751" s="13">
        <v>44400</v>
      </c>
      <c r="M1751" t="s">
        <v>742</v>
      </c>
      <c r="N1751" t="s">
        <v>679</v>
      </c>
      <c r="O1751">
        <v>133.88</v>
      </c>
      <c r="P1751" t="s">
        <v>34</v>
      </c>
    </row>
    <row r="1752" spans="1:16" ht="15" customHeight="1" x14ac:dyDescent="0.4">
      <c r="A1752" t="s">
        <v>15</v>
      </c>
      <c r="B1752" t="s">
        <v>16</v>
      </c>
      <c r="C1752" s="13">
        <v>44197</v>
      </c>
      <c r="D1752" s="13">
        <v>44561</v>
      </c>
      <c r="E1752" t="s">
        <v>17</v>
      </c>
      <c r="F1752">
        <v>0</v>
      </c>
      <c r="G1752" t="s">
        <v>18</v>
      </c>
      <c r="H1752">
        <v>1</v>
      </c>
      <c r="I1752" t="s">
        <v>19</v>
      </c>
      <c r="J1752">
        <v>323</v>
      </c>
      <c r="K1752" t="s">
        <v>181</v>
      </c>
      <c r="L1752" s="13">
        <v>44407</v>
      </c>
      <c r="M1752" t="s">
        <v>743</v>
      </c>
      <c r="N1752" t="s">
        <v>106</v>
      </c>
      <c r="O1752">
        <v>0.01</v>
      </c>
      <c r="P1752" t="s">
        <v>184</v>
      </c>
    </row>
    <row r="1753" spans="1:16" ht="15" customHeight="1" x14ac:dyDescent="0.4">
      <c r="A1753" t="s">
        <v>15</v>
      </c>
      <c r="B1753" t="s">
        <v>16</v>
      </c>
      <c r="C1753" s="13">
        <v>44197</v>
      </c>
      <c r="D1753" s="13">
        <v>44561</v>
      </c>
      <c r="E1753" t="s">
        <v>17</v>
      </c>
      <c r="F1753">
        <v>0</v>
      </c>
      <c r="G1753" t="s">
        <v>18</v>
      </c>
      <c r="H1753">
        <v>1</v>
      </c>
      <c r="I1753" t="s">
        <v>19</v>
      </c>
      <c r="J1753">
        <v>323</v>
      </c>
      <c r="K1753" t="s">
        <v>181</v>
      </c>
      <c r="L1753" s="13">
        <v>44435</v>
      </c>
      <c r="M1753" t="s">
        <v>744</v>
      </c>
      <c r="N1753" t="s">
        <v>682</v>
      </c>
      <c r="O1753">
        <v>133.88</v>
      </c>
      <c r="P1753" t="s">
        <v>34</v>
      </c>
    </row>
    <row r="1754" spans="1:16" ht="15" customHeight="1" x14ac:dyDescent="0.4">
      <c r="A1754" t="s">
        <v>15</v>
      </c>
      <c r="B1754" t="s">
        <v>16</v>
      </c>
      <c r="C1754" s="13">
        <v>44197</v>
      </c>
      <c r="D1754" s="13">
        <v>44561</v>
      </c>
      <c r="E1754" t="s">
        <v>17</v>
      </c>
      <c r="F1754">
        <v>0</v>
      </c>
      <c r="G1754" t="s">
        <v>18</v>
      </c>
      <c r="H1754">
        <v>1</v>
      </c>
      <c r="I1754" t="s">
        <v>19</v>
      </c>
      <c r="J1754">
        <v>323</v>
      </c>
      <c r="K1754" t="s">
        <v>181</v>
      </c>
      <c r="L1754" s="13">
        <v>44441</v>
      </c>
      <c r="M1754" t="s">
        <v>745</v>
      </c>
      <c r="N1754" t="s">
        <v>106</v>
      </c>
      <c r="O1754">
        <v>0.01</v>
      </c>
      <c r="P1754" t="s">
        <v>184</v>
      </c>
    </row>
    <row r="1755" spans="1:16" ht="15" customHeight="1" x14ac:dyDescent="0.4">
      <c r="A1755" t="s">
        <v>15</v>
      </c>
      <c r="B1755" t="s">
        <v>16</v>
      </c>
      <c r="C1755" s="13">
        <v>44197</v>
      </c>
      <c r="D1755" s="13">
        <v>44561</v>
      </c>
      <c r="E1755" t="s">
        <v>17</v>
      </c>
      <c r="F1755">
        <v>0</v>
      </c>
      <c r="G1755" t="s">
        <v>18</v>
      </c>
      <c r="H1755">
        <v>1</v>
      </c>
      <c r="I1755" t="s">
        <v>19</v>
      </c>
      <c r="J1755">
        <v>323</v>
      </c>
      <c r="K1755" t="s">
        <v>181</v>
      </c>
      <c r="L1755" s="13">
        <v>44467</v>
      </c>
      <c r="M1755" t="s">
        <v>746</v>
      </c>
      <c r="N1755" t="s">
        <v>685</v>
      </c>
      <c r="O1755">
        <v>148.16999999999999</v>
      </c>
      <c r="P1755" t="s">
        <v>34</v>
      </c>
    </row>
    <row r="1756" spans="1:16" ht="15" customHeight="1" x14ac:dyDescent="0.4">
      <c r="A1756" t="s">
        <v>15</v>
      </c>
      <c r="B1756" t="s">
        <v>16</v>
      </c>
      <c r="C1756" s="13">
        <v>44197</v>
      </c>
      <c r="D1756" s="13">
        <v>44561</v>
      </c>
      <c r="E1756" t="s">
        <v>17</v>
      </c>
      <c r="F1756">
        <v>0</v>
      </c>
      <c r="G1756" t="s">
        <v>18</v>
      </c>
      <c r="H1756">
        <v>1</v>
      </c>
      <c r="I1756" t="s">
        <v>19</v>
      </c>
      <c r="J1756">
        <v>323</v>
      </c>
      <c r="K1756" t="s">
        <v>181</v>
      </c>
      <c r="L1756" s="13">
        <v>44487</v>
      </c>
      <c r="M1756" t="s">
        <v>747</v>
      </c>
      <c r="N1756" t="s">
        <v>106</v>
      </c>
      <c r="O1756">
        <v>0.01</v>
      </c>
      <c r="P1756" t="s">
        <v>184</v>
      </c>
    </row>
    <row r="1757" spans="1:16" ht="15" customHeight="1" x14ac:dyDescent="0.4">
      <c r="A1757" t="s">
        <v>15</v>
      </c>
      <c r="B1757" t="s">
        <v>16</v>
      </c>
      <c r="C1757" s="13">
        <v>44197</v>
      </c>
      <c r="D1757" s="13">
        <v>44561</v>
      </c>
      <c r="E1757" t="s">
        <v>17</v>
      </c>
      <c r="F1757">
        <v>0</v>
      </c>
      <c r="G1757" t="s">
        <v>18</v>
      </c>
      <c r="H1757">
        <v>1</v>
      </c>
      <c r="I1757" t="s">
        <v>19</v>
      </c>
      <c r="J1757">
        <v>323</v>
      </c>
      <c r="K1757" t="s">
        <v>181</v>
      </c>
      <c r="L1757" s="13">
        <v>44491</v>
      </c>
      <c r="M1757" t="s">
        <v>748</v>
      </c>
      <c r="N1757" t="s">
        <v>688</v>
      </c>
      <c r="O1757">
        <v>133.49</v>
      </c>
      <c r="P1757" t="s">
        <v>34</v>
      </c>
    </row>
    <row r="1758" spans="1:16" ht="15" customHeight="1" x14ac:dyDescent="0.4">
      <c r="A1758" t="s">
        <v>15</v>
      </c>
      <c r="B1758" t="s">
        <v>16</v>
      </c>
      <c r="C1758" s="13">
        <v>44197</v>
      </c>
      <c r="D1758" s="13">
        <v>44561</v>
      </c>
      <c r="E1758" t="s">
        <v>17</v>
      </c>
      <c r="F1758">
        <v>0</v>
      </c>
      <c r="G1758" t="s">
        <v>18</v>
      </c>
      <c r="H1758">
        <v>1</v>
      </c>
      <c r="I1758" t="s">
        <v>19</v>
      </c>
      <c r="J1758">
        <v>323</v>
      </c>
      <c r="K1758" t="s">
        <v>181</v>
      </c>
      <c r="L1758" s="13">
        <v>44524</v>
      </c>
      <c r="M1758" t="s">
        <v>749</v>
      </c>
      <c r="N1758" t="s">
        <v>691</v>
      </c>
      <c r="O1758">
        <v>128.29</v>
      </c>
      <c r="P1758" t="s">
        <v>34</v>
      </c>
    </row>
    <row r="1759" spans="1:16" ht="15" customHeight="1" x14ac:dyDescent="0.4">
      <c r="A1759" t="s">
        <v>15</v>
      </c>
      <c r="B1759" t="s">
        <v>16</v>
      </c>
      <c r="C1759" s="13">
        <v>44197</v>
      </c>
      <c r="D1759" s="13">
        <v>44561</v>
      </c>
      <c r="E1759" t="s">
        <v>17</v>
      </c>
      <c r="F1759">
        <v>0</v>
      </c>
      <c r="G1759" t="s">
        <v>18</v>
      </c>
      <c r="H1759">
        <v>1</v>
      </c>
      <c r="I1759" t="s">
        <v>19</v>
      </c>
      <c r="J1759">
        <v>323</v>
      </c>
      <c r="K1759" t="s">
        <v>181</v>
      </c>
      <c r="L1759" s="13">
        <v>44531</v>
      </c>
      <c r="M1759" t="s">
        <v>750</v>
      </c>
      <c r="N1759" t="s">
        <v>106</v>
      </c>
      <c r="O1759">
        <v>0.01</v>
      </c>
      <c r="P1759" t="s">
        <v>184</v>
      </c>
    </row>
    <row r="1760" spans="1:16" ht="15" customHeight="1" x14ac:dyDescent="0.4">
      <c r="A1760" t="s">
        <v>15</v>
      </c>
      <c r="B1760" t="s">
        <v>16</v>
      </c>
      <c r="C1760" s="13">
        <v>44197</v>
      </c>
      <c r="D1760" s="13">
        <v>44561</v>
      </c>
      <c r="E1760" t="s">
        <v>17</v>
      </c>
      <c r="F1760">
        <v>0</v>
      </c>
      <c r="G1760" t="s">
        <v>18</v>
      </c>
      <c r="H1760">
        <v>1</v>
      </c>
      <c r="I1760" t="s">
        <v>19</v>
      </c>
      <c r="J1760">
        <v>323</v>
      </c>
      <c r="K1760" t="s">
        <v>181</v>
      </c>
      <c r="L1760" s="13">
        <v>44552</v>
      </c>
      <c r="M1760" t="s">
        <v>751</v>
      </c>
      <c r="N1760" t="s">
        <v>694</v>
      </c>
      <c r="O1760">
        <v>491.68</v>
      </c>
      <c r="P1760" t="s">
        <v>34</v>
      </c>
    </row>
    <row r="1761" spans="1:16" ht="15" customHeight="1" x14ac:dyDescent="0.4">
      <c r="A1761" t="s">
        <v>15</v>
      </c>
      <c r="B1761" t="s">
        <v>16</v>
      </c>
      <c r="C1761" s="13">
        <v>44197</v>
      </c>
      <c r="D1761" s="13">
        <v>44561</v>
      </c>
      <c r="E1761" t="s">
        <v>17</v>
      </c>
      <c r="F1761">
        <v>0</v>
      </c>
      <c r="G1761" t="s">
        <v>18</v>
      </c>
      <c r="H1761">
        <v>1</v>
      </c>
      <c r="I1761" t="s">
        <v>19</v>
      </c>
      <c r="J1761">
        <v>326</v>
      </c>
      <c r="K1761" t="s">
        <v>199</v>
      </c>
      <c r="L1761" s="13">
        <v>44561</v>
      </c>
      <c r="M1761" t="s">
        <v>752</v>
      </c>
      <c r="N1761" t="s">
        <v>753</v>
      </c>
      <c r="O1761">
        <v>2942</v>
      </c>
      <c r="P1761" t="s">
        <v>202</v>
      </c>
    </row>
    <row r="1762" spans="1:16" ht="15" customHeight="1" x14ac:dyDescent="0.4">
      <c r="A1762" t="s">
        <v>15</v>
      </c>
      <c r="B1762" t="s">
        <v>16</v>
      </c>
      <c r="C1762" s="13">
        <v>44197</v>
      </c>
      <c r="D1762" s="13">
        <v>44561</v>
      </c>
      <c r="E1762" t="s">
        <v>17</v>
      </c>
      <c r="F1762">
        <v>0</v>
      </c>
      <c r="G1762" t="s">
        <v>18</v>
      </c>
      <c r="H1762">
        <v>1</v>
      </c>
      <c r="I1762" t="s">
        <v>19</v>
      </c>
      <c r="J1762">
        <v>327</v>
      </c>
      <c r="K1762" t="s">
        <v>754</v>
      </c>
      <c r="L1762" s="13">
        <v>44561</v>
      </c>
      <c r="M1762" t="s">
        <v>755</v>
      </c>
      <c r="N1762" t="s">
        <v>106</v>
      </c>
      <c r="O1762">
        <v>206.17</v>
      </c>
      <c r="P1762" t="s">
        <v>756</v>
      </c>
    </row>
    <row r="1763" spans="1:16" ht="15" customHeight="1" x14ac:dyDescent="0.4">
      <c r="A1763" t="s">
        <v>15</v>
      </c>
      <c r="B1763" t="s">
        <v>16</v>
      </c>
      <c r="C1763" s="13">
        <v>44197</v>
      </c>
      <c r="D1763" s="13">
        <v>44561</v>
      </c>
      <c r="E1763" t="s">
        <v>17</v>
      </c>
      <c r="F1763">
        <v>0</v>
      </c>
      <c r="G1763" t="s">
        <v>18</v>
      </c>
      <c r="H1763">
        <v>1</v>
      </c>
      <c r="I1763" t="s">
        <v>19</v>
      </c>
      <c r="J1763">
        <v>337</v>
      </c>
      <c r="K1763" t="s">
        <v>203</v>
      </c>
      <c r="L1763" s="13">
        <v>44224</v>
      </c>
      <c r="M1763" t="s">
        <v>758</v>
      </c>
      <c r="N1763" t="s">
        <v>661</v>
      </c>
      <c r="O1763">
        <v>35.89</v>
      </c>
      <c r="P1763" t="s">
        <v>34</v>
      </c>
    </row>
    <row r="1764" spans="1:16" ht="15" customHeight="1" x14ac:dyDescent="0.4">
      <c r="A1764" t="s">
        <v>15</v>
      </c>
      <c r="B1764" t="s">
        <v>16</v>
      </c>
      <c r="C1764" s="13">
        <v>44197</v>
      </c>
      <c r="D1764" s="13">
        <v>44561</v>
      </c>
      <c r="E1764" t="s">
        <v>17</v>
      </c>
      <c r="F1764">
        <v>0</v>
      </c>
      <c r="G1764" t="s">
        <v>18</v>
      </c>
      <c r="H1764">
        <v>1</v>
      </c>
      <c r="I1764" t="s">
        <v>19</v>
      </c>
      <c r="J1764">
        <v>337</v>
      </c>
      <c r="K1764" t="s">
        <v>203</v>
      </c>
      <c r="L1764" s="13">
        <v>44224</v>
      </c>
      <c r="M1764" t="s">
        <v>757</v>
      </c>
      <c r="N1764" t="s">
        <v>661</v>
      </c>
      <c r="O1764">
        <v>19.3</v>
      </c>
      <c r="P1764" t="s">
        <v>34</v>
      </c>
    </row>
    <row r="1765" spans="1:16" ht="15" customHeight="1" x14ac:dyDescent="0.4">
      <c r="A1765" t="s">
        <v>15</v>
      </c>
      <c r="B1765" t="s">
        <v>16</v>
      </c>
      <c r="C1765" s="13">
        <v>44197</v>
      </c>
      <c r="D1765" s="13">
        <v>44561</v>
      </c>
      <c r="E1765" t="s">
        <v>17</v>
      </c>
      <c r="F1765">
        <v>0</v>
      </c>
      <c r="G1765" t="s">
        <v>18</v>
      </c>
      <c r="H1765">
        <v>1</v>
      </c>
      <c r="I1765" t="s">
        <v>19</v>
      </c>
      <c r="J1765">
        <v>337</v>
      </c>
      <c r="K1765" t="s">
        <v>203</v>
      </c>
      <c r="L1765" s="13">
        <v>44232</v>
      </c>
      <c r="M1765" t="s">
        <v>759</v>
      </c>
      <c r="N1765" t="s">
        <v>760</v>
      </c>
      <c r="O1765">
        <v>0.01</v>
      </c>
      <c r="P1765" t="s">
        <v>205</v>
      </c>
    </row>
    <row r="1766" spans="1:16" ht="15" customHeight="1" x14ac:dyDescent="0.4">
      <c r="A1766" t="s">
        <v>15</v>
      </c>
      <c r="B1766" t="s">
        <v>16</v>
      </c>
      <c r="C1766" s="13">
        <v>44197</v>
      </c>
      <c r="D1766" s="13">
        <v>44561</v>
      </c>
      <c r="E1766" t="s">
        <v>17</v>
      </c>
      <c r="F1766">
        <v>0</v>
      </c>
      <c r="G1766" t="s">
        <v>18</v>
      </c>
      <c r="H1766">
        <v>1</v>
      </c>
      <c r="I1766" t="s">
        <v>19</v>
      </c>
      <c r="J1766">
        <v>337</v>
      </c>
      <c r="K1766" t="s">
        <v>203</v>
      </c>
      <c r="L1766" s="13">
        <v>44253</v>
      </c>
      <c r="M1766" t="s">
        <v>762</v>
      </c>
      <c r="N1766" t="s">
        <v>664</v>
      </c>
      <c r="O1766">
        <v>35.89</v>
      </c>
      <c r="P1766" t="s">
        <v>34</v>
      </c>
    </row>
    <row r="1767" spans="1:16" ht="15" customHeight="1" x14ac:dyDescent="0.4">
      <c r="A1767" t="s">
        <v>15</v>
      </c>
      <c r="B1767" t="s">
        <v>16</v>
      </c>
      <c r="C1767" s="13">
        <v>44197</v>
      </c>
      <c r="D1767" s="13">
        <v>44561</v>
      </c>
      <c r="E1767" t="s">
        <v>17</v>
      </c>
      <c r="F1767">
        <v>0</v>
      </c>
      <c r="G1767" t="s">
        <v>18</v>
      </c>
      <c r="H1767">
        <v>1</v>
      </c>
      <c r="I1767" t="s">
        <v>19</v>
      </c>
      <c r="J1767">
        <v>337</v>
      </c>
      <c r="K1767" t="s">
        <v>203</v>
      </c>
      <c r="L1767" s="13">
        <v>44253</v>
      </c>
      <c r="M1767" t="s">
        <v>761</v>
      </c>
      <c r="N1767" t="s">
        <v>664</v>
      </c>
      <c r="O1767">
        <v>19.3</v>
      </c>
      <c r="P1767" t="s">
        <v>34</v>
      </c>
    </row>
    <row r="1768" spans="1:16" ht="15" customHeight="1" x14ac:dyDescent="0.4">
      <c r="A1768" t="s">
        <v>15</v>
      </c>
      <c r="B1768" t="s">
        <v>16</v>
      </c>
      <c r="C1768" s="13">
        <v>44197</v>
      </c>
      <c r="D1768" s="13">
        <v>44561</v>
      </c>
      <c r="E1768" t="s">
        <v>17</v>
      </c>
      <c r="F1768">
        <v>0</v>
      </c>
      <c r="G1768" t="s">
        <v>18</v>
      </c>
      <c r="H1768">
        <v>1</v>
      </c>
      <c r="I1768" t="s">
        <v>19</v>
      </c>
      <c r="J1768">
        <v>337</v>
      </c>
      <c r="K1768" t="s">
        <v>203</v>
      </c>
      <c r="L1768" s="13">
        <v>44285</v>
      </c>
      <c r="M1768" t="s">
        <v>764</v>
      </c>
      <c r="N1768" t="s">
        <v>667</v>
      </c>
      <c r="O1768">
        <v>19.72</v>
      </c>
      <c r="P1768" t="s">
        <v>34</v>
      </c>
    </row>
    <row r="1769" spans="1:16" ht="15" customHeight="1" x14ac:dyDescent="0.4">
      <c r="A1769" t="s">
        <v>15</v>
      </c>
      <c r="B1769" t="s">
        <v>16</v>
      </c>
      <c r="C1769" s="13">
        <v>44197</v>
      </c>
      <c r="D1769" s="13">
        <v>44561</v>
      </c>
      <c r="E1769" t="s">
        <v>17</v>
      </c>
      <c r="F1769">
        <v>0</v>
      </c>
      <c r="G1769" t="s">
        <v>18</v>
      </c>
      <c r="H1769">
        <v>1</v>
      </c>
      <c r="I1769" t="s">
        <v>19</v>
      </c>
      <c r="J1769">
        <v>337</v>
      </c>
      <c r="K1769" t="s">
        <v>203</v>
      </c>
      <c r="L1769" s="13">
        <v>44285</v>
      </c>
      <c r="M1769" t="s">
        <v>763</v>
      </c>
      <c r="N1769" t="s">
        <v>667</v>
      </c>
      <c r="O1769">
        <v>35.89</v>
      </c>
      <c r="P1769" t="s">
        <v>34</v>
      </c>
    </row>
    <row r="1770" spans="1:16" ht="15" customHeight="1" x14ac:dyDescent="0.4">
      <c r="A1770" t="s">
        <v>15</v>
      </c>
      <c r="B1770" t="s">
        <v>16</v>
      </c>
      <c r="C1770" s="13">
        <v>44197</v>
      </c>
      <c r="D1770" s="13">
        <v>44561</v>
      </c>
      <c r="E1770" t="s">
        <v>17</v>
      </c>
      <c r="F1770">
        <v>0</v>
      </c>
      <c r="G1770" t="s">
        <v>18</v>
      </c>
      <c r="H1770">
        <v>1</v>
      </c>
      <c r="I1770" t="s">
        <v>19</v>
      </c>
      <c r="J1770">
        <v>337</v>
      </c>
      <c r="K1770" t="s">
        <v>203</v>
      </c>
      <c r="L1770" s="13">
        <v>44287</v>
      </c>
      <c r="M1770" t="s">
        <v>765</v>
      </c>
      <c r="N1770" t="s">
        <v>106</v>
      </c>
      <c r="O1770">
        <v>0.01</v>
      </c>
      <c r="P1770" t="s">
        <v>205</v>
      </c>
    </row>
    <row r="1771" spans="1:16" ht="15" customHeight="1" x14ac:dyDescent="0.4">
      <c r="A1771" t="s">
        <v>15</v>
      </c>
      <c r="B1771" t="s">
        <v>16</v>
      </c>
      <c r="C1771" s="13">
        <v>44197</v>
      </c>
      <c r="D1771" s="13">
        <v>44561</v>
      </c>
      <c r="E1771" t="s">
        <v>17</v>
      </c>
      <c r="F1771">
        <v>0</v>
      </c>
      <c r="G1771" t="s">
        <v>18</v>
      </c>
      <c r="H1771">
        <v>1</v>
      </c>
      <c r="I1771" t="s">
        <v>19</v>
      </c>
      <c r="J1771">
        <v>337</v>
      </c>
      <c r="K1771" t="s">
        <v>203</v>
      </c>
      <c r="L1771" s="13">
        <v>44315</v>
      </c>
      <c r="M1771" t="s">
        <v>767</v>
      </c>
      <c r="N1771" t="s">
        <v>670</v>
      </c>
      <c r="O1771">
        <v>35.89</v>
      </c>
      <c r="P1771" t="s">
        <v>34</v>
      </c>
    </row>
    <row r="1772" spans="1:16" ht="15" customHeight="1" x14ac:dyDescent="0.4">
      <c r="A1772" t="s">
        <v>15</v>
      </c>
      <c r="B1772" t="s">
        <v>16</v>
      </c>
      <c r="C1772" s="13">
        <v>44197</v>
      </c>
      <c r="D1772" s="13">
        <v>44561</v>
      </c>
      <c r="E1772" t="s">
        <v>17</v>
      </c>
      <c r="F1772">
        <v>0</v>
      </c>
      <c r="G1772" t="s">
        <v>18</v>
      </c>
      <c r="H1772">
        <v>1</v>
      </c>
      <c r="I1772" t="s">
        <v>19</v>
      </c>
      <c r="J1772">
        <v>337</v>
      </c>
      <c r="K1772" t="s">
        <v>203</v>
      </c>
      <c r="L1772" s="13">
        <v>44315</v>
      </c>
      <c r="M1772" t="s">
        <v>766</v>
      </c>
      <c r="N1772" t="s">
        <v>670</v>
      </c>
      <c r="O1772">
        <v>19.72</v>
      </c>
      <c r="P1772" t="s">
        <v>34</v>
      </c>
    </row>
    <row r="1773" spans="1:16" ht="15" customHeight="1" x14ac:dyDescent="0.4">
      <c r="A1773" t="s">
        <v>15</v>
      </c>
      <c r="B1773" t="s">
        <v>16</v>
      </c>
      <c r="C1773" s="13">
        <v>44197</v>
      </c>
      <c r="D1773" s="13">
        <v>44561</v>
      </c>
      <c r="E1773" t="s">
        <v>17</v>
      </c>
      <c r="F1773">
        <v>0</v>
      </c>
      <c r="G1773" t="s">
        <v>18</v>
      </c>
      <c r="H1773">
        <v>1</v>
      </c>
      <c r="I1773" t="s">
        <v>19</v>
      </c>
      <c r="J1773">
        <v>337</v>
      </c>
      <c r="K1773" t="s">
        <v>203</v>
      </c>
      <c r="L1773" s="13">
        <v>44322</v>
      </c>
      <c r="M1773" t="s">
        <v>768</v>
      </c>
      <c r="N1773" t="s">
        <v>106</v>
      </c>
      <c r="O1773">
        <v>0.01</v>
      </c>
      <c r="P1773" t="s">
        <v>205</v>
      </c>
    </row>
    <row r="1774" spans="1:16" ht="15" customHeight="1" x14ac:dyDescent="0.4">
      <c r="A1774" t="s">
        <v>15</v>
      </c>
      <c r="B1774" t="s">
        <v>16</v>
      </c>
      <c r="C1774" s="13">
        <v>44197</v>
      </c>
      <c r="D1774" s="13">
        <v>44561</v>
      </c>
      <c r="E1774" t="s">
        <v>17</v>
      </c>
      <c r="F1774">
        <v>0</v>
      </c>
      <c r="G1774" t="s">
        <v>18</v>
      </c>
      <c r="H1774">
        <v>1</v>
      </c>
      <c r="I1774" t="s">
        <v>19</v>
      </c>
      <c r="J1774">
        <v>337</v>
      </c>
      <c r="K1774" t="s">
        <v>203</v>
      </c>
      <c r="L1774" s="13">
        <v>44347</v>
      </c>
      <c r="M1774" t="s">
        <v>770</v>
      </c>
      <c r="N1774" t="s">
        <v>673</v>
      </c>
      <c r="O1774">
        <v>19.72</v>
      </c>
      <c r="P1774" t="s">
        <v>34</v>
      </c>
    </row>
    <row r="1775" spans="1:16" ht="15" customHeight="1" x14ac:dyDescent="0.4">
      <c r="A1775" t="s">
        <v>15</v>
      </c>
      <c r="B1775" t="s">
        <v>16</v>
      </c>
      <c r="C1775" s="13">
        <v>44197</v>
      </c>
      <c r="D1775" s="13">
        <v>44561</v>
      </c>
      <c r="E1775" t="s">
        <v>17</v>
      </c>
      <c r="F1775">
        <v>0</v>
      </c>
      <c r="G1775" t="s">
        <v>18</v>
      </c>
      <c r="H1775">
        <v>1</v>
      </c>
      <c r="I1775" t="s">
        <v>19</v>
      </c>
      <c r="J1775">
        <v>337</v>
      </c>
      <c r="K1775" t="s">
        <v>203</v>
      </c>
      <c r="L1775" s="13">
        <v>44347</v>
      </c>
      <c r="M1775" t="s">
        <v>769</v>
      </c>
      <c r="N1775" t="s">
        <v>673</v>
      </c>
      <c r="O1775">
        <v>35.89</v>
      </c>
      <c r="P1775" t="s">
        <v>34</v>
      </c>
    </row>
    <row r="1776" spans="1:16" ht="15" customHeight="1" x14ac:dyDescent="0.4">
      <c r="A1776" t="s">
        <v>15</v>
      </c>
      <c r="B1776" t="s">
        <v>16</v>
      </c>
      <c r="C1776" s="13">
        <v>44197</v>
      </c>
      <c r="D1776" s="13">
        <v>44561</v>
      </c>
      <c r="E1776" t="s">
        <v>17</v>
      </c>
      <c r="F1776">
        <v>0</v>
      </c>
      <c r="G1776" t="s">
        <v>18</v>
      </c>
      <c r="H1776">
        <v>1</v>
      </c>
      <c r="I1776" t="s">
        <v>19</v>
      </c>
      <c r="J1776">
        <v>337</v>
      </c>
      <c r="K1776" t="s">
        <v>203</v>
      </c>
      <c r="L1776" s="13">
        <v>44350</v>
      </c>
      <c r="M1776" t="s">
        <v>771</v>
      </c>
      <c r="N1776" t="s">
        <v>106</v>
      </c>
      <c r="O1776">
        <v>0.01</v>
      </c>
      <c r="P1776" t="s">
        <v>205</v>
      </c>
    </row>
    <row r="1777" spans="1:16" ht="15" customHeight="1" x14ac:dyDescent="0.4">
      <c r="A1777" t="s">
        <v>15</v>
      </c>
      <c r="B1777" t="s">
        <v>16</v>
      </c>
      <c r="C1777" s="13">
        <v>44197</v>
      </c>
      <c r="D1777" s="13">
        <v>44561</v>
      </c>
      <c r="E1777" t="s">
        <v>17</v>
      </c>
      <c r="F1777">
        <v>0</v>
      </c>
      <c r="G1777" t="s">
        <v>18</v>
      </c>
      <c r="H1777">
        <v>1</v>
      </c>
      <c r="I1777" t="s">
        <v>19</v>
      </c>
      <c r="J1777">
        <v>337</v>
      </c>
      <c r="K1777" t="s">
        <v>203</v>
      </c>
      <c r="L1777" s="13">
        <v>44372</v>
      </c>
      <c r="M1777" t="s">
        <v>773</v>
      </c>
      <c r="N1777" t="s">
        <v>676</v>
      </c>
      <c r="O1777">
        <v>35.89</v>
      </c>
      <c r="P1777" t="s">
        <v>34</v>
      </c>
    </row>
    <row r="1778" spans="1:16" ht="15" customHeight="1" x14ac:dyDescent="0.4">
      <c r="A1778" t="s">
        <v>15</v>
      </c>
      <c r="B1778" t="s">
        <v>16</v>
      </c>
      <c r="C1778" s="13">
        <v>44197</v>
      </c>
      <c r="D1778" s="13">
        <v>44561</v>
      </c>
      <c r="E1778" t="s">
        <v>17</v>
      </c>
      <c r="F1778">
        <v>0</v>
      </c>
      <c r="G1778" t="s">
        <v>18</v>
      </c>
      <c r="H1778">
        <v>1</v>
      </c>
      <c r="I1778" t="s">
        <v>19</v>
      </c>
      <c r="J1778">
        <v>337</v>
      </c>
      <c r="K1778" t="s">
        <v>203</v>
      </c>
      <c r="L1778" s="13">
        <v>44372</v>
      </c>
      <c r="M1778" t="s">
        <v>772</v>
      </c>
      <c r="N1778" t="s">
        <v>676</v>
      </c>
      <c r="O1778">
        <v>20.420000000000002</v>
      </c>
      <c r="P1778" t="s">
        <v>34</v>
      </c>
    </row>
    <row r="1779" spans="1:16" ht="15" customHeight="1" x14ac:dyDescent="0.4">
      <c r="A1779" t="s">
        <v>15</v>
      </c>
      <c r="B1779" t="s">
        <v>16</v>
      </c>
      <c r="C1779" s="13">
        <v>44197</v>
      </c>
      <c r="D1779" s="13">
        <v>44561</v>
      </c>
      <c r="E1779" t="s">
        <v>17</v>
      </c>
      <c r="F1779">
        <v>0</v>
      </c>
      <c r="G1779" t="s">
        <v>18</v>
      </c>
      <c r="H1779">
        <v>1</v>
      </c>
      <c r="I1779" t="s">
        <v>19</v>
      </c>
      <c r="J1779">
        <v>337</v>
      </c>
      <c r="K1779" t="s">
        <v>203</v>
      </c>
      <c r="L1779" s="13">
        <v>44400</v>
      </c>
      <c r="M1779" t="s">
        <v>774</v>
      </c>
      <c r="N1779" t="s">
        <v>679</v>
      </c>
      <c r="O1779">
        <v>35.89</v>
      </c>
      <c r="P1779" t="s">
        <v>34</v>
      </c>
    </row>
    <row r="1780" spans="1:16" ht="15" customHeight="1" x14ac:dyDescent="0.4">
      <c r="A1780" t="s">
        <v>15</v>
      </c>
      <c r="B1780" t="s">
        <v>16</v>
      </c>
      <c r="C1780" s="13">
        <v>44197</v>
      </c>
      <c r="D1780" s="13">
        <v>44561</v>
      </c>
      <c r="E1780" t="s">
        <v>17</v>
      </c>
      <c r="F1780">
        <v>0</v>
      </c>
      <c r="G1780" t="s">
        <v>18</v>
      </c>
      <c r="H1780">
        <v>1</v>
      </c>
      <c r="I1780" t="s">
        <v>19</v>
      </c>
      <c r="J1780">
        <v>337</v>
      </c>
      <c r="K1780" t="s">
        <v>203</v>
      </c>
      <c r="L1780" s="13">
        <v>44400</v>
      </c>
      <c r="M1780" t="s">
        <v>775</v>
      </c>
      <c r="N1780" t="s">
        <v>679</v>
      </c>
      <c r="O1780">
        <v>19.72</v>
      </c>
      <c r="P1780" t="s">
        <v>34</v>
      </c>
    </row>
    <row r="1781" spans="1:16" ht="15" customHeight="1" x14ac:dyDescent="0.4">
      <c r="A1781" t="s">
        <v>15</v>
      </c>
      <c r="B1781" t="s">
        <v>16</v>
      </c>
      <c r="C1781" s="13">
        <v>44197</v>
      </c>
      <c r="D1781" s="13">
        <v>44561</v>
      </c>
      <c r="E1781" t="s">
        <v>17</v>
      </c>
      <c r="F1781">
        <v>0</v>
      </c>
      <c r="G1781" t="s">
        <v>18</v>
      </c>
      <c r="H1781">
        <v>1</v>
      </c>
      <c r="I1781" t="s">
        <v>19</v>
      </c>
      <c r="J1781">
        <v>337</v>
      </c>
      <c r="K1781" t="s">
        <v>203</v>
      </c>
      <c r="L1781" s="13">
        <v>44407</v>
      </c>
      <c r="M1781" t="s">
        <v>776</v>
      </c>
      <c r="N1781" t="s">
        <v>106</v>
      </c>
      <c r="O1781">
        <v>0.01</v>
      </c>
      <c r="P1781" t="s">
        <v>205</v>
      </c>
    </row>
    <row r="1782" spans="1:16" ht="15" customHeight="1" x14ac:dyDescent="0.4">
      <c r="A1782" t="s">
        <v>15</v>
      </c>
      <c r="B1782" t="s">
        <v>16</v>
      </c>
      <c r="C1782" s="13">
        <v>44197</v>
      </c>
      <c r="D1782" s="13">
        <v>44561</v>
      </c>
      <c r="E1782" t="s">
        <v>17</v>
      </c>
      <c r="F1782">
        <v>0</v>
      </c>
      <c r="G1782" t="s">
        <v>18</v>
      </c>
      <c r="H1782">
        <v>1</v>
      </c>
      <c r="I1782" t="s">
        <v>19</v>
      </c>
      <c r="J1782">
        <v>337</v>
      </c>
      <c r="K1782" t="s">
        <v>203</v>
      </c>
      <c r="L1782" s="13">
        <v>44435</v>
      </c>
      <c r="M1782" t="s">
        <v>778</v>
      </c>
      <c r="N1782" t="s">
        <v>682</v>
      </c>
      <c r="O1782">
        <v>35.89</v>
      </c>
      <c r="P1782" t="s">
        <v>34</v>
      </c>
    </row>
    <row r="1783" spans="1:16" ht="15" customHeight="1" x14ac:dyDescent="0.4">
      <c r="A1783" t="s">
        <v>15</v>
      </c>
      <c r="B1783" t="s">
        <v>16</v>
      </c>
      <c r="C1783" s="13">
        <v>44197</v>
      </c>
      <c r="D1783" s="13">
        <v>44561</v>
      </c>
      <c r="E1783" t="s">
        <v>17</v>
      </c>
      <c r="F1783">
        <v>0</v>
      </c>
      <c r="G1783" t="s">
        <v>18</v>
      </c>
      <c r="H1783">
        <v>1</v>
      </c>
      <c r="I1783" t="s">
        <v>19</v>
      </c>
      <c r="J1783">
        <v>337</v>
      </c>
      <c r="K1783" t="s">
        <v>203</v>
      </c>
      <c r="L1783" s="13">
        <v>44435</v>
      </c>
      <c r="M1783" t="s">
        <v>777</v>
      </c>
      <c r="N1783" t="s">
        <v>682</v>
      </c>
      <c r="O1783">
        <v>19.72</v>
      </c>
      <c r="P1783" t="s">
        <v>34</v>
      </c>
    </row>
    <row r="1784" spans="1:16" ht="15" customHeight="1" x14ac:dyDescent="0.4">
      <c r="A1784" t="s">
        <v>15</v>
      </c>
      <c r="B1784" t="s">
        <v>16</v>
      </c>
      <c r="C1784" s="13">
        <v>44197</v>
      </c>
      <c r="D1784" s="13">
        <v>44561</v>
      </c>
      <c r="E1784" t="s">
        <v>17</v>
      </c>
      <c r="F1784">
        <v>0</v>
      </c>
      <c r="G1784" t="s">
        <v>18</v>
      </c>
      <c r="H1784">
        <v>1</v>
      </c>
      <c r="I1784" t="s">
        <v>19</v>
      </c>
      <c r="J1784">
        <v>337</v>
      </c>
      <c r="K1784" t="s">
        <v>203</v>
      </c>
      <c r="L1784" s="13">
        <v>44441</v>
      </c>
      <c r="M1784" t="s">
        <v>779</v>
      </c>
      <c r="N1784" t="s">
        <v>106</v>
      </c>
      <c r="O1784">
        <v>0.01</v>
      </c>
      <c r="P1784" t="s">
        <v>205</v>
      </c>
    </row>
    <row r="1785" spans="1:16" ht="15" customHeight="1" x14ac:dyDescent="0.4">
      <c r="A1785" t="s">
        <v>15</v>
      </c>
      <c r="B1785" t="s">
        <v>16</v>
      </c>
      <c r="C1785" s="13">
        <v>44197</v>
      </c>
      <c r="D1785" s="13">
        <v>44561</v>
      </c>
      <c r="E1785" t="s">
        <v>17</v>
      </c>
      <c r="F1785">
        <v>0</v>
      </c>
      <c r="G1785" t="s">
        <v>18</v>
      </c>
      <c r="H1785">
        <v>1</v>
      </c>
      <c r="I1785" t="s">
        <v>19</v>
      </c>
      <c r="J1785">
        <v>337</v>
      </c>
      <c r="K1785" t="s">
        <v>203</v>
      </c>
      <c r="L1785" s="13">
        <v>44467</v>
      </c>
      <c r="M1785" t="s">
        <v>780</v>
      </c>
      <c r="N1785" t="s">
        <v>685</v>
      </c>
      <c r="O1785">
        <v>35.89</v>
      </c>
      <c r="P1785" t="s">
        <v>34</v>
      </c>
    </row>
    <row r="1786" spans="1:16" ht="15" customHeight="1" x14ac:dyDescent="0.4">
      <c r="A1786" t="s">
        <v>15</v>
      </c>
      <c r="B1786" t="s">
        <v>16</v>
      </c>
      <c r="C1786" s="13">
        <v>44197</v>
      </c>
      <c r="D1786" s="13">
        <v>44561</v>
      </c>
      <c r="E1786" t="s">
        <v>17</v>
      </c>
      <c r="F1786">
        <v>0</v>
      </c>
      <c r="G1786" t="s">
        <v>18</v>
      </c>
      <c r="H1786">
        <v>1</v>
      </c>
      <c r="I1786" t="s">
        <v>19</v>
      </c>
      <c r="J1786">
        <v>337</v>
      </c>
      <c r="K1786" t="s">
        <v>203</v>
      </c>
      <c r="L1786" s="13">
        <v>44467</v>
      </c>
      <c r="M1786" t="s">
        <v>781</v>
      </c>
      <c r="N1786" t="s">
        <v>685</v>
      </c>
      <c r="O1786">
        <v>20.46</v>
      </c>
      <c r="P1786" t="s">
        <v>34</v>
      </c>
    </row>
    <row r="1787" spans="1:16" ht="15" customHeight="1" x14ac:dyDescent="0.4">
      <c r="A1787" t="s">
        <v>15</v>
      </c>
      <c r="B1787" t="s">
        <v>16</v>
      </c>
      <c r="C1787" s="13">
        <v>44197</v>
      </c>
      <c r="D1787" s="13">
        <v>44561</v>
      </c>
      <c r="E1787" t="s">
        <v>17</v>
      </c>
      <c r="F1787">
        <v>0</v>
      </c>
      <c r="G1787" t="s">
        <v>18</v>
      </c>
      <c r="H1787">
        <v>1</v>
      </c>
      <c r="I1787" t="s">
        <v>19</v>
      </c>
      <c r="J1787">
        <v>337</v>
      </c>
      <c r="K1787" t="s">
        <v>203</v>
      </c>
      <c r="L1787" s="13">
        <v>44491</v>
      </c>
      <c r="M1787" t="s">
        <v>783</v>
      </c>
      <c r="N1787" t="s">
        <v>688</v>
      </c>
      <c r="O1787">
        <v>35.89</v>
      </c>
      <c r="P1787" t="s">
        <v>34</v>
      </c>
    </row>
    <row r="1788" spans="1:16" ht="15" customHeight="1" x14ac:dyDescent="0.4">
      <c r="A1788" t="s">
        <v>15</v>
      </c>
      <c r="B1788" t="s">
        <v>16</v>
      </c>
      <c r="C1788" s="13">
        <v>44197</v>
      </c>
      <c r="D1788" s="13">
        <v>44561</v>
      </c>
      <c r="E1788" t="s">
        <v>17</v>
      </c>
      <c r="F1788">
        <v>0</v>
      </c>
      <c r="G1788" t="s">
        <v>18</v>
      </c>
      <c r="H1788">
        <v>1</v>
      </c>
      <c r="I1788" t="s">
        <v>19</v>
      </c>
      <c r="J1788">
        <v>337</v>
      </c>
      <c r="K1788" t="s">
        <v>203</v>
      </c>
      <c r="L1788" s="13">
        <v>44491</v>
      </c>
      <c r="M1788" t="s">
        <v>782</v>
      </c>
      <c r="N1788" t="s">
        <v>688</v>
      </c>
      <c r="O1788">
        <v>19.989999999999998</v>
      </c>
      <c r="P1788" t="s">
        <v>34</v>
      </c>
    </row>
    <row r="1789" spans="1:16" ht="15" customHeight="1" x14ac:dyDescent="0.4">
      <c r="A1789" t="s">
        <v>15</v>
      </c>
      <c r="B1789" t="s">
        <v>16</v>
      </c>
      <c r="C1789" s="13">
        <v>44197</v>
      </c>
      <c r="D1789" s="13">
        <v>44561</v>
      </c>
      <c r="E1789" t="s">
        <v>17</v>
      </c>
      <c r="F1789">
        <v>0</v>
      </c>
      <c r="G1789" t="s">
        <v>18</v>
      </c>
      <c r="H1789">
        <v>1</v>
      </c>
      <c r="I1789" t="s">
        <v>19</v>
      </c>
      <c r="J1789">
        <v>337</v>
      </c>
      <c r="K1789" t="s">
        <v>203</v>
      </c>
      <c r="L1789" s="13">
        <v>44524</v>
      </c>
      <c r="M1789" t="s">
        <v>784</v>
      </c>
      <c r="N1789" t="s">
        <v>691</v>
      </c>
      <c r="O1789">
        <v>19.72</v>
      </c>
      <c r="P1789" t="s">
        <v>34</v>
      </c>
    </row>
    <row r="1790" spans="1:16" ht="15" customHeight="1" x14ac:dyDescent="0.4">
      <c r="A1790" t="s">
        <v>15</v>
      </c>
      <c r="B1790" t="s">
        <v>16</v>
      </c>
      <c r="C1790" s="13">
        <v>44197</v>
      </c>
      <c r="D1790" s="13">
        <v>44561</v>
      </c>
      <c r="E1790" t="s">
        <v>17</v>
      </c>
      <c r="F1790">
        <v>0</v>
      </c>
      <c r="G1790" t="s">
        <v>18</v>
      </c>
      <c r="H1790">
        <v>1</v>
      </c>
      <c r="I1790" t="s">
        <v>19</v>
      </c>
      <c r="J1790">
        <v>337</v>
      </c>
      <c r="K1790" t="s">
        <v>203</v>
      </c>
      <c r="L1790" s="13">
        <v>44524</v>
      </c>
      <c r="M1790" t="s">
        <v>785</v>
      </c>
      <c r="N1790" t="s">
        <v>691</v>
      </c>
      <c r="O1790">
        <v>35.89</v>
      </c>
      <c r="P1790" t="s">
        <v>34</v>
      </c>
    </row>
    <row r="1791" spans="1:16" ht="15" customHeight="1" x14ac:dyDescent="0.4">
      <c r="A1791" t="s">
        <v>15</v>
      </c>
      <c r="B1791" t="s">
        <v>16</v>
      </c>
      <c r="C1791" s="13">
        <v>44197</v>
      </c>
      <c r="D1791" s="13">
        <v>44561</v>
      </c>
      <c r="E1791" t="s">
        <v>17</v>
      </c>
      <c r="F1791">
        <v>0</v>
      </c>
      <c r="G1791" t="s">
        <v>18</v>
      </c>
      <c r="H1791">
        <v>1</v>
      </c>
      <c r="I1791" t="s">
        <v>19</v>
      </c>
      <c r="J1791">
        <v>337</v>
      </c>
      <c r="K1791" t="s">
        <v>203</v>
      </c>
      <c r="L1791" s="13">
        <v>44531</v>
      </c>
      <c r="M1791" t="s">
        <v>786</v>
      </c>
      <c r="N1791" t="s">
        <v>106</v>
      </c>
      <c r="O1791">
        <v>0.01</v>
      </c>
      <c r="P1791" t="s">
        <v>205</v>
      </c>
    </row>
    <row r="1792" spans="1:16" ht="15" customHeight="1" x14ac:dyDescent="0.4">
      <c r="A1792" t="s">
        <v>15</v>
      </c>
      <c r="B1792" t="s">
        <v>16</v>
      </c>
      <c r="C1792" s="13">
        <v>44197</v>
      </c>
      <c r="D1792" s="13">
        <v>44561</v>
      </c>
      <c r="E1792" t="s">
        <v>17</v>
      </c>
      <c r="F1792">
        <v>0</v>
      </c>
      <c r="G1792" t="s">
        <v>18</v>
      </c>
      <c r="H1792">
        <v>1</v>
      </c>
      <c r="I1792" t="s">
        <v>19</v>
      </c>
      <c r="J1792">
        <v>337</v>
      </c>
      <c r="K1792" t="s">
        <v>203</v>
      </c>
      <c r="L1792" s="13">
        <v>44552</v>
      </c>
      <c r="M1792" t="s">
        <v>787</v>
      </c>
      <c r="N1792" t="s">
        <v>694</v>
      </c>
      <c r="O1792">
        <v>38.43</v>
      </c>
      <c r="P1792" t="s">
        <v>34</v>
      </c>
    </row>
    <row r="1793" spans="1:16" ht="15" customHeight="1" x14ac:dyDescent="0.4">
      <c r="A1793" t="s">
        <v>15</v>
      </c>
      <c r="B1793" t="s">
        <v>16</v>
      </c>
      <c r="C1793" s="13">
        <v>44197</v>
      </c>
      <c r="D1793" s="13">
        <v>44561</v>
      </c>
      <c r="E1793" t="s">
        <v>17</v>
      </c>
      <c r="F1793">
        <v>0</v>
      </c>
      <c r="G1793" t="s">
        <v>18</v>
      </c>
      <c r="H1793">
        <v>1</v>
      </c>
      <c r="I1793" t="s">
        <v>19</v>
      </c>
      <c r="J1793">
        <v>337</v>
      </c>
      <c r="K1793" t="s">
        <v>203</v>
      </c>
      <c r="L1793" s="13">
        <v>44552</v>
      </c>
      <c r="M1793" t="s">
        <v>788</v>
      </c>
      <c r="N1793" t="s">
        <v>694</v>
      </c>
      <c r="O1793">
        <v>35.89</v>
      </c>
      <c r="P1793" t="s">
        <v>34</v>
      </c>
    </row>
    <row r="1794" spans="1:16" ht="15" customHeight="1" x14ac:dyDescent="0.4">
      <c r="A1794" t="s">
        <v>15</v>
      </c>
      <c r="B1794" t="s">
        <v>16</v>
      </c>
      <c r="C1794" s="13">
        <v>44197</v>
      </c>
      <c r="D1794" s="13">
        <v>44561</v>
      </c>
      <c r="E1794" t="s">
        <v>17</v>
      </c>
      <c r="F1794">
        <v>0</v>
      </c>
      <c r="G1794" t="s">
        <v>18</v>
      </c>
      <c r="H1794">
        <v>1</v>
      </c>
      <c r="I1794" t="s">
        <v>19</v>
      </c>
      <c r="J1794">
        <v>349</v>
      </c>
      <c r="K1794" t="s">
        <v>236</v>
      </c>
      <c r="L1794" s="13">
        <v>44218</v>
      </c>
      <c r="M1794" t="s">
        <v>351</v>
      </c>
      <c r="N1794" t="s">
        <v>789</v>
      </c>
      <c r="O1794">
        <v>18.66</v>
      </c>
      <c r="P1794" t="s">
        <v>239</v>
      </c>
    </row>
    <row r="1795" spans="1:16" ht="15" customHeight="1" x14ac:dyDescent="0.4">
      <c r="A1795" t="s">
        <v>15</v>
      </c>
      <c r="B1795" t="s">
        <v>16</v>
      </c>
      <c r="C1795" s="13">
        <v>44197</v>
      </c>
      <c r="D1795" s="13">
        <v>44561</v>
      </c>
      <c r="E1795" t="s">
        <v>17</v>
      </c>
      <c r="F1795">
        <v>0</v>
      </c>
      <c r="G1795" t="s">
        <v>18</v>
      </c>
      <c r="H1795">
        <v>1</v>
      </c>
      <c r="I1795" t="s">
        <v>19</v>
      </c>
      <c r="J1795">
        <v>349</v>
      </c>
      <c r="K1795" t="s">
        <v>236</v>
      </c>
      <c r="L1795" s="13">
        <v>44281</v>
      </c>
      <c r="M1795" t="s">
        <v>351</v>
      </c>
      <c r="N1795" t="s">
        <v>790</v>
      </c>
      <c r="O1795">
        <v>19.59</v>
      </c>
      <c r="P1795" t="s">
        <v>239</v>
      </c>
    </row>
    <row r="1796" spans="1:16" ht="15" customHeight="1" x14ac:dyDescent="0.4">
      <c r="A1796" t="s">
        <v>15</v>
      </c>
      <c r="B1796" t="s">
        <v>16</v>
      </c>
      <c r="C1796" s="13">
        <v>44197</v>
      </c>
      <c r="D1796" s="13">
        <v>44561</v>
      </c>
      <c r="E1796" t="s">
        <v>17</v>
      </c>
      <c r="F1796">
        <v>0</v>
      </c>
      <c r="G1796" t="s">
        <v>18</v>
      </c>
      <c r="H1796">
        <v>1</v>
      </c>
      <c r="I1796" t="s">
        <v>19</v>
      </c>
      <c r="J1796">
        <v>349</v>
      </c>
      <c r="K1796" t="s">
        <v>236</v>
      </c>
      <c r="L1796" s="13">
        <v>44341</v>
      </c>
      <c r="M1796" t="s">
        <v>351</v>
      </c>
      <c r="N1796" t="s">
        <v>791</v>
      </c>
      <c r="O1796">
        <v>17.95</v>
      </c>
      <c r="P1796" t="s">
        <v>239</v>
      </c>
    </row>
    <row r="1797" spans="1:16" ht="15" customHeight="1" x14ac:dyDescent="0.4">
      <c r="A1797" t="s">
        <v>15</v>
      </c>
      <c r="B1797" t="s">
        <v>16</v>
      </c>
      <c r="C1797" s="13">
        <v>44197</v>
      </c>
      <c r="D1797" s="13">
        <v>44561</v>
      </c>
      <c r="E1797" t="s">
        <v>17</v>
      </c>
      <c r="F1797">
        <v>0</v>
      </c>
      <c r="G1797" t="s">
        <v>18</v>
      </c>
      <c r="H1797">
        <v>1</v>
      </c>
      <c r="I1797" t="s">
        <v>19</v>
      </c>
      <c r="J1797">
        <v>349</v>
      </c>
      <c r="K1797" t="s">
        <v>236</v>
      </c>
      <c r="L1797" s="13">
        <v>44399</v>
      </c>
      <c r="M1797" t="s">
        <v>792</v>
      </c>
      <c r="N1797" t="s">
        <v>793</v>
      </c>
      <c r="O1797">
        <v>17.46</v>
      </c>
      <c r="P1797" t="s">
        <v>239</v>
      </c>
    </row>
    <row r="1798" spans="1:16" ht="15" customHeight="1" x14ac:dyDescent="0.4">
      <c r="A1798" t="s">
        <v>15</v>
      </c>
      <c r="B1798" t="s">
        <v>16</v>
      </c>
      <c r="C1798" s="13">
        <v>44197</v>
      </c>
      <c r="D1798" s="13">
        <v>44561</v>
      </c>
      <c r="E1798" t="s">
        <v>17</v>
      </c>
      <c r="F1798">
        <v>0</v>
      </c>
      <c r="G1798" t="s">
        <v>18</v>
      </c>
      <c r="H1798">
        <v>1</v>
      </c>
      <c r="I1798" t="s">
        <v>19</v>
      </c>
      <c r="J1798">
        <v>349</v>
      </c>
      <c r="K1798" t="s">
        <v>236</v>
      </c>
      <c r="L1798" s="13">
        <v>44461</v>
      </c>
      <c r="M1798" t="s">
        <v>351</v>
      </c>
      <c r="N1798" t="s">
        <v>794</v>
      </c>
      <c r="O1798">
        <v>18.8</v>
      </c>
      <c r="P1798" t="s">
        <v>239</v>
      </c>
    </row>
    <row r="1799" spans="1:16" ht="15" customHeight="1" x14ac:dyDescent="0.4">
      <c r="A1799" t="s">
        <v>15</v>
      </c>
      <c r="B1799" t="s">
        <v>16</v>
      </c>
      <c r="C1799" s="13">
        <v>44197</v>
      </c>
      <c r="D1799" s="13">
        <v>44561</v>
      </c>
      <c r="E1799" t="s">
        <v>17</v>
      </c>
      <c r="F1799">
        <v>0</v>
      </c>
      <c r="G1799" t="s">
        <v>18</v>
      </c>
      <c r="H1799">
        <v>1</v>
      </c>
      <c r="I1799" t="s">
        <v>19</v>
      </c>
      <c r="J1799">
        <v>349</v>
      </c>
      <c r="K1799" t="s">
        <v>236</v>
      </c>
      <c r="L1799" s="13">
        <v>44522</v>
      </c>
      <c r="M1799" t="s">
        <v>351</v>
      </c>
      <c r="N1799" t="s">
        <v>795</v>
      </c>
      <c r="O1799">
        <v>18.420000000000002</v>
      </c>
      <c r="P1799" t="s">
        <v>239</v>
      </c>
    </row>
    <row r="1800" spans="1:16" ht="15" customHeight="1" x14ac:dyDescent="0.4">
      <c r="A1800" t="s">
        <v>15</v>
      </c>
      <c r="B1800" t="s">
        <v>16</v>
      </c>
      <c r="C1800" s="13">
        <v>44197</v>
      </c>
      <c r="D1800" s="13">
        <v>44561</v>
      </c>
      <c r="E1800" t="s">
        <v>17</v>
      </c>
      <c r="F1800">
        <v>0</v>
      </c>
      <c r="G1800" t="s">
        <v>18</v>
      </c>
      <c r="H1800">
        <v>1</v>
      </c>
      <c r="I1800" t="s">
        <v>19</v>
      </c>
      <c r="J1800">
        <v>355</v>
      </c>
      <c r="K1800" t="s">
        <v>250</v>
      </c>
      <c r="L1800" s="13">
        <v>44292</v>
      </c>
      <c r="M1800" t="s">
        <v>251</v>
      </c>
      <c r="N1800" t="s">
        <v>46</v>
      </c>
      <c r="O1800">
        <v>24.48</v>
      </c>
      <c r="P1800" t="s">
        <v>46</v>
      </c>
    </row>
    <row r="1801" spans="1:16" ht="15" customHeight="1" x14ac:dyDescent="0.4">
      <c r="A1801" t="s">
        <v>15</v>
      </c>
      <c r="B1801" t="s">
        <v>16</v>
      </c>
      <c r="C1801" s="13">
        <v>44197</v>
      </c>
      <c r="D1801" s="13">
        <v>44561</v>
      </c>
      <c r="E1801" t="s">
        <v>17</v>
      </c>
      <c r="F1801">
        <v>0</v>
      </c>
      <c r="G1801" t="s">
        <v>18</v>
      </c>
      <c r="H1801">
        <v>1</v>
      </c>
      <c r="I1801" t="s">
        <v>19</v>
      </c>
      <c r="J1801">
        <v>355</v>
      </c>
      <c r="K1801" t="s">
        <v>250</v>
      </c>
      <c r="L1801" s="13">
        <v>44382</v>
      </c>
      <c r="M1801" t="s">
        <v>251</v>
      </c>
      <c r="N1801" t="s">
        <v>46</v>
      </c>
      <c r="O1801">
        <v>24.48</v>
      </c>
      <c r="P1801" t="s">
        <v>46</v>
      </c>
    </row>
    <row r="1802" spans="1:16" ht="15" customHeight="1" x14ac:dyDescent="0.4">
      <c r="A1802" t="s">
        <v>15</v>
      </c>
      <c r="B1802" t="s">
        <v>16</v>
      </c>
      <c r="C1802" s="13">
        <v>44197</v>
      </c>
      <c r="D1802" s="13">
        <v>44561</v>
      </c>
      <c r="E1802" t="s">
        <v>17</v>
      </c>
      <c r="F1802">
        <v>0</v>
      </c>
      <c r="G1802" t="s">
        <v>18</v>
      </c>
      <c r="H1802">
        <v>1</v>
      </c>
      <c r="I1802" t="s">
        <v>19</v>
      </c>
      <c r="J1802">
        <v>355</v>
      </c>
      <c r="K1802" t="s">
        <v>250</v>
      </c>
      <c r="L1802" s="13">
        <v>44474</v>
      </c>
      <c r="M1802" t="s">
        <v>251</v>
      </c>
      <c r="N1802" t="s">
        <v>46</v>
      </c>
      <c r="O1802">
        <v>24.48</v>
      </c>
      <c r="P1802" t="s">
        <v>46</v>
      </c>
    </row>
    <row r="1803" spans="1:16" ht="15" customHeight="1" x14ac:dyDescent="0.4">
      <c r="A1803" t="s">
        <v>15</v>
      </c>
      <c r="B1803" t="s">
        <v>16</v>
      </c>
      <c r="C1803" s="13">
        <v>44197</v>
      </c>
      <c r="D1803" s="13">
        <v>44561</v>
      </c>
      <c r="E1803" t="s">
        <v>17</v>
      </c>
      <c r="F1803">
        <v>0</v>
      </c>
      <c r="G1803" t="s">
        <v>18</v>
      </c>
      <c r="H1803">
        <v>1</v>
      </c>
      <c r="I1803" t="s">
        <v>19</v>
      </c>
      <c r="J1803">
        <v>355</v>
      </c>
      <c r="K1803" t="s">
        <v>250</v>
      </c>
      <c r="L1803" s="13">
        <v>44561</v>
      </c>
      <c r="M1803" t="s">
        <v>251</v>
      </c>
      <c r="N1803" t="s">
        <v>46</v>
      </c>
      <c r="O1803">
        <v>24.48</v>
      </c>
      <c r="P1803" t="s">
        <v>46</v>
      </c>
    </row>
    <row r="1804" spans="1:16" ht="15" customHeight="1" x14ac:dyDescent="0.4">
      <c r="A1804" t="s">
        <v>15</v>
      </c>
      <c r="B1804" t="s">
        <v>16</v>
      </c>
      <c r="C1804" s="13">
        <v>44197</v>
      </c>
      <c r="D1804" s="13">
        <v>44561</v>
      </c>
      <c r="E1804" t="s">
        <v>17</v>
      </c>
      <c r="F1804">
        <v>0</v>
      </c>
      <c r="G1804" t="s">
        <v>18</v>
      </c>
      <c r="H1804">
        <v>1</v>
      </c>
      <c r="I1804" t="s">
        <v>19</v>
      </c>
      <c r="J1804">
        <v>381</v>
      </c>
      <c r="K1804" t="s">
        <v>796</v>
      </c>
      <c r="L1804" s="13">
        <v>44425</v>
      </c>
      <c r="M1804" t="s">
        <v>797</v>
      </c>
      <c r="N1804" t="s">
        <v>798</v>
      </c>
      <c r="O1804">
        <v>429.2</v>
      </c>
      <c r="P1804" t="s">
        <v>799</v>
      </c>
    </row>
    <row r="1805" spans="1:16" ht="15" customHeight="1" x14ac:dyDescent="0.4">
      <c r="A1805" t="s">
        <v>15</v>
      </c>
      <c r="B1805" t="s">
        <v>16</v>
      </c>
      <c r="C1805" s="13">
        <v>44197</v>
      </c>
      <c r="D1805" s="13">
        <v>44561</v>
      </c>
      <c r="E1805" t="s">
        <v>17</v>
      </c>
      <c r="F1805">
        <v>0</v>
      </c>
      <c r="G1805" t="s">
        <v>18</v>
      </c>
      <c r="H1805">
        <v>1</v>
      </c>
      <c r="I1805" t="s">
        <v>19</v>
      </c>
      <c r="J1805">
        <v>441</v>
      </c>
      <c r="K1805" t="s">
        <v>268</v>
      </c>
      <c r="L1805" s="13">
        <v>44197</v>
      </c>
      <c r="M1805" t="s">
        <v>800</v>
      </c>
      <c r="N1805" t="s">
        <v>801</v>
      </c>
      <c r="O1805">
        <v>9050.44</v>
      </c>
      <c r="P1805" t="s">
        <v>271</v>
      </c>
    </row>
    <row r="1806" spans="1:16" ht="15" customHeight="1" x14ac:dyDescent="0.4">
      <c r="A1806" t="s">
        <v>15</v>
      </c>
      <c r="B1806" t="s">
        <v>16</v>
      </c>
      <c r="C1806" s="13">
        <v>44197</v>
      </c>
      <c r="D1806" s="13">
        <v>44561</v>
      </c>
      <c r="E1806" t="s">
        <v>17</v>
      </c>
      <c r="F1806">
        <v>0</v>
      </c>
      <c r="G1806" t="s">
        <v>18</v>
      </c>
      <c r="H1806">
        <v>1</v>
      </c>
      <c r="I1806" t="s">
        <v>19</v>
      </c>
      <c r="J1806">
        <v>461</v>
      </c>
      <c r="K1806" t="s">
        <v>272</v>
      </c>
      <c r="L1806" s="13">
        <v>44219</v>
      </c>
      <c r="M1806" t="s">
        <v>802</v>
      </c>
      <c r="N1806" t="s">
        <v>46</v>
      </c>
      <c r="O1806">
        <v>423.5</v>
      </c>
      <c r="P1806" t="s">
        <v>46</v>
      </c>
    </row>
    <row r="1807" spans="1:16" ht="15" customHeight="1" x14ac:dyDescent="0.4">
      <c r="A1807" t="s">
        <v>15</v>
      </c>
      <c r="B1807" t="s">
        <v>16</v>
      </c>
      <c r="C1807" s="13">
        <v>44197</v>
      </c>
      <c r="D1807" s="13">
        <v>44561</v>
      </c>
      <c r="E1807" t="s">
        <v>17</v>
      </c>
      <c r="F1807">
        <v>0</v>
      </c>
      <c r="G1807" t="s">
        <v>18</v>
      </c>
      <c r="H1807">
        <v>1</v>
      </c>
      <c r="I1807" t="s">
        <v>19</v>
      </c>
      <c r="J1807">
        <v>461</v>
      </c>
      <c r="K1807" t="s">
        <v>272</v>
      </c>
      <c r="L1807" s="13">
        <v>44308</v>
      </c>
      <c r="M1807" t="s">
        <v>803</v>
      </c>
      <c r="N1807" t="s">
        <v>804</v>
      </c>
      <c r="O1807">
        <v>403.39</v>
      </c>
      <c r="P1807" t="s">
        <v>805</v>
      </c>
    </row>
    <row r="1808" spans="1:16" ht="15" customHeight="1" x14ac:dyDescent="0.4">
      <c r="A1808" t="s">
        <v>15</v>
      </c>
      <c r="B1808" t="s">
        <v>16</v>
      </c>
      <c r="C1808" s="13">
        <v>44197</v>
      </c>
      <c r="D1808" s="13">
        <v>44561</v>
      </c>
      <c r="E1808" t="s">
        <v>17</v>
      </c>
      <c r="F1808">
        <v>0</v>
      </c>
      <c r="G1808" t="s">
        <v>18</v>
      </c>
      <c r="H1808">
        <v>1</v>
      </c>
      <c r="I1808" t="s">
        <v>19</v>
      </c>
      <c r="J1808">
        <v>461</v>
      </c>
      <c r="K1808" t="s">
        <v>272</v>
      </c>
      <c r="L1808" s="13">
        <v>44335</v>
      </c>
      <c r="M1808" t="s">
        <v>806</v>
      </c>
      <c r="N1808" t="s">
        <v>807</v>
      </c>
      <c r="O1808">
        <v>82.68</v>
      </c>
      <c r="P1808" t="s">
        <v>808</v>
      </c>
    </row>
    <row r="1809" spans="1:16" ht="15" customHeight="1" x14ac:dyDescent="0.4">
      <c r="A1809" t="s">
        <v>15</v>
      </c>
      <c r="B1809" t="s">
        <v>16</v>
      </c>
      <c r="C1809" s="13">
        <v>44197</v>
      </c>
      <c r="D1809" s="13">
        <v>44561</v>
      </c>
      <c r="E1809" t="s">
        <v>17</v>
      </c>
      <c r="F1809">
        <v>0</v>
      </c>
      <c r="G1809" t="s">
        <v>18</v>
      </c>
      <c r="H1809">
        <v>1</v>
      </c>
      <c r="I1809" t="s">
        <v>19</v>
      </c>
      <c r="J1809">
        <v>702</v>
      </c>
      <c r="K1809" t="s">
        <v>275</v>
      </c>
      <c r="L1809" s="13">
        <v>44561</v>
      </c>
      <c r="M1809" t="s">
        <v>276</v>
      </c>
      <c r="N1809" t="s">
        <v>46</v>
      </c>
      <c r="O1809">
        <v>41</v>
      </c>
      <c r="P1809" t="s">
        <v>46</v>
      </c>
    </row>
    <row r="1810" spans="1:16" ht="15" customHeight="1" x14ac:dyDescent="0.4">
      <c r="A1810" t="s">
        <v>15</v>
      </c>
      <c r="B1810" t="s">
        <v>16</v>
      </c>
      <c r="C1810" s="13">
        <v>44197</v>
      </c>
      <c r="D1810" s="13">
        <v>44561</v>
      </c>
      <c r="E1810" t="s">
        <v>17</v>
      </c>
      <c r="F1810">
        <v>0</v>
      </c>
      <c r="G1810" t="s">
        <v>18</v>
      </c>
      <c r="H1810">
        <v>1</v>
      </c>
      <c r="I1810" t="s">
        <v>19</v>
      </c>
      <c r="J1810">
        <v>791</v>
      </c>
      <c r="K1810" t="s">
        <v>277</v>
      </c>
      <c r="L1810" s="13">
        <v>44197</v>
      </c>
      <c r="M1810" t="s">
        <v>809</v>
      </c>
      <c r="N1810" t="s">
        <v>810</v>
      </c>
      <c r="O1810">
        <v>306.60000000000002</v>
      </c>
      <c r="P1810" t="s">
        <v>280</v>
      </c>
    </row>
    <row r="1811" spans="1:16" ht="15" customHeight="1" x14ac:dyDescent="0.4">
      <c r="A1811" t="s">
        <v>15</v>
      </c>
      <c r="B1811" t="s">
        <v>16</v>
      </c>
      <c r="C1811" s="13">
        <v>44197</v>
      </c>
      <c r="D1811" s="13">
        <v>44561</v>
      </c>
      <c r="E1811" t="s">
        <v>17</v>
      </c>
      <c r="F1811">
        <v>0</v>
      </c>
      <c r="G1811" t="s">
        <v>18</v>
      </c>
      <c r="H1811">
        <v>1</v>
      </c>
      <c r="I1811" t="s">
        <v>19</v>
      </c>
      <c r="J1811">
        <v>791</v>
      </c>
      <c r="K1811" t="s">
        <v>277</v>
      </c>
      <c r="L1811" s="13">
        <v>44264</v>
      </c>
      <c r="M1811" t="s">
        <v>811</v>
      </c>
      <c r="N1811" t="s">
        <v>812</v>
      </c>
      <c r="O1811">
        <v>306.60000000000002</v>
      </c>
      <c r="P1811" t="s">
        <v>280</v>
      </c>
    </row>
    <row r="1812" spans="1:16" ht="15" customHeight="1" x14ac:dyDescent="0.4">
      <c r="A1812" t="s">
        <v>15</v>
      </c>
      <c r="B1812" t="s">
        <v>16</v>
      </c>
      <c r="C1812" s="13">
        <v>44197</v>
      </c>
      <c r="D1812" s="13">
        <v>44561</v>
      </c>
      <c r="E1812" t="s">
        <v>17</v>
      </c>
      <c r="F1812">
        <v>0</v>
      </c>
      <c r="G1812" t="s">
        <v>18</v>
      </c>
      <c r="H1812">
        <v>1</v>
      </c>
      <c r="I1812" t="s">
        <v>19</v>
      </c>
      <c r="J1812">
        <v>791</v>
      </c>
      <c r="K1812" t="s">
        <v>277</v>
      </c>
      <c r="L1812" s="13">
        <v>44350</v>
      </c>
      <c r="M1812" t="s">
        <v>813</v>
      </c>
      <c r="N1812" t="s">
        <v>814</v>
      </c>
      <c r="O1812">
        <v>306.60000000000002</v>
      </c>
      <c r="P1812" t="s">
        <v>280</v>
      </c>
    </row>
    <row r="1813" spans="1:16" ht="15" customHeight="1" x14ac:dyDescent="0.4">
      <c r="A1813" t="s">
        <v>15</v>
      </c>
      <c r="B1813" t="s">
        <v>16</v>
      </c>
      <c r="C1813" s="13">
        <v>44197</v>
      </c>
      <c r="D1813" s="13">
        <v>44561</v>
      </c>
      <c r="E1813" t="s">
        <v>17</v>
      </c>
      <c r="F1813">
        <v>0</v>
      </c>
      <c r="G1813" t="s">
        <v>18</v>
      </c>
      <c r="H1813">
        <v>1</v>
      </c>
      <c r="I1813" t="s">
        <v>19</v>
      </c>
      <c r="J1813">
        <v>791</v>
      </c>
      <c r="K1813" t="s">
        <v>277</v>
      </c>
      <c r="L1813" s="13">
        <v>44446</v>
      </c>
      <c r="M1813" t="s">
        <v>815</v>
      </c>
      <c r="N1813" t="s">
        <v>816</v>
      </c>
      <c r="O1813">
        <v>306.60000000000002</v>
      </c>
      <c r="P1813" t="s">
        <v>280</v>
      </c>
    </row>
    <row r="1814" spans="1:16" ht="15" customHeight="1" x14ac:dyDescent="0.4">
      <c r="A1814" t="s">
        <v>15</v>
      </c>
      <c r="B1814" t="s">
        <v>16</v>
      </c>
      <c r="C1814" s="13">
        <v>44197</v>
      </c>
      <c r="D1814" s="13">
        <v>44561</v>
      </c>
      <c r="E1814" t="s">
        <v>17</v>
      </c>
      <c r="F1814">
        <v>0</v>
      </c>
      <c r="G1814" t="s">
        <v>18</v>
      </c>
      <c r="H1814">
        <v>1</v>
      </c>
      <c r="I1814" t="s">
        <v>19</v>
      </c>
      <c r="J1814">
        <v>791</v>
      </c>
      <c r="K1814" t="s">
        <v>277</v>
      </c>
      <c r="L1814" s="13">
        <v>44561</v>
      </c>
      <c r="M1814" t="s">
        <v>287</v>
      </c>
      <c r="N1814" t="s">
        <v>288</v>
      </c>
      <c r="O1814">
        <v>-408.76</v>
      </c>
      <c r="P1814" t="s">
        <v>46</v>
      </c>
    </row>
    <row r="1815" spans="1:16" ht="15" customHeight="1" x14ac:dyDescent="0.4">
      <c r="A1815" t="s">
        <v>15</v>
      </c>
      <c r="B1815" t="s">
        <v>16</v>
      </c>
      <c r="C1815" s="13">
        <v>44197</v>
      </c>
      <c r="D1815" s="13">
        <v>44561</v>
      </c>
      <c r="E1815" t="s">
        <v>17</v>
      </c>
      <c r="F1815">
        <v>0</v>
      </c>
      <c r="G1815" t="s">
        <v>18</v>
      </c>
      <c r="H1815">
        <v>1</v>
      </c>
      <c r="I1815" t="s">
        <v>19</v>
      </c>
      <c r="J1815">
        <v>841</v>
      </c>
      <c r="K1815" t="s">
        <v>289</v>
      </c>
      <c r="L1815" s="13">
        <v>44197</v>
      </c>
      <c r="M1815" t="s">
        <v>817</v>
      </c>
      <c r="N1815" t="s">
        <v>818</v>
      </c>
      <c r="O1815">
        <v>792</v>
      </c>
      <c r="P1815" t="s">
        <v>292</v>
      </c>
    </row>
    <row r="1816" spans="1:16" ht="15" customHeight="1" x14ac:dyDescent="0.4">
      <c r="A1816" t="s">
        <v>15</v>
      </c>
      <c r="B1816" t="s">
        <v>16</v>
      </c>
      <c r="C1816" s="13">
        <v>44197</v>
      </c>
      <c r="D1816" s="13">
        <v>44561</v>
      </c>
      <c r="E1816" t="s">
        <v>17</v>
      </c>
      <c r="F1816">
        <v>0</v>
      </c>
      <c r="G1816" t="s">
        <v>18</v>
      </c>
      <c r="H1816">
        <v>1</v>
      </c>
      <c r="I1816" t="s">
        <v>19</v>
      </c>
      <c r="J1816">
        <v>841</v>
      </c>
      <c r="K1816" t="s">
        <v>289</v>
      </c>
      <c r="L1816" s="13">
        <v>44197</v>
      </c>
      <c r="M1816" t="s">
        <v>819</v>
      </c>
      <c r="N1816" t="s">
        <v>820</v>
      </c>
      <c r="O1816">
        <v>792</v>
      </c>
      <c r="P1816" t="s">
        <v>292</v>
      </c>
    </row>
    <row r="1817" spans="1:16" ht="15" customHeight="1" x14ac:dyDescent="0.4">
      <c r="A1817" t="s">
        <v>15</v>
      </c>
      <c r="B1817" t="s">
        <v>16</v>
      </c>
      <c r="C1817" s="13">
        <v>44197</v>
      </c>
      <c r="D1817" s="13">
        <v>44561</v>
      </c>
      <c r="E1817" t="s">
        <v>17</v>
      </c>
      <c r="F1817">
        <v>0</v>
      </c>
      <c r="G1817" t="s">
        <v>18</v>
      </c>
      <c r="H1817">
        <v>1</v>
      </c>
      <c r="I1817" t="s">
        <v>19</v>
      </c>
      <c r="J1817">
        <v>841</v>
      </c>
      <c r="K1817" t="s">
        <v>289</v>
      </c>
      <c r="L1817" s="13">
        <v>44222</v>
      </c>
      <c r="M1817" t="s">
        <v>821</v>
      </c>
      <c r="N1817" t="s">
        <v>822</v>
      </c>
      <c r="O1817">
        <v>792</v>
      </c>
      <c r="P1817" t="s">
        <v>292</v>
      </c>
    </row>
    <row r="1818" spans="1:16" ht="15" customHeight="1" x14ac:dyDescent="0.4">
      <c r="A1818" t="s">
        <v>15</v>
      </c>
      <c r="B1818" t="s">
        <v>16</v>
      </c>
      <c r="C1818" s="13">
        <v>44197</v>
      </c>
      <c r="D1818" s="13">
        <v>44561</v>
      </c>
      <c r="E1818" t="s">
        <v>17</v>
      </c>
      <c r="F1818">
        <v>0</v>
      </c>
      <c r="G1818" t="s">
        <v>18</v>
      </c>
      <c r="H1818">
        <v>1</v>
      </c>
      <c r="I1818" t="s">
        <v>19</v>
      </c>
      <c r="J1818">
        <v>841</v>
      </c>
      <c r="K1818" t="s">
        <v>289</v>
      </c>
      <c r="L1818" s="13">
        <v>44255</v>
      </c>
      <c r="M1818" t="s">
        <v>823</v>
      </c>
      <c r="N1818" t="s">
        <v>824</v>
      </c>
      <c r="O1818">
        <v>792</v>
      </c>
      <c r="P1818" t="s">
        <v>292</v>
      </c>
    </row>
    <row r="1819" spans="1:16" ht="15" customHeight="1" x14ac:dyDescent="0.4">
      <c r="A1819" t="s">
        <v>15</v>
      </c>
      <c r="B1819" t="s">
        <v>16</v>
      </c>
      <c r="C1819" s="13">
        <v>44197</v>
      </c>
      <c r="D1819" s="13">
        <v>44561</v>
      </c>
      <c r="E1819" t="s">
        <v>17</v>
      </c>
      <c r="F1819">
        <v>0</v>
      </c>
      <c r="G1819" t="s">
        <v>18</v>
      </c>
      <c r="H1819">
        <v>1</v>
      </c>
      <c r="I1819" t="s">
        <v>19</v>
      </c>
      <c r="J1819">
        <v>841</v>
      </c>
      <c r="K1819" t="s">
        <v>289</v>
      </c>
      <c r="L1819" s="13">
        <v>44270</v>
      </c>
      <c r="M1819" t="s">
        <v>825</v>
      </c>
      <c r="N1819" t="s">
        <v>826</v>
      </c>
      <c r="O1819">
        <v>792</v>
      </c>
      <c r="P1819" t="s">
        <v>292</v>
      </c>
    </row>
    <row r="1820" spans="1:16" ht="15" customHeight="1" x14ac:dyDescent="0.4">
      <c r="A1820" t="s">
        <v>15</v>
      </c>
      <c r="B1820" t="s">
        <v>16</v>
      </c>
      <c r="C1820" s="13">
        <v>44197</v>
      </c>
      <c r="D1820" s="13">
        <v>44561</v>
      </c>
      <c r="E1820" t="s">
        <v>17</v>
      </c>
      <c r="F1820">
        <v>0</v>
      </c>
      <c r="G1820" t="s">
        <v>18</v>
      </c>
      <c r="H1820">
        <v>1</v>
      </c>
      <c r="I1820" t="s">
        <v>19</v>
      </c>
      <c r="J1820">
        <v>841</v>
      </c>
      <c r="K1820" t="s">
        <v>289</v>
      </c>
      <c r="L1820" s="13">
        <v>44316</v>
      </c>
      <c r="M1820" t="s">
        <v>827</v>
      </c>
      <c r="N1820" t="s">
        <v>828</v>
      </c>
      <c r="O1820">
        <v>974.4</v>
      </c>
      <c r="P1820" t="s">
        <v>292</v>
      </c>
    </row>
    <row r="1821" spans="1:16" ht="15" customHeight="1" x14ac:dyDescent="0.4">
      <c r="A1821" t="s">
        <v>15</v>
      </c>
      <c r="B1821" t="s">
        <v>16</v>
      </c>
      <c r="C1821" s="13">
        <v>44197</v>
      </c>
      <c r="D1821" s="13">
        <v>44561</v>
      </c>
      <c r="E1821" t="s">
        <v>17</v>
      </c>
      <c r="F1821">
        <v>0</v>
      </c>
      <c r="G1821" t="s">
        <v>18</v>
      </c>
      <c r="H1821">
        <v>1</v>
      </c>
      <c r="I1821" t="s">
        <v>19</v>
      </c>
      <c r="J1821">
        <v>841</v>
      </c>
      <c r="K1821" t="s">
        <v>289</v>
      </c>
      <c r="L1821" s="13">
        <v>44347</v>
      </c>
      <c r="M1821" t="s">
        <v>829</v>
      </c>
      <c r="N1821" t="s">
        <v>830</v>
      </c>
      <c r="O1821">
        <v>974.4</v>
      </c>
      <c r="P1821" t="s">
        <v>292</v>
      </c>
    </row>
    <row r="1822" spans="1:16" ht="15" customHeight="1" x14ac:dyDescent="0.4">
      <c r="A1822" t="s">
        <v>15</v>
      </c>
      <c r="B1822" t="s">
        <v>16</v>
      </c>
      <c r="C1822" s="13">
        <v>44197</v>
      </c>
      <c r="D1822" s="13">
        <v>44561</v>
      </c>
      <c r="E1822" t="s">
        <v>17</v>
      </c>
      <c r="F1822">
        <v>0</v>
      </c>
      <c r="G1822" t="s">
        <v>18</v>
      </c>
      <c r="H1822">
        <v>1</v>
      </c>
      <c r="I1822" t="s">
        <v>19</v>
      </c>
      <c r="J1822">
        <v>841</v>
      </c>
      <c r="K1822" t="s">
        <v>289</v>
      </c>
      <c r="L1822" s="13">
        <v>44380</v>
      </c>
      <c r="M1822" t="s">
        <v>831</v>
      </c>
      <c r="N1822" t="s">
        <v>832</v>
      </c>
      <c r="O1822">
        <v>974.4</v>
      </c>
      <c r="P1822" t="s">
        <v>292</v>
      </c>
    </row>
    <row r="1823" spans="1:16" ht="15" customHeight="1" x14ac:dyDescent="0.4">
      <c r="A1823" t="s">
        <v>15</v>
      </c>
      <c r="B1823" t="s">
        <v>16</v>
      </c>
      <c r="C1823" s="13">
        <v>44197</v>
      </c>
      <c r="D1823" s="13">
        <v>44561</v>
      </c>
      <c r="E1823" t="s">
        <v>17</v>
      </c>
      <c r="F1823">
        <v>0</v>
      </c>
      <c r="G1823" t="s">
        <v>18</v>
      </c>
      <c r="H1823">
        <v>1</v>
      </c>
      <c r="I1823" t="s">
        <v>19</v>
      </c>
      <c r="J1823">
        <v>841</v>
      </c>
      <c r="K1823" t="s">
        <v>289</v>
      </c>
      <c r="L1823" s="13">
        <v>44408</v>
      </c>
      <c r="M1823" t="s">
        <v>833</v>
      </c>
      <c r="N1823" t="s">
        <v>834</v>
      </c>
      <c r="O1823">
        <v>974.4</v>
      </c>
      <c r="P1823" t="s">
        <v>292</v>
      </c>
    </row>
    <row r="1824" spans="1:16" ht="15" customHeight="1" x14ac:dyDescent="0.4">
      <c r="A1824" t="s">
        <v>15</v>
      </c>
      <c r="B1824" t="s">
        <v>16</v>
      </c>
      <c r="C1824" s="13">
        <v>44197</v>
      </c>
      <c r="D1824" s="13">
        <v>44561</v>
      </c>
      <c r="E1824" t="s">
        <v>17</v>
      </c>
      <c r="F1824">
        <v>0</v>
      </c>
      <c r="G1824" t="s">
        <v>18</v>
      </c>
      <c r="H1824">
        <v>1</v>
      </c>
      <c r="I1824" t="s">
        <v>19</v>
      </c>
      <c r="J1824">
        <v>841</v>
      </c>
      <c r="K1824" t="s">
        <v>289</v>
      </c>
      <c r="L1824" s="13">
        <v>44439</v>
      </c>
      <c r="M1824" t="s">
        <v>835</v>
      </c>
      <c r="N1824" t="s">
        <v>836</v>
      </c>
      <c r="O1824">
        <v>974.4</v>
      </c>
      <c r="P1824" t="s">
        <v>292</v>
      </c>
    </row>
    <row r="1825" spans="1:16" ht="15" customHeight="1" x14ac:dyDescent="0.4">
      <c r="A1825" t="s">
        <v>15</v>
      </c>
      <c r="B1825" t="s">
        <v>16</v>
      </c>
      <c r="C1825" s="13">
        <v>44197</v>
      </c>
      <c r="D1825" s="13">
        <v>44561</v>
      </c>
      <c r="E1825" t="s">
        <v>17</v>
      </c>
      <c r="F1825">
        <v>0</v>
      </c>
      <c r="G1825" t="s">
        <v>18</v>
      </c>
      <c r="H1825">
        <v>1</v>
      </c>
      <c r="I1825" t="s">
        <v>19</v>
      </c>
      <c r="J1825">
        <v>841</v>
      </c>
      <c r="K1825" t="s">
        <v>289</v>
      </c>
      <c r="L1825" s="13">
        <v>44469</v>
      </c>
      <c r="M1825" t="s">
        <v>837</v>
      </c>
      <c r="N1825" t="s">
        <v>838</v>
      </c>
      <c r="O1825">
        <v>974.4</v>
      </c>
      <c r="P1825" t="s">
        <v>292</v>
      </c>
    </row>
    <row r="1826" spans="1:16" ht="15" customHeight="1" x14ac:dyDescent="0.4">
      <c r="A1826" t="s">
        <v>15</v>
      </c>
      <c r="B1826" t="s">
        <v>16</v>
      </c>
      <c r="C1826" s="13">
        <v>44197</v>
      </c>
      <c r="D1826" s="13">
        <v>44561</v>
      </c>
      <c r="E1826" t="s">
        <v>17</v>
      </c>
      <c r="F1826">
        <v>0</v>
      </c>
      <c r="G1826" t="s">
        <v>18</v>
      </c>
      <c r="H1826">
        <v>1</v>
      </c>
      <c r="I1826" t="s">
        <v>19</v>
      </c>
      <c r="J1826">
        <v>841</v>
      </c>
      <c r="K1826" t="s">
        <v>289</v>
      </c>
      <c r="L1826" s="13">
        <v>44500</v>
      </c>
      <c r="M1826" t="s">
        <v>839</v>
      </c>
      <c r="N1826" t="s">
        <v>840</v>
      </c>
      <c r="O1826">
        <v>974.4</v>
      </c>
      <c r="P1826" t="s">
        <v>292</v>
      </c>
    </row>
    <row r="1827" spans="1:16" ht="15" customHeight="1" x14ac:dyDescent="0.4">
      <c r="A1827" t="s">
        <v>15</v>
      </c>
      <c r="B1827" t="s">
        <v>16</v>
      </c>
      <c r="C1827" s="13">
        <v>44197</v>
      </c>
      <c r="D1827" s="13">
        <v>44561</v>
      </c>
      <c r="E1827" t="s">
        <v>17</v>
      </c>
      <c r="F1827">
        <v>0</v>
      </c>
      <c r="G1827" t="s">
        <v>18</v>
      </c>
      <c r="H1827">
        <v>1</v>
      </c>
      <c r="I1827" t="s">
        <v>19</v>
      </c>
      <c r="J1827">
        <v>841</v>
      </c>
      <c r="K1827" t="s">
        <v>289</v>
      </c>
      <c r="L1827" s="13">
        <v>44515</v>
      </c>
      <c r="M1827" t="s">
        <v>841</v>
      </c>
      <c r="N1827" t="s">
        <v>842</v>
      </c>
      <c r="O1827">
        <v>974.4</v>
      </c>
      <c r="P1827" t="s">
        <v>292</v>
      </c>
    </row>
    <row r="1828" spans="1:16" ht="15" customHeight="1" x14ac:dyDescent="0.4">
      <c r="A1828" t="s">
        <v>15</v>
      </c>
      <c r="B1828" t="s">
        <v>16</v>
      </c>
      <c r="C1828" s="13">
        <v>44197</v>
      </c>
      <c r="D1828" s="13">
        <v>44561</v>
      </c>
      <c r="E1828" t="s">
        <v>17</v>
      </c>
      <c r="F1828">
        <v>0</v>
      </c>
      <c r="G1828" t="s">
        <v>18</v>
      </c>
      <c r="H1828">
        <v>1</v>
      </c>
      <c r="I1828" t="s">
        <v>19</v>
      </c>
      <c r="J1828">
        <v>841</v>
      </c>
      <c r="K1828" t="s">
        <v>289</v>
      </c>
      <c r="L1828" s="13">
        <v>44545</v>
      </c>
      <c r="M1828" t="s">
        <v>843</v>
      </c>
      <c r="N1828" t="s">
        <v>844</v>
      </c>
      <c r="O1828">
        <v>974.4</v>
      </c>
      <c r="P1828" t="s">
        <v>292</v>
      </c>
    </row>
    <row r="1829" spans="1:16" ht="15" customHeight="1" x14ac:dyDescent="0.4">
      <c r="A1829" t="s">
        <v>15</v>
      </c>
      <c r="B1829" t="s">
        <v>16</v>
      </c>
      <c r="C1829" s="13">
        <v>44197</v>
      </c>
      <c r="D1829" s="13">
        <v>44561</v>
      </c>
      <c r="E1829" t="s">
        <v>30</v>
      </c>
      <c r="F1829">
        <v>0</v>
      </c>
      <c r="G1829" t="s">
        <v>18</v>
      </c>
      <c r="H1829">
        <v>1</v>
      </c>
      <c r="I1829" t="s">
        <v>19</v>
      </c>
      <c r="J1829">
        <v>846</v>
      </c>
      <c r="K1829" t="s">
        <v>845</v>
      </c>
      <c r="L1829" s="13">
        <v>44380</v>
      </c>
      <c r="M1829" t="s">
        <v>846</v>
      </c>
      <c r="N1829" t="s">
        <v>847</v>
      </c>
      <c r="O1829">
        <v>497.7</v>
      </c>
      <c r="P1829" t="s">
        <v>292</v>
      </c>
    </row>
    <row r="1830" spans="1:16" ht="15" customHeight="1" x14ac:dyDescent="0.4">
      <c r="A1830" t="s">
        <v>15</v>
      </c>
      <c r="B1830" t="s">
        <v>16</v>
      </c>
      <c r="C1830" s="13">
        <v>44197</v>
      </c>
      <c r="D1830" s="13">
        <v>44561</v>
      </c>
      <c r="E1830" t="s">
        <v>30</v>
      </c>
      <c r="F1830">
        <v>0</v>
      </c>
      <c r="G1830" t="s">
        <v>18</v>
      </c>
      <c r="H1830">
        <v>1</v>
      </c>
      <c r="I1830" t="s">
        <v>19</v>
      </c>
      <c r="J1830">
        <v>846</v>
      </c>
      <c r="K1830" t="s">
        <v>845</v>
      </c>
      <c r="L1830" s="13">
        <v>44474</v>
      </c>
      <c r="M1830" t="s">
        <v>848</v>
      </c>
      <c r="N1830" t="s">
        <v>849</v>
      </c>
      <c r="O1830">
        <v>600</v>
      </c>
      <c r="P1830" t="s">
        <v>292</v>
      </c>
    </row>
    <row r="1831" spans="1:16" ht="15" customHeight="1" x14ac:dyDescent="0.4">
      <c r="A1831" t="s">
        <v>15</v>
      </c>
      <c r="B1831" t="s">
        <v>16</v>
      </c>
      <c r="C1831" s="13">
        <v>44197</v>
      </c>
      <c r="D1831" s="13">
        <v>44561</v>
      </c>
      <c r="E1831" t="s">
        <v>30</v>
      </c>
      <c r="F1831">
        <v>0</v>
      </c>
      <c r="G1831" t="s">
        <v>18</v>
      </c>
      <c r="H1831">
        <v>1</v>
      </c>
      <c r="I1831" t="s">
        <v>19</v>
      </c>
      <c r="J1831">
        <v>846</v>
      </c>
      <c r="K1831" t="s">
        <v>845</v>
      </c>
      <c r="L1831" s="13">
        <v>44547</v>
      </c>
      <c r="M1831" t="s">
        <v>850</v>
      </c>
      <c r="N1831" t="s">
        <v>851</v>
      </c>
      <c r="O1831">
        <v>1980</v>
      </c>
      <c r="P1831" t="s">
        <v>292</v>
      </c>
    </row>
    <row r="1832" spans="1:16" ht="15" customHeight="1" x14ac:dyDescent="0.4">
      <c r="A1832" t="s">
        <v>15</v>
      </c>
      <c r="B1832" t="s">
        <v>16</v>
      </c>
      <c r="C1832" s="13">
        <v>44197</v>
      </c>
      <c r="D1832" s="13">
        <v>44561</v>
      </c>
      <c r="E1832" t="s">
        <v>17</v>
      </c>
      <c r="F1832">
        <v>0</v>
      </c>
      <c r="G1832" t="s">
        <v>18</v>
      </c>
      <c r="H1832">
        <v>1</v>
      </c>
      <c r="I1832" t="s">
        <v>19</v>
      </c>
      <c r="J1832">
        <v>881</v>
      </c>
      <c r="K1832" t="s">
        <v>327</v>
      </c>
      <c r="L1832" s="13">
        <v>44561</v>
      </c>
      <c r="M1832" t="s">
        <v>328</v>
      </c>
      <c r="N1832" t="s">
        <v>329</v>
      </c>
      <c r="O1832">
        <v>29.62</v>
      </c>
      <c r="P1832" t="s">
        <v>46</v>
      </c>
    </row>
    <row r="1833" spans="1:16" ht="15" customHeight="1" x14ac:dyDescent="0.4">
      <c r="A1833" t="s">
        <v>15</v>
      </c>
      <c r="B1833" t="s">
        <v>16</v>
      </c>
      <c r="C1833" s="13">
        <v>44197</v>
      </c>
      <c r="D1833" s="13">
        <v>44561</v>
      </c>
      <c r="E1833" t="s">
        <v>17</v>
      </c>
      <c r="F1833">
        <v>0</v>
      </c>
      <c r="G1833" t="s">
        <v>18</v>
      </c>
      <c r="H1833">
        <v>1</v>
      </c>
      <c r="I1833" t="s">
        <v>19</v>
      </c>
      <c r="J1833">
        <v>883</v>
      </c>
      <c r="K1833" t="s">
        <v>330</v>
      </c>
      <c r="L1833" s="13">
        <v>44244</v>
      </c>
      <c r="M1833" t="s">
        <v>852</v>
      </c>
      <c r="N1833" t="s">
        <v>853</v>
      </c>
      <c r="O1833">
        <v>122.28</v>
      </c>
      <c r="P1833" t="s">
        <v>333</v>
      </c>
    </row>
    <row r="1834" spans="1:16" ht="15" customHeight="1" x14ac:dyDescent="0.4">
      <c r="A1834" t="s">
        <v>15</v>
      </c>
      <c r="B1834" t="s">
        <v>16</v>
      </c>
      <c r="C1834" s="13">
        <v>44197</v>
      </c>
      <c r="D1834" s="13">
        <v>44561</v>
      </c>
      <c r="E1834" t="s">
        <v>17</v>
      </c>
      <c r="F1834">
        <v>0</v>
      </c>
      <c r="G1834" t="s">
        <v>18</v>
      </c>
      <c r="H1834">
        <v>1</v>
      </c>
      <c r="I1834" t="s">
        <v>19</v>
      </c>
      <c r="J1834">
        <v>909</v>
      </c>
      <c r="K1834" t="s">
        <v>334</v>
      </c>
      <c r="L1834" s="13">
        <v>44561</v>
      </c>
      <c r="M1834" t="s">
        <v>854</v>
      </c>
      <c r="N1834" t="s">
        <v>46</v>
      </c>
      <c r="O1834">
        <v>-46967.839999999997</v>
      </c>
      <c r="P1834" t="s">
        <v>46</v>
      </c>
    </row>
    <row r="1835" spans="1:16" ht="15" customHeight="1" x14ac:dyDescent="0.4">
      <c r="A1835" t="s">
        <v>15</v>
      </c>
      <c r="B1835" t="s">
        <v>16</v>
      </c>
      <c r="C1835" s="13">
        <v>44197</v>
      </c>
      <c r="D1835" s="13">
        <v>44561</v>
      </c>
      <c r="E1835" t="s">
        <v>17</v>
      </c>
      <c r="F1835">
        <v>0</v>
      </c>
      <c r="G1835" t="s">
        <v>18</v>
      </c>
      <c r="H1835">
        <v>1</v>
      </c>
      <c r="I1835" t="s">
        <v>19</v>
      </c>
      <c r="J1835">
        <v>952</v>
      </c>
      <c r="K1835" t="s">
        <v>336</v>
      </c>
      <c r="L1835" s="13">
        <v>44335</v>
      </c>
      <c r="M1835" t="s">
        <v>337</v>
      </c>
      <c r="N1835" t="s">
        <v>855</v>
      </c>
      <c r="O1835">
        <v>-403.39</v>
      </c>
      <c r="P1835" t="s">
        <v>46</v>
      </c>
    </row>
    <row r="1836" spans="1:16" ht="15" customHeight="1" x14ac:dyDescent="0.4">
      <c r="A1836" t="s">
        <v>15</v>
      </c>
      <c r="B1836" t="s">
        <v>16</v>
      </c>
      <c r="C1836" s="13">
        <v>44197</v>
      </c>
      <c r="D1836" s="13">
        <v>44561</v>
      </c>
      <c r="E1836" t="s">
        <v>17</v>
      </c>
      <c r="F1836">
        <v>0</v>
      </c>
      <c r="G1836" t="s">
        <v>18</v>
      </c>
      <c r="H1836">
        <v>1</v>
      </c>
      <c r="I1836" t="s">
        <v>19</v>
      </c>
      <c r="J1836">
        <v>952</v>
      </c>
      <c r="K1836" t="s">
        <v>336</v>
      </c>
      <c r="L1836" s="13">
        <v>44336</v>
      </c>
      <c r="M1836" t="s">
        <v>337</v>
      </c>
      <c r="N1836" t="s">
        <v>856</v>
      </c>
      <c r="O1836">
        <v>-20.11</v>
      </c>
      <c r="P1836" t="s">
        <v>46</v>
      </c>
    </row>
    <row r="1837" spans="1:16" ht="15" customHeight="1" x14ac:dyDescent="0.4">
      <c r="A1837" t="s">
        <v>15</v>
      </c>
      <c r="B1837" t="s">
        <v>16</v>
      </c>
      <c r="C1837" s="13">
        <v>44197</v>
      </c>
      <c r="D1837" s="13">
        <v>44561</v>
      </c>
      <c r="E1837" t="s">
        <v>17</v>
      </c>
      <c r="F1837">
        <v>0</v>
      </c>
      <c r="G1837" t="s">
        <v>18</v>
      </c>
      <c r="H1837">
        <v>1</v>
      </c>
      <c r="I1837" t="s">
        <v>19</v>
      </c>
      <c r="J1837">
        <v>952</v>
      </c>
      <c r="K1837" t="s">
        <v>336</v>
      </c>
      <c r="L1837" s="13">
        <v>44337</v>
      </c>
      <c r="M1837" t="s">
        <v>337</v>
      </c>
      <c r="N1837" t="s">
        <v>857</v>
      </c>
      <c r="O1837">
        <v>-403.39</v>
      </c>
      <c r="P1837" t="s">
        <v>46</v>
      </c>
    </row>
    <row r="1838" spans="1:16" ht="15" customHeight="1" x14ac:dyDescent="0.4">
      <c r="A1838" t="s">
        <v>15</v>
      </c>
      <c r="B1838" t="s">
        <v>16</v>
      </c>
      <c r="C1838" s="13">
        <v>44197</v>
      </c>
      <c r="D1838" s="13">
        <v>44561</v>
      </c>
      <c r="E1838" t="s">
        <v>17</v>
      </c>
      <c r="F1838">
        <v>0</v>
      </c>
      <c r="G1838" t="s">
        <v>18</v>
      </c>
      <c r="H1838">
        <v>1</v>
      </c>
      <c r="I1838" t="s">
        <v>19</v>
      </c>
      <c r="J1838">
        <v>954</v>
      </c>
      <c r="K1838" t="s">
        <v>858</v>
      </c>
      <c r="L1838" s="13">
        <v>44561</v>
      </c>
      <c r="M1838" t="s">
        <v>859</v>
      </c>
      <c r="N1838" t="s">
        <v>46</v>
      </c>
      <c r="O1838">
        <v>-5000</v>
      </c>
      <c r="P1838" t="s">
        <v>46</v>
      </c>
    </row>
    <row r="1839" spans="1:16" ht="15" customHeight="1" x14ac:dyDescent="0.4">
      <c r="A1839" t="s">
        <v>15</v>
      </c>
      <c r="B1839" t="s">
        <v>16</v>
      </c>
      <c r="C1839" s="13">
        <v>44197</v>
      </c>
      <c r="D1839" s="13">
        <v>44561</v>
      </c>
      <c r="E1839" t="s">
        <v>17</v>
      </c>
      <c r="F1839">
        <v>0</v>
      </c>
      <c r="G1839" t="s">
        <v>18</v>
      </c>
      <c r="H1839">
        <v>1</v>
      </c>
      <c r="I1839" t="s">
        <v>19</v>
      </c>
      <c r="J1839">
        <v>988</v>
      </c>
      <c r="K1839" t="s">
        <v>339</v>
      </c>
      <c r="L1839" s="13">
        <v>44197</v>
      </c>
      <c r="M1839" t="s">
        <v>860</v>
      </c>
      <c r="N1839" t="s">
        <v>341</v>
      </c>
      <c r="O1839">
        <v>-0.34</v>
      </c>
      <c r="P1839" t="s">
        <v>46</v>
      </c>
    </row>
    <row r="1840" spans="1:16" ht="15" customHeight="1" x14ac:dyDescent="0.4">
      <c r="A1840" t="s">
        <v>15</v>
      </c>
      <c r="B1840" t="s">
        <v>16</v>
      </c>
      <c r="C1840" s="13">
        <v>44197</v>
      </c>
      <c r="D1840" s="13">
        <v>44561</v>
      </c>
      <c r="E1840" t="s">
        <v>17</v>
      </c>
      <c r="F1840">
        <v>0</v>
      </c>
      <c r="G1840" t="s">
        <v>18</v>
      </c>
      <c r="H1840">
        <v>1</v>
      </c>
      <c r="I1840" t="s">
        <v>19</v>
      </c>
      <c r="J1840">
        <v>988</v>
      </c>
      <c r="K1840" t="s">
        <v>339</v>
      </c>
      <c r="L1840" s="13">
        <v>44561</v>
      </c>
      <c r="M1840" t="s">
        <v>863</v>
      </c>
      <c r="N1840" t="s">
        <v>341</v>
      </c>
      <c r="O1840">
        <v>7.0000000000000007E-2</v>
      </c>
      <c r="P1840" t="s">
        <v>46</v>
      </c>
    </row>
    <row r="1841" spans="1:16" ht="15" customHeight="1" x14ac:dyDescent="0.4">
      <c r="A1841" t="s">
        <v>15</v>
      </c>
      <c r="B1841" t="s">
        <v>16</v>
      </c>
      <c r="C1841" s="13">
        <v>44197</v>
      </c>
      <c r="D1841" s="13">
        <v>44561</v>
      </c>
      <c r="E1841" t="s">
        <v>17</v>
      </c>
      <c r="F1841">
        <v>0</v>
      </c>
      <c r="G1841" t="s">
        <v>18</v>
      </c>
      <c r="H1841">
        <v>1</v>
      </c>
      <c r="I1841" t="s">
        <v>19</v>
      </c>
      <c r="J1841">
        <v>988</v>
      </c>
      <c r="K1841" t="s">
        <v>339</v>
      </c>
      <c r="L1841" s="13">
        <v>44561</v>
      </c>
      <c r="M1841" t="s">
        <v>865</v>
      </c>
      <c r="N1841" t="s">
        <v>341</v>
      </c>
      <c r="O1841">
        <v>0.09</v>
      </c>
      <c r="P1841" t="s">
        <v>46</v>
      </c>
    </row>
    <row r="1842" spans="1:16" ht="15" customHeight="1" x14ac:dyDescent="0.4">
      <c r="A1842" t="s">
        <v>15</v>
      </c>
      <c r="B1842" t="s">
        <v>16</v>
      </c>
      <c r="C1842" s="13">
        <v>44197</v>
      </c>
      <c r="D1842" s="13">
        <v>44561</v>
      </c>
      <c r="E1842" t="s">
        <v>17</v>
      </c>
      <c r="F1842">
        <v>0</v>
      </c>
      <c r="G1842" t="s">
        <v>18</v>
      </c>
      <c r="H1842">
        <v>1</v>
      </c>
      <c r="I1842" t="s">
        <v>19</v>
      </c>
      <c r="J1842">
        <v>988</v>
      </c>
      <c r="K1842" t="s">
        <v>339</v>
      </c>
      <c r="L1842" s="13">
        <v>44561</v>
      </c>
      <c r="M1842" t="s">
        <v>861</v>
      </c>
      <c r="N1842" t="s">
        <v>341</v>
      </c>
      <c r="O1842">
        <v>-0.03</v>
      </c>
      <c r="P1842" t="s">
        <v>46</v>
      </c>
    </row>
    <row r="1843" spans="1:16" ht="15" customHeight="1" x14ac:dyDescent="0.4">
      <c r="A1843" t="s">
        <v>15</v>
      </c>
      <c r="B1843" t="s">
        <v>16</v>
      </c>
      <c r="C1843" s="13">
        <v>44197</v>
      </c>
      <c r="D1843" s="13">
        <v>44561</v>
      </c>
      <c r="E1843" t="s">
        <v>17</v>
      </c>
      <c r="F1843">
        <v>0</v>
      </c>
      <c r="G1843" t="s">
        <v>18</v>
      </c>
      <c r="H1843">
        <v>1</v>
      </c>
      <c r="I1843" t="s">
        <v>19</v>
      </c>
      <c r="J1843">
        <v>988</v>
      </c>
      <c r="K1843" t="s">
        <v>339</v>
      </c>
      <c r="L1843" s="13">
        <v>44561</v>
      </c>
      <c r="M1843" t="s">
        <v>864</v>
      </c>
      <c r="N1843" t="s">
        <v>341</v>
      </c>
      <c r="O1843">
        <v>-0.02</v>
      </c>
      <c r="P1843" t="s">
        <v>46</v>
      </c>
    </row>
    <row r="1844" spans="1:16" ht="15" customHeight="1" x14ac:dyDescent="0.4">
      <c r="A1844" t="s">
        <v>15</v>
      </c>
      <c r="B1844" t="s">
        <v>16</v>
      </c>
      <c r="C1844" s="13">
        <v>44197</v>
      </c>
      <c r="D1844" s="13">
        <v>44561</v>
      </c>
      <c r="E1844" t="s">
        <v>17</v>
      </c>
      <c r="F1844">
        <v>0</v>
      </c>
      <c r="G1844" t="s">
        <v>18</v>
      </c>
      <c r="H1844">
        <v>1</v>
      </c>
      <c r="I1844" t="s">
        <v>19</v>
      </c>
      <c r="J1844">
        <v>988</v>
      </c>
      <c r="K1844" t="s">
        <v>339</v>
      </c>
      <c r="L1844" s="13">
        <v>44561</v>
      </c>
      <c r="M1844" t="s">
        <v>862</v>
      </c>
      <c r="N1844" t="s">
        <v>341</v>
      </c>
      <c r="O1844">
        <v>-0.15</v>
      </c>
      <c r="P1844" t="s">
        <v>46</v>
      </c>
    </row>
    <row r="1845" spans="1:16" ht="15" customHeight="1" x14ac:dyDescent="0.4">
      <c r="A1845" t="s">
        <v>15</v>
      </c>
      <c r="B1845" t="s">
        <v>16</v>
      </c>
      <c r="C1845" s="13">
        <v>44197</v>
      </c>
      <c r="D1845" s="13">
        <v>44561</v>
      </c>
      <c r="E1845" t="s">
        <v>17</v>
      </c>
      <c r="F1845">
        <v>0</v>
      </c>
      <c r="G1845" t="s">
        <v>342</v>
      </c>
      <c r="H1845">
        <v>2</v>
      </c>
      <c r="I1845" t="s">
        <v>343</v>
      </c>
      <c r="J1845">
        <v>242</v>
      </c>
      <c r="K1845" t="s">
        <v>348</v>
      </c>
      <c r="L1845" s="13">
        <v>44561</v>
      </c>
      <c r="M1845" t="s">
        <v>866</v>
      </c>
      <c r="N1845" t="s">
        <v>45</v>
      </c>
      <c r="O1845">
        <v>446.64</v>
      </c>
      <c r="P1845" t="s">
        <v>46</v>
      </c>
    </row>
    <row r="1846" spans="1:16" ht="15" customHeight="1" x14ac:dyDescent="0.4">
      <c r="A1846" t="s">
        <v>15</v>
      </c>
      <c r="B1846" t="s">
        <v>16</v>
      </c>
      <c r="C1846" s="13">
        <v>44197</v>
      </c>
      <c r="D1846" s="13">
        <v>44561</v>
      </c>
      <c r="E1846" t="s">
        <v>17</v>
      </c>
      <c r="F1846">
        <v>0</v>
      </c>
      <c r="G1846" t="s">
        <v>342</v>
      </c>
      <c r="H1846">
        <v>2</v>
      </c>
      <c r="I1846" t="s">
        <v>343</v>
      </c>
      <c r="J1846">
        <v>269</v>
      </c>
      <c r="K1846" t="s">
        <v>3656</v>
      </c>
      <c r="L1846" s="13">
        <v>44218</v>
      </c>
      <c r="M1846" t="s">
        <v>351</v>
      </c>
      <c r="N1846" t="s">
        <v>867</v>
      </c>
      <c r="O1846">
        <v>66.39</v>
      </c>
      <c r="P1846" t="s">
        <v>52</v>
      </c>
    </row>
    <row r="1847" spans="1:16" ht="15" customHeight="1" x14ac:dyDescent="0.4">
      <c r="A1847" t="s">
        <v>15</v>
      </c>
      <c r="B1847" t="s">
        <v>16</v>
      </c>
      <c r="C1847" s="13">
        <v>44197</v>
      </c>
      <c r="D1847" s="13">
        <v>44561</v>
      </c>
      <c r="E1847" t="s">
        <v>17</v>
      </c>
      <c r="F1847">
        <v>0</v>
      </c>
      <c r="G1847" t="s">
        <v>342</v>
      </c>
      <c r="H1847">
        <v>2</v>
      </c>
      <c r="I1847" t="s">
        <v>343</v>
      </c>
      <c r="J1847">
        <v>269</v>
      </c>
      <c r="K1847" t="s">
        <v>3656</v>
      </c>
      <c r="L1847" s="13">
        <v>44277</v>
      </c>
      <c r="M1847" t="s">
        <v>351</v>
      </c>
      <c r="N1847" t="s">
        <v>868</v>
      </c>
      <c r="O1847">
        <v>44.47</v>
      </c>
      <c r="P1847" t="s">
        <v>52</v>
      </c>
    </row>
    <row r="1848" spans="1:16" ht="15" customHeight="1" x14ac:dyDescent="0.4">
      <c r="A1848" t="s">
        <v>15</v>
      </c>
      <c r="B1848" t="s">
        <v>16</v>
      </c>
      <c r="C1848" s="13">
        <v>44197</v>
      </c>
      <c r="D1848" s="13">
        <v>44561</v>
      </c>
      <c r="E1848" t="s">
        <v>17</v>
      </c>
      <c r="F1848">
        <v>0</v>
      </c>
      <c r="G1848" t="s">
        <v>342</v>
      </c>
      <c r="H1848">
        <v>2</v>
      </c>
      <c r="I1848" t="s">
        <v>343</v>
      </c>
      <c r="J1848">
        <v>269</v>
      </c>
      <c r="K1848" t="s">
        <v>3656</v>
      </c>
      <c r="L1848" s="13">
        <v>44338</v>
      </c>
      <c r="M1848" t="s">
        <v>351</v>
      </c>
      <c r="N1848" t="s">
        <v>869</v>
      </c>
      <c r="O1848">
        <v>33.04</v>
      </c>
      <c r="P1848" t="s">
        <v>52</v>
      </c>
    </row>
    <row r="1849" spans="1:16" ht="15" customHeight="1" x14ac:dyDescent="0.4">
      <c r="A1849" t="s">
        <v>15</v>
      </c>
      <c r="B1849" t="s">
        <v>16</v>
      </c>
      <c r="C1849" s="13">
        <v>44197</v>
      </c>
      <c r="D1849" s="13">
        <v>44561</v>
      </c>
      <c r="E1849" t="s">
        <v>17</v>
      </c>
      <c r="F1849">
        <v>0</v>
      </c>
      <c r="G1849" t="s">
        <v>342</v>
      </c>
      <c r="H1849">
        <v>2</v>
      </c>
      <c r="I1849" t="s">
        <v>343</v>
      </c>
      <c r="J1849">
        <v>269</v>
      </c>
      <c r="K1849" t="s">
        <v>3656</v>
      </c>
      <c r="L1849" s="13">
        <v>44399</v>
      </c>
      <c r="M1849" t="s">
        <v>351</v>
      </c>
      <c r="N1849" t="s">
        <v>870</v>
      </c>
      <c r="O1849">
        <v>33.68</v>
      </c>
      <c r="P1849" t="s">
        <v>52</v>
      </c>
    </row>
    <row r="1850" spans="1:16" ht="15" customHeight="1" x14ac:dyDescent="0.4">
      <c r="A1850" t="s">
        <v>15</v>
      </c>
      <c r="B1850" t="s">
        <v>16</v>
      </c>
      <c r="C1850" s="13">
        <v>44197</v>
      </c>
      <c r="D1850" s="13">
        <v>44561</v>
      </c>
      <c r="E1850" t="s">
        <v>17</v>
      </c>
      <c r="F1850">
        <v>0</v>
      </c>
      <c r="G1850" t="s">
        <v>342</v>
      </c>
      <c r="H1850">
        <v>2</v>
      </c>
      <c r="I1850" t="s">
        <v>343</v>
      </c>
      <c r="J1850">
        <v>269</v>
      </c>
      <c r="K1850" t="s">
        <v>3656</v>
      </c>
      <c r="L1850" s="13">
        <v>44430</v>
      </c>
      <c r="M1850" t="s">
        <v>351</v>
      </c>
      <c r="N1850" t="s">
        <v>871</v>
      </c>
      <c r="O1850">
        <v>12.85</v>
      </c>
      <c r="P1850" t="s">
        <v>52</v>
      </c>
    </row>
    <row r="1851" spans="1:16" ht="15" customHeight="1" x14ac:dyDescent="0.4">
      <c r="A1851" t="s">
        <v>15</v>
      </c>
      <c r="B1851" t="s">
        <v>16</v>
      </c>
      <c r="C1851" s="13">
        <v>44197</v>
      </c>
      <c r="D1851" s="13">
        <v>44561</v>
      </c>
      <c r="E1851" t="s">
        <v>17</v>
      </c>
      <c r="F1851">
        <v>0</v>
      </c>
      <c r="G1851" t="s">
        <v>342</v>
      </c>
      <c r="H1851">
        <v>2</v>
      </c>
      <c r="I1851" t="s">
        <v>343</v>
      </c>
      <c r="J1851">
        <v>269</v>
      </c>
      <c r="K1851" t="s">
        <v>3656</v>
      </c>
      <c r="L1851" s="13">
        <v>44461</v>
      </c>
      <c r="M1851" t="s">
        <v>351</v>
      </c>
      <c r="N1851" t="s">
        <v>872</v>
      </c>
      <c r="O1851">
        <v>17.809999999999999</v>
      </c>
      <c r="P1851" t="s">
        <v>52</v>
      </c>
    </row>
    <row r="1852" spans="1:16" ht="15" customHeight="1" x14ac:dyDescent="0.4">
      <c r="A1852" t="s">
        <v>15</v>
      </c>
      <c r="B1852" t="s">
        <v>16</v>
      </c>
      <c r="C1852" s="13">
        <v>44197</v>
      </c>
      <c r="D1852" s="13">
        <v>44561</v>
      </c>
      <c r="E1852" t="s">
        <v>17</v>
      </c>
      <c r="F1852">
        <v>0</v>
      </c>
      <c r="G1852" t="s">
        <v>342</v>
      </c>
      <c r="H1852">
        <v>2</v>
      </c>
      <c r="I1852" t="s">
        <v>343</v>
      </c>
      <c r="J1852">
        <v>269</v>
      </c>
      <c r="K1852" t="s">
        <v>3656</v>
      </c>
      <c r="L1852" s="13">
        <v>44491</v>
      </c>
      <c r="M1852" t="s">
        <v>351</v>
      </c>
      <c r="N1852" t="s">
        <v>873</v>
      </c>
      <c r="O1852">
        <v>18.399999999999999</v>
      </c>
      <c r="P1852" t="s">
        <v>52</v>
      </c>
    </row>
    <row r="1853" spans="1:16" ht="15" customHeight="1" x14ac:dyDescent="0.4">
      <c r="A1853" t="s">
        <v>15</v>
      </c>
      <c r="B1853" t="s">
        <v>16</v>
      </c>
      <c r="C1853" s="13">
        <v>44197</v>
      </c>
      <c r="D1853" s="13">
        <v>44561</v>
      </c>
      <c r="E1853" t="s">
        <v>17</v>
      </c>
      <c r="F1853">
        <v>0</v>
      </c>
      <c r="G1853" t="s">
        <v>342</v>
      </c>
      <c r="H1853">
        <v>2</v>
      </c>
      <c r="I1853" t="s">
        <v>343</v>
      </c>
      <c r="J1853">
        <v>269</v>
      </c>
      <c r="K1853" t="s">
        <v>3656</v>
      </c>
      <c r="L1853" s="13">
        <v>44522</v>
      </c>
      <c r="M1853" t="s">
        <v>351</v>
      </c>
      <c r="N1853" t="s">
        <v>874</v>
      </c>
      <c r="O1853">
        <v>19.600000000000001</v>
      </c>
      <c r="P1853" t="s">
        <v>52</v>
      </c>
    </row>
    <row r="1854" spans="1:16" ht="15" customHeight="1" x14ac:dyDescent="0.4">
      <c r="A1854" t="s">
        <v>15</v>
      </c>
      <c r="B1854" t="s">
        <v>16</v>
      </c>
      <c r="C1854" s="13">
        <v>44197</v>
      </c>
      <c r="D1854" s="13">
        <v>44561</v>
      </c>
      <c r="E1854" t="s">
        <v>17</v>
      </c>
      <c r="F1854">
        <v>0</v>
      </c>
      <c r="G1854" t="s">
        <v>342</v>
      </c>
      <c r="H1854">
        <v>2</v>
      </c>
      <c r="I1854" t="s">
        <v>343</v>
      </c>
      <c r="J1854">
        <v>269</v>
      </c>
      <c r="K1854" t="s">
        <v>3656</v>
      </c>
      <c r="L1854" s="13">
        <v>44552</v>
      </c>
      <c r="M1854" t="s">
        <v>351</v>
      </c>
      <c r="N1854" t="s">
        <v>875</v>
      </c>
      <c r="O1854">
        <v>24.5</v>
      </c>
      <c r="P1854" t="s">
        <v>52</v>
      </c>
    </row>
    <row r="1855" spans="1:16" ht="15" customHeight="1" x14ac:dyDescent="0.4">
      <c r="A1855" t="s">
        <v>15</v>
      </c>
      <c r="B1855" t="s">
        <v>16</v>
      </c>
      <c r="C1855" s="13">
        <v>44197</v>
      </c>
      <c r="D1855" s="13">
        <v>44561</v>
      </c>
      <c r="E1855" t="s">
        <v>17</v>
      </c>
      <c r="F1855">
        <v>0</v>
      </c>
      <c r="G1855" t="s">
        <v>342</v>
      </c>
      <c r="H1855">
        <v>2</v>
      </c>
      <c r="I1855" t="s">
        <v>343</v>
      </c>
      <c r="J1855">
        <v>702</v>
      </c>
      <c r="K1855" t="s">
        <v>275</v>
      </c>
      <c r="L1855" s="13">
        <v>44561</v>
      </c>
      <c r="M1855" t="s">
        <v>364</v>
      </c>
      <c r="N1855" t="s">
        <v>46</v>
      </c>
      <c r="O1855">
        <v>122.98</v>
      </c>
      <c r="P1855" t="s">
        <v>46</v>
      </c>
    </row>
    <row r="1856" spans="1:16" ht="15" customHeight="1" x14ac:dyDescent="0.4">
      <c r="A1856" t="s">
        <v>15</v>
      </c>
      <c r="B1856" t="s">
        <v>16</v>
      </c>
      <c r="C1856" s="13">
        <v>44197</v>
      </c>
      <c r="D1856" s="13">
        <v>44561</v>
      </c>
      <c r="E1856" t="s">
        <v>17</v>
      </c>
      <c r="F1856">
        <v>0</v>
      </c>
      <c r="G1856" t="s">
        <v>342</v>
      </c>
      <c r="H1856">
        <v>2</v>
      </c>
      <c r="I1856" t="s">
        <v>343</v>
      </c>
      <c r="J1856">
        <v>706</v>
      </c>
      <c r="K1856" t="s">
        <v>365</v>
      </c>
      <c r="L1856" s="13">
        <v>44377</v>
      </c>
      <c r="M1856" t="s">
        <v>876</v>
      </c>
      <c r="N1856" t="s">
        <v>877</v>
      </c>
      <c r="O1856">
        <v>54.9</v>
      </c>
      <c r="P1856" t="s">
        <v>368</v>
      </c>
    </row>
    <row r="1857" spans="1:16" ht="15" customHeight="1" x14ac:dyDescent="0.4">
      <c r="A1857" t="s">
        <v>15</v>
      </c>
      <c r="B1857" t="s">
        <v>16</v>
      </c>
      <c r="C1857" s="13">
        <v>44197</v>
      </c>
      <c r="D1857" s="13">
        <v>44561</v>
      </c>
      <c r="E1857" t="s">
        <v>17</v>
      </c>
      <c r="F1857">
        <v>0</v>
      </c>
      <c r="G1857" t="s">
        <v>342</v>
      </c>
      <c r="H1857">
        <v>2</v>
      </c>
      <c r="I1857" t="s">
        <v>343</v>
      </c>
      <c r="J1857">
        <v>791</v>
      </c>
      <c r="K1857" t="s">
        <v>369</v>
      </c>
      <c r="L1857" s="13">
        <v>44561</v>
      </c>
      <c r="M1857" t="s">
        <v>370</v>
      </c>
      <c r="N1857" t="s">
        <v>288</v>
      </c>
      <c r="O1857">
        <v>408.76</v>
      </c>
      <c r="P1857" t="s">
        <v>46</v>
      </c>
    </row>
    <row r="1858" spans="1:16" ht="15" customHeight="1" x14ac:dyDescent="0.4">
      <c r="A1858" t="s">
        <v>15</v>
      </c>
      <c r="B1858" t="s">
        <v>16</v>
      </c>
      <c r="C1858" s="13">
        <v>44197</v>
      </c>
      <c r="D1858" s="13">
        <v>44561</v>
      </c>
      <c r="E1858" t="s">
        <v>17</v>
      </c>
      <c r="F1858">
        <v>0</v>
      </c>
      <c r="G1858" t="s">
        <v>342</v>
      </c>
      <c r="H1858">
        <v>2</v>
      </c>
      <c r="I1858" t="s">
        <v>343</v>
      </c>
      <c r="J1858">
        <v>883</v>
      </c>
      <c r="K1858" t="s">
        <v>371</v>
      </c>
      <c r="L1858" s="13">
        <v>44197</v>
      </c>
      <c r="M1858" t="s">
        <v>878</v>
      </c>
      <c r="N1858" t="s">
        <v>879</v>
      </c>
      <c r="O1858">
        <v>158.81</v>
      </c>
      <c r="P1858" t="s">
        <v>374</v>
      </c>
    </row>
    <row r="1859" spans="1:16" ht="15" customHeight="1" x14ac:dyDescent="0.4">
      <c r="A1859" t="s">
        <v>15</v>
      </c>
      <c r="B1859" t="s">
        <v>16</v>
      </c>
      <c r="C1859" s="13">
        <v>44197</v>
      </c>
      <c r="D1859" s="13">
        <v>44561</v>
      </c>
      <c r="E1859" t="s">
        <v>17</v>
      </c>
      <c r="F1859">
        <v>0</v>
      </c>
      <c r="G1859" t="s">
        <v>342</v>
      </c>
      <c r="H1859">
        <v>2</v>
      </c>
      <c r="I1859" t="s">
        <v>343</v>
      </c>
      <c r="J1859">
        <v>883</v>
      </c>
      <c r="K1859" t="s">
        <v>371</v>
      </c>
      <c r="L1859" s="13">
        <v>44561</v>
      </c>
      <c r="M1859" t="s">
        <v>375</v>
      </c>
      <c r="N1859" t="s">
        <v>376</v>
      </c>
      <c r="O1859">
        <v>-52.93</v>
      </c>
      <c r="P1859" t="s">
        <v>46</v>
      </c>
    </row>
    <row r="1860" spans="1:16" ht="15" customHeight="1" x14ac:dyDescent="0.4">
      <c r="A1860" t="s">
        <v>15</v>
      </c>
      <c r="B1860" t="s">
        <v>16</v>
      </c>
      <c r="C1860" s="13">
        <v>44197</v>
      </c>
      <c r="D1860" s="13">
        <v>44561</v>
      </c>
      <c r="E1860" t="s">
        <v>17</v>
      </c>
      <c r="F1860">
        <v>0</v>
      </c>
      <c r="G1860" t="s">
        <v>342</v>
      </c>
      <c r="H1860">
        <v>2</v>
      </c>
      <c r="I1860" t="s">
        <v>343</v>
      </c>
      <c r="J1860">
        <v>891</v>
      </c>
      <c r="K1860" t="s">
        <v>377</v>
      </c>
      <c r="L1860" s="13">
        <v>44561</v>
      </c>
      <c r="M1860" t="s">
        <v>880</v>
      </c>
      <c r="N1860" t="s">
        <v>46</v>
      </c>
      <c r="O1860">
        <v>18082.349999999999</v>
      </c>
      <c r="P1860" t="s">
        <v>46</v>
      </c>
    </row>
    <row r="1861" spans="1:16" ht="15" customHeight="1" x14ac:dyDescent="0.4">
      <c r="A1861" t="s">
        <v>15</v>
      </c>
      <c r="B1861" t="s">
        <v>16</v>
      </c>
      <c r="C1861" s="13">
        <v>44197</v>
      </c>
      <c r="D1861" s="13">
        <v>44561</v>
      </c>
      <c r="E1861" t="s">
        <v>30</v>
      </c>
      <c r="F1861">
        <v>0</v>
      </c>
      <c r="G1861" t="s">
        <v>379</v>
      </c>
      <c r="H1861">
        <v>3</v>
      </c>
      <c r="I1861" t="s">
        <v>380</v>
      </c>
      <c r="J1861">
        <v>231</v>
      </c>
      <c r="K1861" t="s">
        <v>381</v>
      </c>
      <c r="L1861" s="13">
        <v>44251</v>
      </c>
      <c r="M1861" t="s">
        <v>881</v>
      </c>
      <c r="N1861" t="s">
        <v>882</v>
      </c>
      <c r="O1861">
        <v>259.02999999999997</v>
      </c>
      <c r="P1861" t="s">
        <v>384</v>
      </c>
    </row>
    <row r="1862" spans="1:16" ht="15" customHeight="1" x14ac:dyDescent="0.4">
      <c r="A1862" t="s">
        <v>15</v>
      </c>
      <c r="B1862" t="s">
        <v>16</v>
      </c>
      <c r="C1862" s="13">
        <v>44197</v>
      </c>
      <c r="D1862" s="13">
        <v>44561</v>
      </c>
      <c r="E1862" t="s">
        <v>17</v>
      </c>
      <c r="F1862">
        <v>0</v>
      </c>
      <c r="G1862" t="s">
        <v>379</v>
      </c>
      <c r="H1862">
        <v>3</v>
      </c>
      <c r="I1862" t="s">
        <v>380</v>
      </c>
      <c r="J1862">
        <v>352</v>
      </c>
      <c r="K1862" t="s">
        <v>389</v>
      </c>
      <c r="L1862" s="13">
        <v>44221</v>
      </c>
      <c r="M1862" t="s">
        <v>883</v>
      </c>
      <c r="N1862" t="s">
        <v>884</v>
      </c>
      <c r="O1862">
        <v>358.41</v>
      </c>
      <c r="P1862" t="s">
        <v>392</v>
      </c>
    </row>
    <row r="1863" spans="1:16" ht="15" customHeight="1" x14ac:dyDescent="0.4">
      <c r="A1863" t="s">
        <v>15</v>
      </c>
      <c r="B1863" t="s">
        <v>16</v>
      </c>
      <c r="C1863" s="13">
        <v>44197</v>
      </c>
      <c r="D1863" s="13">
        <v>44561</v>
      </c>
      <c r="E1863" t="s">
        <v>17</v>
      </c>
      <c r="F1863">
        <v>0</v>
      </c>
      <c r="G1863" t="s">
        <v>379</v>
      </c>
      <c r="H1863">
        <v>3</v>
      </c>
      <c r="I1863" t="s">
        <v>380</v>
      </c>
      <c r="J1863">
        <v>352</v>
      </c>
      <c r="K1863" t="s">
        <v>389</v>
      </c>
      <c r="L1863" s="13">
        <v>44263</v>
      </c>
      <c r="M1863" t="s">
        <v>885</v>
      </c>
      <c r="N1863" t="s">
        <v>886</v>
      </c>
      <c r="O1863">
        <v>6.39</v>
      </c>
      <c r="P1863" t="s">
        <v>392</v>
      </c>
    </row>
    <row r="1864" spans="1:16" ht="15" customHeight="1" x14ac:dyDescent="0.4">
      <c r="A1864" t="s">
        <v>15</v>
      </c>
      <c r="B1864" t="s">
        <v>16</v>
      </c>
      <c r="C1864" s="13">
        <v>44197</v>
      </c>
      <c r="D1864" s="13">
        <v>44561</v>
      </c>
      <c r="E1864" t="s">
        <v>17</v>
      </c>
      <c r="F1864">
        <v>0</v>
      </c>
      <c r="G1864" t="s">
        <v>379</v>
      </c>
      <c r="H1864">
        <v>3</v>
      </c>
      <c r="I1864" t="s">
        <v>380</v>
      </c>
      <c r="J1864">
        <v>352</v>
      </c>
      <c r="K1864" t="s">
        <v>389</v>
      </c>
      <c r="L1864" s="13">
        <v>44263</v>
      </c>
      <c r="M1864" t="s">
        <v>887</v>
      </c>
      <c r="N1864" t="s">
        <v>888</v>
      </c>
      <c r="O1864">
        <v>0.89</v>
      </c>
      <c r="P1864" t="s">
        <v>392</v>
      </c>
    </row>
    <row r="1865" spans="1:16" ht="15" customHeight="1" x14ac:dyDescent="0.4">
      <c r="A1865" t="s">
        <v>15</v>
      </c>
      <c r="B1865" t="s">
        <v>16</v>
      </c>
      <c r="C1865" s="13">
        <v>44197</v>
      </c>
      <c r="D1865" s="13">
        <v>44561</v>
      </c>
      <c r="E1865" t="s">
        <v>17</v>
      </c>
      <c r="F1865">
        <v>0</v>
      </c>
      <c r="G1865" t="s">
        <v>379</v>
      </c>
      <c r="H1865">
        <v>3</v>
      </c>
      <c r="I1865" t="s">
        <v>380</v>
      </c>
      <c r="J1865">
        <v>352</v>
      </c>
      <c r="K1865" t="s">
        <v>389</v>
      </c>
      <c r="L1865" s="13">
        <v>44281</v>
      </c>
      <c r="M1865" t="s">
        <v>889</v>
      </c>
      <c r="N1865" t="s">
        <v>890</v>
      </c>
      <c r="O1865">
        <v>51.45</v>
      </c>
      <c r="P1865" t="s">
        <v>392</v>
      </c>
    </row>
    <row r="1866" spans="1:16" ht="15" customHeight="1" x14ac:dyDescent="0.4">
      <c r="A1866" t="s">
        <v>15</v>
      </c>
      <c r="B1866" t="s">
        <v>16</v>
      </c>
      <c r="C1866" s="13">
        <v>44197</v>
      </c>
      <c r="D1866" s="13">
        <v>44561</v>
      </c>
      <c r="E1866" t="s">
        <v>17</v>
      </c>
      <c r="F1866">
        <v>0</v>
      </c>
      <c r="G1866" t="s">
        <v>379</v>
      </c>
      <c r="H1866">
        <v>3</v>
      </c>
      <c r="I1866" t="s">
        <v>380</v>
      </c>
      <c r="J1866">
        <v>352</v>
      </c>
      <c r="K1866" t="s">
        <v>389</v>
      </c>
      <c r="L1866" s="13">
        <v>44286</v>
      </c>
      <c r="M1866" t="s">
        <v>891</v>
      </c>
      <c r="N1866" t="s">
        <v>892</v>
      </c>
      <c r="O1866">
        <v>16.010000000000002</v>
      </c>
      <c r="P1866" t="s">
        <v>407</v>
      </c>
    </row>
    <row r="1867" spans="1:16" ht="15" customHeight="1" x14ac:dyDescent="0.4">
      <c r="A1867" t="s">
        <v>15</v>
      </c>
      <c r="B1867" t="s">
        <v>16</v>
      </c>
      <c r="C1867" s="13">
        <v>44197</v>
      </c>
      <c r="D1867" s="13">
        <v>44561</v>
      </c>
      <c r="E1867" t="s">
        <v>17</v>
      </c>
      <c r="F1867">
        <v>0</v>
      </c>
      <c r="G1867" t="s">
        <v>379</v>
      </c>
      <c r="H1867">
        <v>3</v>
      </c>
      <c r="I1867" t="s">
        <v>380</v>
      </c>
      <c r="J1867">
        <v>352</v>
      </c>
      <c r="K1867" t="s">
        <v>389</v>
      </c>
      <c r="L1867" s="13">
        <v>44351</v>
      </c>
      <c r="M1867" t="s">
        <v>895</v>
      </c>
      <c r="N1867" t="s">
        <v>896</v>
      </c>
      <c r="O1867">
        <v>475.85</v>
      </c>
      <c r="P1867" t="s">
        <v>392</v>
      </c>
    </row>
    <row r="1868" spans="1:16" ht="15" customHeight="1" x14ac:dyDescent="0.4">
      <c r="A1868" t="s">
        <v>15</v>
      </c>
      <c r="B1868" t="s">
        <v>16</v>
      </c>
      <c r="C1868" s="13">
        <v>44197</v>
      </c>
      <c r="D1868" s="13">
        <v>44561</v>
      </c>
      <c r="E1868" t="s">
        <v>17</v>
      </c>
      <c r="F1868">
        <v>0</v>
      </c>
      <c r="G1868" t="s">
        <v>379</v>
      </c>
      <c r="H1868">
        <v>3</v>
      </c>
      <c r="I1868" t="s">
        <v>380</v>
      </c>
      <c r="J1868">
        <v>352</v>
      </c>
      <c r="K1868" t="s">
        <v>389</v>
      </c>
      <c r="L1868" s="13">
        <v>44351</v>
      </c>
      <c r="M1868" t="s">
        <v>893</v>
      </c>
      <c r="N1868" t="s">
        <v>894</v>
      </c>
      <c r="O1868">
        <v>4.45</v>
      </c>
      <c r="P1868" t="s">
        <v>392</v>
      </c>
    </row>
    <row r="1869" spans="1:16" ht="15" customHeight="1" x14ac:dyDescent="0.4">
      <c r="A1869" t="s">
        <v>15</v>
      </c>
      <c r="B1869" t="s">
        <v>16</v>
      </c>
      <c r="C1869" s="13">
        <v>44197</v>
      </c>
      <c r="D1869" s="13">
        <v>44561</v>
      </c>
      <c r="E1869" t="s">
        <v>17</v>
      </c>
      <c r="F1869">
        <v>0</v>
      </c>
      <c r="G1869" t="s">
        <v>379</v>
      </c>
      <c r="H1869">
        <v>3</v>
      </c>
      <c r="I1869" t="s">
        <v>380</v>
      </c>
      <c r="J1869">
        <v>352</v>
      </c>
      <c r="K1869" t="s">
        <v>389</v>
      </c>
      <c r="L1869" s="13">
        <v>44376</v>
      </c>
      <c r="M1869" t="s">
        <v>897</v>
      </c>
      <c r="N1869" t="s">
        <v>898</v>
      </c>
      <c r="O1869">
        <v>22.33</v>
      </c>
      <c r="P1869" t="s">
        <v>392</v>
      </c>
    </row>
    <row r="1870" spans="1:16" ht="15" customHeight="1" x14ac:dyDescent="0.4">
      <c r="A1870" t="s">
        <v>15</v>
      </c>
      <c r="B1870" t="s">
        <v>16</v>
      </c>
      <c r="C1870" s="13">
        <v>44197</v>
      </c>
      <c r="D1870" s="13">
        <v>44561</v>
      </c>
      <c r="E1870" t="s">
        <v>17</v>
      </c>
      <c r="F1870">
        <v>0</v>
      </c>
      <c r="G1870" t="s">
        <v>379</v>
      </c>
      <c r="H1870">
        <v>3</v>
      </c>
      <c r="I1870" t="s">
        <v>380</v>
      </c>
      <c r="J1870">
        <v>352</v>
      </c>
      <c r="K1870" t="s">
        <v>389</v>
      </c>
      <c r="L1870" s="13">
        <v>44379</v>
      </c>
      <c r="M1870" t="s">
        <v>901</v>
      </c>
      <c r="N1870" t="s">
        <v>902</v>
      </c>
      <c r="O1870">
        <v>10.86</v>
      </c>
      <c r="P1870" t="s">
        <v>392</v>
      </c>
    </row>
    <row r="1871" spans="1:16" ht="15" customHeight="1" x14ac:dyDescent="0.4">
      <c r="A1871" t="s">
        <v>15</v>
      </c>
      <c r="B1871" t="s">
        <v>16</v>
      </c>
      <c r="C1871" s="13">
        <v>44197</v>
      </c>
      <c r="D1871" s="13">
        <v>44561</v>
      </c>
      <c r="E1871" t="s">
        <v>17</v>
      </c>
      <c r="F1871">
        <v>0</v>
      </c>
      <c r="G1871" t="s">
        <v>379</v>
      </c>
      <c r="H1871">
        <v>3</v>
      </c>
      <c r="I1871" t="s">
        <v>380</v>
      </c>
      <c r="J1871">
        <v>352</v>
      </c>
      <c r="K1871" t="s">
        <v>389</v>
      </c>
      <c r="L1871" s="13">
        <v>44379</v>
      </c>
      <c r="M1871" t="s">
        <v>899</v>
      </c>
      <c r="N1871" t="s">
        <v>900</v>
      </c>
      <c r="O1871">
        <v>23.73</v>
      </c>
      <c r="P1871" t="s">
        <v>407</v>
      </c>
    </row>
    <row r="1872" spans="1:16" ht="15" customHeight="1" x14ac:dyDescent="0.4">
      <c r="A1872" t="s">
        <v>15</v>
      </c>
      <c r="B1872" t="s">
        <v>16</v>
      </c>
      <c r="C1872" s="13">
        <v>44197</v>
      </c>
      <c r="D1872" s="13">
        <v>44561</v>
      </c>
      <c r="E1872" t="s">
        <v>17</v>
      </c>
      <c r="F1872">
        <v>0</v>
      </c>
      <c r="G1872" t="s">
        <v>379</v>
      </c>
      <c r="H1872">
        <v>3</v>
      </c>
      <c r="I1872" t="s">
        <v>380</v>
      </c>
      <c r="J1872">
        <v>352</v>
      </c>
      <c r="K1872" t="s">
        <v>389</v>
      </c>
      <c r="L1872" s="13">
        <v>44441</v>
      </c>
      <c r="M1872" t="s">
        <v>903</v>
      </c>
      <c r="N1872" t="s">
        <v>904</v>
      </c>
      <c r="O1872">
        <v>1.21</v>
      </c>
      <c r="P1872" t="s">
        <v>392</v>
      </c>
    </row>
    <row r="1873" spans="1:16" ht="15" customHeight="1" x14ac:dyDescent="0.4">
      <c r="A1873" t="s">
        <v>15</v>
      </c>
      <c r="B1873" t="s">
        <v>16</v>
      </c>
      <c r="C1873" s="13">
        <v>44197</v>
      </c>
      <c r="D1873" s="13">
        <v>44561</v>
      </c>
      <c r="E1873" t="s">
        <v>17</v>
      </c>
      <c r="F1873">
        <v>0</v>
      </c>
      <c r="G1873" t="s">
        <v>379</v>
      </c>
      <c r="H1873">
        <v>3</v>
      </c>
      <c r="I1873" t="s">
        <v>380</v>
      </c>
      <c r="J1873">
        <v>352</v>
      </c>
      <c r="K1873" t="s">
        <v>389</v>
      </c>
      <c r="L1873" s="13">
        <v>44463</v>
      </c>
      <c r="M1873" t="s">
        <v>905</v>
      </c>
      <c r="N1873" t="s">
        <v>906</v>
      </c>
      <c r="O1873">
        <v>277.25</v>
      </c>
      <c r="P1873" t="s">
        <v>392</v>
      </c>
    </row>
    <row r="1874" spans="1:16" ht="15" customHeight="1" x14ac:dyDescent="0.4">
      <c r="A1874" t="s">
        <v>15</v>
      </c>
      <c r="B1874" t="s">
        <v>16</v>
      </c>
      <c r="C1874" s="13">
        <v>44197</v>
      </c>
      <c r="D1874" s="13">
        <v>44561</v>
      </c>
      <c r="E1874" t="s">
        <v>17</v>
      </c>
      <c r="F1874">
        <v>0</v>
      </c>
      <c r="G1874" t="s">
        <v>379</v>
      </c>
      <c r="H1874">
        <v>3</v>
      </c>
      <c r="I1874" t="s">
        <v>380</v>
      </c>
      <c r="J1874">
        <v>352</v>
      </c>
      <c r="K1874" t="s">
        <v>389</v>
      </c>
      <c r="L1874" s="13">
        <v>44466</v>
      </c>
      <c r="M1874" t="s">
        <v>907</v>
      </c>
      <c r="N1874" t="s">
        <v>908</v>
      </c>
      <c r="O1874">
        <v>21.73</v>
      </c>
      <c r="P1874" t="s">
        <v>392</v>
      </c>
    </row>
    <row r="1875" spans="1:16" ht="15" customHeight="1" x14ac:dyDescent="0.4">
      <c r="A1875" t="s">
        <v>15</v>
      </c>
      <c r="B1875" t="s">
        <v>16</v>
      </c>
      <c r="C1875" s="13">
        <v>44197</v>
      </c>
      <c r="D1875" s="13">
        <v>44561</v>
      </c>
      <c r="E1875" t="s">
        <v>17</v>
      </c>
      <c r="F1875">
        <v>0</v>
      </c>
      <c r="G1875" t="s">
        <v>379</v>
      </c>
      <c r="H1875">
        <v>3</v>
      </c>
      <c r="I1875" t="s">
        <v>380</v>
      </c>
      <c r="J1875">
        <v>352</v>
      </c>
      <c r="K1875" t="s">
        <v>389</v>
      </c>
      <c r="L1875" s="13">
        <v>44469</v>
      </c>
      <c r="M1875" t="s">
        <v>909</v>
      </c>
      <c r="N1875" t="s">
        <v>910</v>
      </c>
      <c r="O1875">
        <v>14.58</v>
      </c>
      <c r="P1875" t="s">
        <v>407</v>
      </c>
    </row>
    <row r="1876" spans="1:16" ht="15" customHeight="1" x14ac:dyDescent="0.4">
      <c r="A1876" t="s">
        <v>15</v>
      </c>
      <c r="B1876" t="s">
        <v>16</v>
      </c>
      <c r="C1876" s="13">
        <v>44197</v>
      </c>
      <c r="D1876" s="13">
        <v>44561</v>
      </c>
      <c r="E1876" t="s">
        <v>17</v>
      </c>
      <c r="F1876">
        <v>0</v>
      </c>
      <c r="G1876" t="s">
        <v>379</v>
      </c>
      <c r="H1876">
        <v>3</v>
      </c>
      <c r="I1876" t="s">
        <v>380</v>
      </c>
      <c r="J1876">
        <v>352</v>
      </c>
      <c r="K1876" t="s">
        <v>389</v>
      </c>
      <c r="L1876" s="13">
        <v>44477</v>
      </c>
      <c r="M1876" t="s">
        <v>911</v>
      </c>
      <c r="N1876" t="s">
        <v>912</v>
      </c>
      <c r="O1876">
        <v>1.26</v>
      </c>
      <c r="P1876" t="s">
        <v>392</v>
      </c>
    </row>
    <row r="1877" spans="1:16" ht="15" customHeight="1" x14ac:dyDescent="0.4">
      <c r="A1877" t="s">
        <v>15</v>
      </c>
      <c r="B1877" t="s">
        <v>16</v>
      </c>
      <c r="C1877" s="13">
        <v>44197</v>
      </c>
      <c r="D1877" s="13">
        <v>44561</v>
      </c>
      <c r="E1877" t="s">
        <v>17</v>
      </c>
      <c r="F1877">
        <v>0</v>
      </c>
      <c r="G1877" t="s">
        <v>379</v>
      </c>
      <c r="H1877">
        <v>3</v>
      </c>
      <c r="I1877" t="s">
        <v>380</v>
      </c>
      <c r="J1877">
        <v>352</v>
      </c>
      <c r="K1877" t="s">
        <v>389</v>
      </c>
      <c r="L1877" s="13">
        <v>44504</v>
      </c>
      <c r="M1877" t="s">
        <v>913</v>
      </c>
      <c r="N1877" t="s">
        <v>914</v>
      </c>
      <c r="O1877">
        <v>2.67</v>
      </c>
      <c r="P1877" t="s">
        <v>392</v>
      </c>
    </row>
    <row r="1878" spans="1:16" ht="15" customHeight="1" x14ac:dyDescent="0.4">
      <c r="A1878" t="s">
        <v>15</v>
      </c>
      <c r="B1878" t="s">
        <v>16</v>
      </c>
      <c r="C1878" s="13">
        <v>44197</v>
      </c>
      <c r="D1878" s="13">
        <v>44561</v>
      </c>
      <c r="E1878" t="s">
        <v>17</v>
      </c>
      <c r="F1878">
        <v>0</v>
      </c>
      <c r="G1878" t="s">
        <v>379</v>
      </c>
      <c r="H1878">
        <v>3</v>
      </c>
      <c r="I1878" t="s">
        <v>380</v>
      </c>
      <c r="J1878">
        <v>352</v>
      </c>
      <c r="K1878" t="s">
        <v>389</v>
      </c>
      <c r="L1878" s="13">
        <v>44547</v>
      </c>
      <c r="M1878" t="s">
        <v>915</v>
      </c>
      <c r="N1878" t="s">
        <v>916</v>
      </c>
      <c r="O1878">
        <v>54.39</v>
      </c>
      <c r="P1878" t="s">
        <v>392</v>
      </c>
    </row>
    <row r="1879" spans="1:16" ht="15" customHeight="1" x14ac:dyDescent="0.4">
      <c r="A1879" t="s">
        <v>15</v>
      </c>
      <c r="B1879" t="s">
        <v>16</v>
      </c>
      <c r="C1879" s="13">
        <v>44197</v>
      </c>
      <c r="D1879" s="13">
        <v>44561</v>
      </c>
      <c r="E1879" t="s">
        <v>17</v>
      </c>
      <c r="F1879">
        <v>0</v>
      </c>
      <c r="G1879" t="s">
        <v>379</v>
      </c>
      <c r="H1879">
        <v>3</v>
      </c>
      <c r="I1879" t="s">
        <v>380</v>
      </c>
      <c r="J1879">
        <v>352</v>
      </c>
      <c r="K1879" t="s">
        <v>389</v>
      </c>
      <c r="L1879" s="13">
        <v>44561</v>
      </c>
      <c r="M1879" t="s">
        <v>917</v>
      </c>
      <c r="N1879" t="s">
        <v>918</v>
      </c>
      <c r="O1879">
        <v>11.83</v>
      </c>
      <c r="P1879" t="s">
        <v>407</v>
      </c>
    </row>
    <row r="1880" spans="1:16" ht="15" customHeight="1" x14ac:dyDescent="0.4">
      <c r="A1880" t="s">
        <v>15</v>
      </c>
      <c r="B1880" t="s">
        <v>16</v>
      </c>
      <c r="C1880" s="13">
        <v>44197</v>
      </c>
      <c r="D1880" s="13">
        <v>44561</v>
      </c>
      <c r="E1880" t="s">
        <v>30</v>
      </c>
      <c r="F1880">
        <v>0</v>
      </c>
      <c r="G1880" t="s">
        <v>420</v>
      </c>
      <c r="H1880">
        <v>4</v>
      </c>
      <c r="I1880" t="s">
        <v>421</v>
      </c>
      <c r="J1880">
        <v>236</v>
      </c>
      <c r="K1880" t="s">
        <v>919</v>
      </c>
      <c r="L1880" s="13">
        <v>44351</v>
      </c>
      <c r="M1880" t="s">
        <v>920</v>
      </c>
      <c r="N1880" t="s">
        <v>921</v>
      </c>
      <c r="O1880">
        <v>200</v>
      </c>
      <c r="P1880" t="s">
        <v>922</v>
      </c>
    </row>
    <row r="1881" spans="1:16" ht="15" customHeight="1" x14ac:dyDescent="0.4">
      <c r="A1881" t="s">
        <v>15</v>
      </c>
      <c r="B1881" t="s">
        <v>16</v>
      </c>
      <c r="C1881" s="13">
        <v>44197</v>
      </c>
      <c r="D1881" s="13">
        <v>44561</v>
      </c>
      <c r="E1881" t="s">
        <v>17</v>
      </c>
      <c r="F1881">
        <v>0</v>
      </c>
      <c r="G1881" t="s">
        <v>420</v>
      </c>
      <c r="H1881">
        <v>4</v>
      </c>
      <c r="I1881" t="s">
        <v>421</v>
      </c>
      <c r="J1881">
        <v>269</v>
      </c>
      <c r="K1881" t="s">
        <v>431</v>
      </c>
      <c r="L1881" s="13">
        <v>44561</v>
      </c>
      <c r="M1881" t="s">
        <v>432</v>
      </c>
      <c r="N1881" t="s">
        <v>46</v>
      </c>
      <c r="O1881">
        <v>1812.98</v>
      </c>
      <c r="P1881" t="s">
        <v>46</v>
      </c>
    </row>
    <row r="1882" spans="1:16" ht="15" customHeight="1" x14ac:dyDescent="0.4">
      <c r="A1882" t="s">
        <v>15</v>
      </c>
      <c r="B1882" t="s">
        <v>16</v>
      </c>
      <c r="C1882" s="13">
        <v>44197</v>
      </c>
      <c r="D1882" s="13">
        <v>44561</v>
      </c>
      <c r="E1882" t="s">
        <v>17</v>
      </c>
      <c r="F1882">
        <v>0</v>
      </c>
      <c r="G1882" t="s">
        <v>420</v>
      </c>
      <c r="H1882">
        <v>4</v>
      </c>
      <c r="I1882" t="s">
        <v>421</v>
      </c>
      <c r="J1882">
        <v>281</v>
      </c>
      <c r="K1882" t="s">
        <v>433</v>
      </c>
      <c r="L1882" s="13">
        <v>44561</v>
      </c>
      <c r="M1882" t="s">
        <v>923</v>
      </c>
      <c r="N1882" t="s">
        <v>46</v>
      </c>
      <c r="O1882">
        <v>-43.23</v>
      </c>
      <c r="P1882" t="s">
        <v>46</v>
      </c>
    </row>
    <row r="1883" spans="1:16" ht="15" customHeight="1" x14ac:dyDescent="0.4">
      <c r="A1883" t="s">
        <v>15</v>
      </c>
      <c r="B1883" t="s">
        <v>16</v>
      </c>
      <c r="C1883" s="13">
        <v>44197</v>
      </c>
      <c r="D1883" s="13">
        <v>44561</v>
      </c>
      <c r="E1883" t="s">
        <v>17</v>
      </c>
      <c r="F1883">
        <v>0</v>
      </c>
      <c r="G1883" t="s">
        <v>420</v>
      </c>
      <c r="H1883">
        <v>4</v>
      </c>
      <c r="I1883" t="s">
        <v>421</v>
      </c>
      <c r="J1883">
        <v>401</v>
      </c>
      <c r="K1883" t="s">
        <v>435</v>
      </c>
      <c r="L1883" s="13">
        <v>44286</v>
      </c>
      <c r="M1883" t="s">
        <v>435</v>
      </c>
      <c r="N1883" t="s">
        <v>924</v>
      </c>
      <c r="O1883">
        <v>3129</v>
      </c>
      <c r="P1883" t="s">
        <v>437</v>
      </c>
    </row>
    <row r="1884" spans="1:16" ht="15" customHeight="1" x14ac:dyDescent="0.4">
      <c r="A1884" t="s">
        <v>15</v>
      </c>
      <c r="B1884" t="s">
        <v>16</v>
      </c>
      <c r="C1884" s="13">
        <v>44197</v>
      </c>
      <c r="D1884" s="13">
        <v>44561</v>
      </c>
      <c r="E1884" t="s">
        <v>17</v>
      </c>
      <c r="F1884">
        <v>0</v>
      </c>
      <c r="G1884" t="s">
        <v>420</v>
      </c>
      <c r="H1884">
        <v>4</v>
      </c>
      <c r="I1884" t="s">
        <v>421</v>
      </c>
      <c r="J1884">
        <v>401</v>
      </c>
      <c r="K1884" t="s">
        <v>435</v>
      </c>
      <c r="L1884" s="13">
        <v>44377</v>
      </c>
      <c r="M1884" t="s">
        <v>435</v>
      </c>
      <c r="N1884" t="s">
        <v>925</v>
      </c>
      <c r="O1884">
        <v>3129</v>
      </c>
      <c r="P1884" t="s">
        <v>437</v>
      </c>
    </row>
    <row r="1885" spans="1:16" ht="15" customHeight="1" x14ac:dyDescent="0.4">
      <c r="A1885" t="s">
        <v>15</v>
      </c>
      <c r="B1885" t="s">
        <v>16</v>
      </c>
      <c r="C1885" s="13">
        <v>44197</v>
      </c>
      <c r="D1885" s="13">
        <v>44561</v>
      </c>
      <c r="E1885" t="s">
        <v>17</v>
      </c>
      <c r="F1885">
        <v>0</v>
      </c>
      <c r="G1885" t="s">
        <v>420</v>
      </c>
      <c r="H1885">
        <v>4</v>
      </c>
      <c r="I1885" t="s">
        <v>421</v>
      </c>
      <c r="J1885">
        <v>401</v>
      </c>
      <c r="K1885" t="s">
        <v>435</v>
      </c>
      <c r="L1885" s="13">
        <v>44469</v>
      </c>
      <c r="M1885" t="s">
        <v>435</v>
      </c>
      <c r="N1885" t="s">
        <v>926</v>
      </c>
      <c r="O1885">
        <v>3129</v>
      </c>
      <c r="P1885" t="s">
        <v>437</v>
      </c>
    </row>
    <row r="1886" spans="1:16" ht="15" customHeight="1" x14ac:dyDescent="0.4">
      <c r="A1886" t="s">
        <v>15</v>
      </c>
      <c r="B1886" t="s">
        <v>16</v>
      </c>
      <c r="C1886" s="13">
        <v>44197</v>
      </c>
      <c r="D1886" s="13">
        <v>44561</v>
      </c>
      <c r="E1886" t="s">
        <v>17</v>
      </c>
      <c r="F1886">
        <v>0</v>
      </c>
      <c r="G1886" t="s">
        <v>420</v>
      </c>
      <c r="H1886">
        <v>4</v>
      </c>
      <c r="I1886" t="s">
        <v>421</v>
      </c>
      <c r="J1886">
        <v>401</v>
      </c>
      <c r="K1886" t="s">
        <v>435</v>
      </c>
      <c r="L1886" s="13">
        <v>44561</v>
      </c>
      <c r="M1886" t="s">
        <v>435</v>
      </c>
      <c r="N1886" t="s">
        <v>927</v>
      </c>
      <c r="O1886">
        <v>3129</v>
      </c>
      <c r="P1886" t="s">
        <v>437</v>
      </c>
    </row>
    <row r="1887" spans="1:16" ht="15" customHeight="1" x14ac:dyDescent="0.4">
      <c r="A1887" t="s">
        <v>15</v>
      </c>
      <c r="B1887" t="s">
        <v>16</v>
      </c>
      <c r="C1887" s="13">
        <v>44197</v>
      </c>
      <c r="D1887" s="13">
        <v>44561</v>
      </c>
      <c r="E1887" t="s">
        <v>17</v>
      </c>
      <c r="F1887">
        <v>0</v>
      </c>
      <c r="G1887" t="s">
        <v>420</v>
      </c>
      <c r="H1887">
        <v>4</v>
      </c>
      <c r="I1887" t="s">
        <v>421</v>
      </c>
      <c r="J1887">
        <v>481</v>
      </c>
      <c r="K1887" t="s">
        <v>443</v>
      </c>
      <c r="L1887" s="13">
        <v>44421</v>
      </c>
      <c r="M1887" t="s">
        <v>928</v>
      </c>
      <c r="N1887" t="s">
        <v>929</v>
      </c>
      <c r="O1887">
        <v>1408</v>
      </c>
      <c r="P1887" t="s">
        <v>446</v>
      </c>
    </row>
    <row r="1888" spans="1:16" ht="15" customHeight="1" x14ac:dyDescent="0.4">
      <c r="A1888" t="s">
        <v>15</v>
      </c>
      <c r="B1888" t="s">
        <v>16</v>
      </c>
      <c r="C1888" s="13">
        <v>44197</v>
      </c>
      <c r="D1888" s="13">
        <v>44561</v>
      </c>
      <c r="E1888" t="s">
        <v>17</v>
      </c>
      <c r="F1888">
        <v>0</v>
      </c>
      <c r="G1888" t="s">
        <v>420</v>
      </c>
      <c r="H1888">
        <v>4</v>
      </c>
      <c r="I1888" t="s">
        <v>421</v>
      </c>
      <c r="J1888">
        <v>482</v>
      </c>
      <c r="K1888" t="s">
        <v>447</v>
      </c>
      <c r="L1888" s="13">
        <v>44491</v>
      </c>
      <c r="M1888" t="s">
        <v>930</v>
      </c>
      <c r="N1888" t="s">
        <v>931</v>
      </c>
      <c r="O1888">
        <v>1469</v>
      </c>
      <c r="P1888" t="s">
        <v>446</v>
      </c>
    </row>
    <row r="1889" spans="1:16" ht="15" customHeight="1" x14ac:dyDescent="0.4">
      <c r="A1889" t="s">
        <v>15</v>
      </c>
      <c r="B1889" t="s">
        <v>16</v>
      </c>
      <c r="C1889" s="13">
        <v>44197</v>
      </c>
      <c r="D1889" s="13">
        <v>44561</v>
      </c>
      <c r="E1889" t="s">
        <v>17</v>
      </c>
      <c r="F1889">
        <v>0</v>
      </c>
      <c r="G1889" t="s">
        <v>420</v>
      </c>
      <c r="H1889">
        <v>4</v>
      </c>
      <c r="I1889" t="s">
        <v>421</v>
      </c>
      <c r="J1889">
        <v>702</v>
      </c>
      <c r="K1889" t="s">
        <v>275</v>
      </c>
      <c r="L1889" s="13">
        <v>44561</v>
      </c>
      <c r="M1889" t="s">
        <v>450</v>
      </c>
      <c r="N1889" t="s">
        <v>46</v>
      </c>
      <c r="O1889">
        <v>20.5</v>
      </c>
      <c r="P1889" t="s">
        <v>46</v>
      </c>
    </row>
    <row r="1890" spans="1:16" ht="15" customHeight="1" x14ac:dyDescent="0.4">
      <c r="A1890" t="s">
        <v>15</v>
      </c>
      <c r="B1890" t="s">
        <v>16</v>
      </c>
      <c r="C1890" s="13">
        <v>44197</v>
      </c>
      <c r="D1890" s="13">
        <v>44561</v>
      </c>
      <c r="E1890" t="s">
        <v>17</v>
      </c>
      <c r="F1890">
        <v>0</v>
      </c>
      <c r="G1890" t="s">
        <v>420</v>
      </c>
      <c r="H1890">
        <v>4</v>
      </c>
      <c r="I1890" t="s">
        <v>421</v>
      </c>
      <c r="J1890">
        <v>857</v>
      </c>
      <c r="K1890" t="s">
        <v>451</v>
      </c>
      <c r="L1890" s="13">
        <v>44315</v>
      </c>
      <c r="M1890" t="s">
        <v>932</v>
      </c>
      <c r="N1890" t="s">
        <v>933</v>
      </c>
      <c r="O1890">
        <v>21.6</v>
      </c>
      <c r="P1890" t="s">
        <v>430</v>
      </c>
    </row>
    <row r="1891" spans="1:16" ht="15" customHeight="1" x14ac:dyDescent="0.4">
      <c r="A1891" t="s">
        <v>15</v>
      </c>
      <c r="B1891" t="s">
        <v>16</v>
      </c>
      <c r="C1891" s="13">
        <v>44197</v>
      </c>
      <c r="D1891" s="13">
        <v>44561</v>
      </c>
      <c r="E1891" t="s">
        <v>17</v>
      </c>
      <c r="F1891">
        <v>0</v>
      </c>
      <c r="G1891" t="s">
        <v>420</v>
      </c>
      <c r="H1891">
        <v>4</v>
      </c>
      <c r="I1891" t="s">
        <v>421</v>
      </c>
      <c r="J1891">
        <v>857</v>
      </c>
      <c r="K1891" t="s">
        <v>451</v>
      </c>
      <c r="L1891" s="13">
        <v>44315</v>
      </c>
      <c r="M1891" t="s">
        <v>932</v>
      </c>
      <c r="N1891" t="s">
        <v>934</v>
      </c>
      <c r="O1891">
        <v>230.05</v>
      </c>
      <c r="P1891" t="s">
        <v>430</v>
      </c>
    </row>
    <row r="1892" spans="1:16" ht="15" customHeight="1" x14ac:dyDescent="0.4">
      <c r="A1892" t="s">
        <v>15</v>
      </c>
      <c r="B1892" t="s">
        <v>16</v>
      </c>
      <c r="C1892" s="13">
        <v>44197</v>
      </c>
      <c r="D1892" s="13">
        <v>44561</v>
      </c>
      <c r="E1892" t="s">
        <v>17</v>
      </c>
      <c r="F1892">
        <v>0</v>
      </c>
      <c r="G1892" t="s">
        <v>420</v>
      </c>
      <c r="H1892">
        <v>4</v>
      </c>
      <c r="I1892" t="s">
        <v>421</v>
      </c>
      <c r="J1892">
        <v>857</v>
      </c>
      <c r="K1892" t="s">
        <v>451</v>
      </c>
      <c r="L1892" s="13">
        <v>44382</v>
      </c>
      <c r="M1892" t="s">
        <v>932</v>
      </c>
      <c r="N1892" t="s">
        <v>935</v>
      </c>
      <c r="O1892">
        <v>398.75</v>
      </c>
      <c r="P1892" t="s">
        <v>430</v>
      </c>
    </row>
    <row r="1893" spans="1:16" ht="15" customHeight="1" x14ac:dyDescent="0.4">
      <c r="A1893" t="s">
        <v>15</v>
      </c>
      <c r="B1893" t="s">
        <v>16</v>
      </c>
      <c r="C1893" s="13">
        <v>44197</v>
      </c>
      <c r="D1893" s="13">
        <v>44561</v>
      </c>
      <c r="E1893" t="s">
        <v>17</v>
      </c>
      <c r="F1893">
        <v>0</v>
      </c>
      <c r="G1893" t="s">
        <v>420</v>
      </c>
      <c r="H1893">
        <v>4</v>
      </c>
      <c r="I1893" t="s">
        <v>421</v>
      </c>
      <c r="J1893">
        <v>857</v>
      </c>
      <c r="K1893" t="s">
        <v>451</v>
      </c>
      <c r="L1893" s="13">
        <v>44412</v>
      </c>
      <c r="M1893" t="s">
        <v>932</v>
      </c>
      <c r="N1893" t="s">
        <v>936</v>
      </c>
      <c r="O1893">
        <v>102.2</v>
      </c>
      <c r="P1893" t="s">
        <v>430</v>
      </c>
    </row>
    <row r="1894" spans="1:16" ht="15" customHeight="1" x14ac:dyDescent="0.4">
      <c r="A1894" t="s">
        <v>15</v>
      </c>
      <c r="B1894" t="s">
        <v>16</v>
      </c>
      <c r="C1894" s="13">
        <v>44197</v>
      </c>
      <c r="D1894" s="13">
        <v>44561</v>
      </c>
      <c r="E1894" t="s">
        <v>17</v>
      </c>
      <c r="F1894">
        <v>0</v>
      </c>
      <c r="G1894" t="s">
        <v>420</v>
      </c>
      <c r="H1894">
        <v>4</v>
      </c>
      <c r="I1894" t="s">
        <v>421</v>
      </c>
      <c r="J1894">
        <v>857</v>
      </c>
      <c r="K1894" t="s">
        <v>451</v>
      </c>
      <c r="L1894" s="13">
        <v>44447</v>
      </c>
      <c r="M1894" t="s">
        <v>932</v>
      </c>
      <c r="N1894" t="s">
        <v>46</v>
      </c>
      <c r="O1894">
        <v>169.5</v>
      </c>
      <c r="P1894" t="s">
        <v>46</v>
      </c>
    </row>
    <row r="1895" spans="1:16" ht="15" customHeight="1" x14ac:dyDescent="0.4">
      <c r="A1895" t="s">
        <v>15</v>
      </c>
      <c r="B1895" t="s">
        <v>16</v>
      </c>
      <c r="C1895" s="13">
        <v>44197</v>
      </c>
      <c r="D1895" s="13">
        <v>44561</v>
      </c>
      <c r="E1895" t="s">
        <v>17</v>
      </c>
      <c r="F1895">
        <v>0</v>
      </c>
      <c r="G1895" t="s">
        <v>420</v>
      </c>
      <c r="H1895">
        <v>4</v>
      </c>
      <c r="I1895" t="s">
        <v>421</v>
      </c>
      <c r="J1895">
        <v>857</v>
      </c>
      <c r="K1895" t="s">
        <v>451</v>
      </c>
      <c r="L1895" s="13">
        <v>44459</v>
      </c>
      <c r="M1895" t="s">
        <v>932</v>
      </c>
      <c r="N1895" t="s">
        <v>937</v>
      </c>
      <c r="O1895">
        <v>182.95</v>
      </c>
      <c r="P1895" t="s">
        <v>430</v>
      </c>
    </row>
    <row r="1896" spans="1:16" ht="15" customHeight="1" x14ac:dyDescent="0.4">
      <c r="A1896" t="s">
        <v>15</v>
      </c>
      <c r="B1896" t="s">
        <v>16</v>
      </c>
      <c r="C1896" s="13">
        <v>44197</v>
      </c>
      <c r="D1896" s="13">
        <v>44561</v>
      </c>
      <c r="E1896" t="s">
        <v>17</v>
      </c>
      <c r="F1896">
        <v>0</v>
      </c>
      <c r="G1896" t="s">
        <v>420</v>
      </c>
      <c r="H1896">
        <v>4</v>
      </c>
      <c r="I1896" t="s">
        <v>421</v>
      </c>
      <c r="J1896">
        <v>857</v>
      </c>
      <c r="K1896" t="s">
        <v>451</v>
      </c>
      <c r="L1896" s="13">
        <v>44543</v>
      </c>
      <c r="M1896" t="s">
        <v>938</v>
      </c>
      <c r="N1896" t="s">
        <v>939</v>
      </c>
      <c r="O1896">
        <v>42.7</v>
      </c>
      <c r="P1896" t="s">
        <v>430</v>
      </c>
    </row>
    <row r="1897" spans="1:16" ht="15" customHeight="1" x14ac:dyDescent="0.4">
      <c r="A1897" t="s">
        <v>15</v>
      </c>
      <c r="B1897" t="s">
        <v>16</v>
      </c>
      <c r="C1897" s="13">
        <v>44197</v>
      </c>
      <c r="D1897" s="13">
        <v>44561</v>
      </c>
      <c r="E1897" t="s">
        <v>17</v>
      </c>
      <c r="F1897">
        <v>0</v>
      </c>
      <c r="G1897" t="s">
        <v>420</v>
      </c>
      <c r="H1897">
        <v>4</v>
      </c>
      <c r="I1897" t="s">
        <v>421</v>
      </c>
      <c r="J1897">
        <v>858</v>
      </c>
      <c r="K1897" t="s">
        <v>458</v>
      </c>
      <c r="L1897" s="13">
        <v>44379</v>
      </c>
      <c r="M1897" t="s">
        <v>940</v>
      </c>
      <c r="N1897" t="s">
        <v>941</v>
      </c>
      <c r="O1897">
        <v>196.8</v>
      </c>
      <c r="P1897" t="s">
        <v>942</v>
      </c>
    </row>
    <row r="1898" spans="1:16" ht="15" customHeight="1" x14ac:dyDescent="0.4">
      <c r="A1898" t="s">
        <v>15</v>
      </c>
      <c r="B1898" t="s">
        <v>16</v>
      </c>
      <c r="C1898" s="13">
        <v>44197</v>
      </c>
      <c r="D1898" s="13">
        <v>44561</v>
      </c>
      <c r="E1898" t="s">
        <v>17</v>
      </c>
      <c r="F1898">
        <v>0</v>
      </c>
      <c r="G1898" t="s">
        <v>420</v>
      </c>
      <c r="H1898">
        <v>4</v>
      </c>
      <c r="I1898" t="s">
        <v>421</v>
      </c>
      <c r="J1898">
        <v>858</v>
      </c>
      <c r="K1898" t="s">
        <v>458</v>
      </c>
      <c r="L1898" s="13">
        <v>44417</v>
      </c>
      <c r="M1898" t="s">
        <v>943</v>
      </c>
      <c r="N1898" t="s">
        <v>944</v>
      </c>
      <c r="O1898">
        <v>312</v>
      </c>
      <c r="P1898" t="s">
        <v>942</v>
      </c>
    </row>
    <row r="1899" spans="1:16" ht="15" customHeight="1" x14ac:dyDescent="0.4">
      <c r="A1899" t="s">
        <v>15</v>
      </c>
      <c r="B1899" t="s">
        <v>16</v>
      </c>
      <c r="C1899" s="13">
        <v>44197</v>
      </c>
      <c r="D1899" s="13">
        <v>44561</v>
      </c>
      <c r="E1899" t="s">
        <v>17</v>
      </c>
      <c r="F1899">
        <v>0</v>
      </c>
      <c r="G1899" t="s">
        <v>420</v>
      </c>
      <c r="H1899">
        <v>4</v>
      </c>
      <c r="I1899" t="s">
        <v>421</v>
      </c>
      <c r="J1899">
        <v>858</v>
      </c>
      <c r="K1899" t="s">
        <v>458</v>
      </c>
      <c r="L1899" s="13">
        <v>44442</v>
      </c>
      <c r="M1899" t="s">
        <v>945</v>
      </c>
      <c r="N1899" t="s">
        <v>946</v>
      </c>
      <c r="O1899">
        <v>312</v>
      </c>
      <c r="P1899" t="s">
        <v>942</v>
      </c>
    </row>
    <row r="1900" spans="1:16" ht="15" customHeight="1" x14ac:dyDescent="0.4">
      <c r="A1900" t="s">
        <v>15</v>
      </c>
      <c r="B1900" t="s">
        <v>16</v>
      </c>
      <c r="C1900" s="13">
        <v>44197</v>
      </c>
      <c r="D1900" s="13">
        <v>44561</v>
      </c>
      <c r="E1900" t="s">
        <v>17</v>
      </c>
      <c r="F1900">
        <v>0</v>
      </c>
      <c r="G1900" t="s">
        <v>420</v>
      </c>
      <c r="H1900">
        <v>4</v>
      </c>
      <c r="I1900" t="s">
        <v>421</v>
      </c>
      <c r="J1900">
        <v>892</v>
      </c>
      <c r="K1900" t="s">
        <v>462</v>
      </c>
      <c r="L1900" s="13">
        <v>44561</v>
      </c>
      <c r="M1900" t="s">
        <v>463</v>
      </c>
      <c r="N1900" t="s">
        <v>46</v>
      </c>
      <c r="O1900">
        <v>-7602.97</v>
      </c>
      <c r="P1900" t="s">
        <v>46</v>
      </c>
    </row>
    <row r="1901" spans="1:16" ht="15" customHeight="1" x14ac:dyDescent="0.4">
      <c r="A1901" t="s">
        <v>15</v>
      </c>
      <c r="B1901" t="s">
        <v>16</v>
      </c>
      <c r="C1901" s="13">
        <v>44197</v>
      </c>
      <c r="D1901" s="13">
        <v>44561</v>
      </c>
      <c r="E1901" t="s">
        <v>17</v>
      </c>
      <c r="F1901">
        <v>0</v>
      </c>
      <c r="G1901" t="s">
        <v>420</v>
      </c>
      <c r="H1901">
        <v>4</v>
      </c>
      <c r="I1901" t="s">
        <v>421</v>
      </c>
      <c r="J1901">
        <v>909</v>
      </c>
      <c r="K1901" t="s">
        <v>464</v>
      </c>
      <c r="L1901" s="13">
        <v>44561</v>
      </c>
      <c r="M1901" t="s">
        <v>854</v>
      </c>
      <c r="N1901" t="s">
        <v>46</v>
      </c>
      <c r="O1901">
        <v>46967.839999999997</v>
      </c>
      <c r="P1901" t="s">
        <v>46</v>
      </c>
    </row>
    <row r="1902" spans="1:16" ht="15" customHeight="1" x14ac:dyDescent="0.4">
      <c r="A1902" t="s">
        <v>15</v>
      </c>
      <c r="B1902" t="s">
        <v>16</v>
      </c>
      <c r="C1902" s="13">
        <v>44197</v>
      </c>
      <c r="D1902" s="13">
        <v>44561</v>
      </c>
      <c r="E1902" t="s">
        <v>17</v>
      </c>
      <c r="F1902">
        <v>0</v>
      </c>
      <c r="G1902" t="s">
        <v>420</v>
      </c>
      <c r="H1902">
        <v>4</v>
      </c>
      <c r="I1902" t="s">
        <v>421</v>
      </c>
      <c r="J1902">
        <v>935</v>
      </c>
      <c r="K1902" t="s">
        <v>465</v>
      </c>
      <c r="L1902" s="13">
        <v>44561</v>
      </c>
      <c r="M1902" t="s">
        <v>466</v>
      </c>
      <c r="N1902" t="s">
        <v>46</v>
      </c>
      <c r="O1902">
        <v>-1356.09</v>
      </c>
      <c r="P1902" t="s">
        <v>46</v>
      </c>
    </row>
    <row r="1903" spans="1:16" ht="15" customHeight="1" x14ac:dyDescent="0.4">
      <c r="A1903" t="s">
        <v>15</v>
      </c>
      <c r="B1903" t="s">
        <v>16</v>
      </c>
      <c r="C1903" s="13">
        <v>44197</v>
      </c>
      <c r="D1903" s="13">
        <v>44561</v>
      </c>
      <c r="E1903" t="s">
        <v>30</v>
      </c>
      <c r="F1903">
        <v>0</v>
      </c>
      <c r="G1903" t="s">
        <v>467</v>
      </c>
      <c r="H1903">
        <v>17</v>
      </c>
      <c r="I1903" t="s">
        <v>468</v>
      </c>
      <c r="J1903">
        <v>233</v>
      </c>
      <c r="K1903" t="s">
        <v>473</v>
      </c>
      <c r="L1903" s="13">
        <v>44361</v>
      </c>
      <c r="M1903" t="s">
        <v>947</v>
      </c>
      <c r="N1903" t="s">
        <v>948</v>
      </c>
      <c r="O1903">
        <v>769.7</v>
      </c>
      <c r="P1903" t="s">
        <v>949</v>
      </c>
    </row>
    <row r="1904" spans="1:16" ht="15" customHeight="1" x14ac:dyDescent="0.4">
      <c r="A1904" t="s">
        <v>15</v>
      </c>
      <c r="B1904" t="s">
        <v>16</v>
      </c>
      <c r="C1904" s="13">
        <v>44197</v>
      </c>
      <c r="D1904" s="13">
        <v>44561</v>
      </c>
      <c r="E1904" t="s">
        <v>30</v>
      </c>
      <c r="F1904">
        <v>0</v>
      </c>
      <c r="G1904" t="s">
        <v>467</v>
      </c>
      <c r="H1904">
        <v>17</v>
      </c>
      <c r="I1904" t="s">
        <v>468</v>
      </c>
      <c r="J1904">
        <v>236</v>
      </c>
      <c r="K1904" t="s">
        <v>950</v>
      </c>
      <c r="L1904" s="13">
        <v>44404</v>
      </c>
      <c r="M1904" t="s">
        <v>951</v>
      </c>
      <c r="N1904" t="s">
        <v>952</v>
      </c>
      <c r="O1904">
        <v>137.5</v>
      </c>
      <c r="P1904" t="s">
        <v>3945</v>
      </c>
    </row>
    <row r="1905" spans="1:16" ht="15" customHeight="1" x14ac:dyDescent="0.4">
      <c r="A1905" t="s">
        <v>15</v>
      </c>
      <c r="B1905" t="s">
        <v>16</v>
      </c>
      <c r="C1905" s="13">
        <v>44197</v>
      </c>
      <c r="D1905" s="13">
        <v>44561</v>
      </c>
      <c r="E1905" t="s">
        <v>17</v>
      </c>
      <c r="F1905">
        <v>0</v>
      </c>
      <c r="G1905" t="s">
        <v>467</v>
      </c>
      <c r="H1905">
        <v>17</v>
      </c>
      <c r="I1905" t="s">
        <v>468</v>
      </c>
      <c r="J1905">
        <v>401</v>
      </c>
      <c r="K1905" t="s">
        <v>476</v>
      </c>
      <c r="L1905" s="13">
        <v>44561</v>
      </c>
      <c r="M1905" t="s">
        <v>477</v>
      </c>
      <c r="N1905" t="s">
        <v>46</v>
      </c>
      <c r="O1905">
        <v>7602.97</v>
      </c>
      <c r="P1905" t="s">
        <v>46</v>
      </c>
    </row>
    <row r="1906" spans="1:16" ht="15" customHeight="1" x14ac:dyDescent="0.4">
      <c r="A1906" t="s">
        <v>15</v>
      </c>
      <c r="B1906" t="s">
        <v>16</v>
      </c>
      <c r="C1906" s="13">
        <v>44197</v>
      </c>
      <c r="D1906" s="13">
        <v>44561</v>
      </c>
      <c r="E1906" t="s">
        <v>17</v>
      </c>
      <c r="F1906">
        <v>0</v>
      </c>
      <c r="G1906" t="s">
        <v>478</v>
      </c>
      <c r="H1906">
        <v>55</v>
      </c>
      <c r="I1906" t="s">
        <v>479</v>
      </c>
      <c r="J1906">
        <v>282</v>
      </c>
      <c r="K1906" t="s">
        <v>480</v>
      </c>
      <c r="L1906" s="13">
        <v>44561</v>
      </c>
      <c r="M1906" t="s">
        <v>954</v>
      </c>
      <c r="N1906" t="s">
        <v>86</v>
      </c>
      <c r="O1906">
        <v>7394.16</v>
      </c>
      <c r="P1906" t="s">
        <v>46</v>
      </c>
    </row>
    <row r="1907" spans="1:16" ht="15" customHeight="1" x14ac:dyDescent="0.4">
      <c r="A1907" t="s">
        <v>15</v>
      </c>
      <c r="B1907" t="s">
        <v>16</v>
      </c>
      <c r="C1907" s="13">
        <v>44197</v>
      </c>
      <c r="D1907" s="13">
        <v>44561</v>
      </c>
      <c r="E1907" t="s">
        <v>17</v>
      </c>
      <c r="F1907">
        <v>0</v>
      </c>
      <c r="G1907" t="s">
        <v>482</v>
      </c>
      <c r="H1907">
        <v>60</v>
      </c>
      <c r="I1907" t="s">
        <v>483</v>
      </c>
      <c r="J1907">
        <v>881</v>
      </c>
      <c r="K1907" t="s">
        <v>327</v>
      </c>
      <c r="L1907" s="13">
        <v>44356</v>
      </c>
      <c r="M1907" t="s">
        <v>955</v>
      </c>
      <c r="N1907" t="s">
        <v>956</v>
      </c>
      <c r="O1907">
        <v>1273.83</v>
      </c>
      <c r="P1907" t="s">
        <v>374</v>
      </c>
    </row>
    <row r="1908" spans="1:16" ht="15" customHeight="1" x14ac:dyDescent="0.4">
      <c r="A1908" t="s">
        <v>15</v>
      </c>
      <c r="B1908" t="s">
        <v>16</v>
      </c>
      <c r="C1908" s="13">
        <v>44197</v>
      </c>
      <c r="D1908" s="13">
        <v>44561</v>
      </c>
      <c r="E1908" t="s">
        <v>17</v>
      </c>
      <c r="F1908">
        <v>0</v>
      </c>
      <c r="G1908" t="s">
        <v>482</v>
      </c>
      <c r="H1908">
        <v>60</v>
      </c>
      <c r="I1908" t="s">
        <v>483</v>
      </c>
      <c r="J1908">
        <v>881</v>
      </c>
      <c r="K1908" t="s">
        <v>327</v>
      </c>
      <c r="L1908" s="13">
        <v>44561</v>
      </c>
      <c r="M1908" t="s">
        <v>486</v>
      </c>
      <c r="N1908" t="s">
        <v>329</v>
      </c>
      <c r="O1908">
        <v>-29.62</v>
      </c>
      <c r="P1908" t="s">
        <v>46</v>
      </c>
    </row>
    <row r="1909" spans="1:16" ht="15" customHeight="1" x14ac:dyDescent="0.4">
      <c r="A1909" t="s">
        <v>15</v>
      </c>
      <c r="B1909" t="s">
        <v>16</v>
      </c>
      <c r="C1909" s="13">
        <v>44197</v>
      </c>
      <c r="D1909" s="13">
        <v>44561</v>
      </c>
      <c r="E1909" t="s">
        <v>17</v>
      </c>
      <c r="F1909">
        <v>1</v>
      </c>
      <c r="G1909" t="s">
        <v>18</v>
      </c>
      <c r="H1909">
        <v>1</v>
      </c>
      <c r="I1909" t="s">
        <v>19</v>
      </c>
      <c r="J1909">
        <v>205</v>
      </c>
      <c r="K1909" t="s">
        <v>344</v>
      </c>
      <c r="L1909" s="13">
        <v>44502</v>
      </c>
      <c r="M1909" t="s">
        <v>957</v>
      </c>
      <c r="N1909" t="s">
        <v>958</v>
      </c>
      <c r="O1909">
        <v>352</v>
      </c>
      <c r="P1909" t="s">
        <v>347</v>
      </c>
    </row>
    <row r="1910" spans="1:16" ht="15" customHeight="1" x14ac:dyDescent="0.4">
      <c r="A1910" t="s">
        <v>15</v>
      </c>
      <c r="B1910" t="s">
        <v>16</v>
      </c>
      <c r="C1910" s="13">
        <v>44197</v>
      </c>
      <c r="D1910" s="13">
        <v>44561</v>
      </c>
      <c r="E1910" t="s">
        <v>17</v>
      </c>
      <c r="F1910">
        <v>1</v>
      </c>
      <c r="G1910" t="s">
        <v>18</v>
      </c>
      <c r="H1910">
        <v>1</v>
      </c>
      <c r="I1910" t="s">
        <v>19</v>
      </c>
      <c r="J1910">
        <v>205</v>
      </c>
      <c r="K1910" t="s">
        <v>344</v>
      </c>
      <c r="L1910" s="13">
        <v>44532</v>
      </c>
      <c r="M1910" t="s">
        <v>959</v>
      </c>
      <c r="N1910" t="s">
        <v>960</v>
      </c>
      <c r="O1910">
        <v>825</v>
      </c>
      <c r="P1910" t="s">
        <v>347</v>
      </c>
    </row>
    <row r="1911" spans="1:16" ht="15" customHeight="1" x14ac:dyDescent="0.4">
      <c r="A1911" t="s">
        <v>15</v>
      </c>
      <c r="B1911" t="s">
        <v>16</v>
      </c>
      <c r="C1911" s="13">
        <v>44197</v>
      </c>
      <c r="D1911" s="13">
        <v>44561</v>
      </c>
      <c r="E1911" t="s">
        <v>30</v>
      </c>
      <c r="F1911">
        <v>1</v>
      </c>
      <c r="G1911" t="s">
        <v>18</v>
      </c>
      <c r="H1911">
        <v>1</v>
      </c>
      <c r="I1911" t="s">
        <v>19</v>
      </c>
      <c r="J1911">
        <v>236</v>
      </c>
      <c r="K1911" t="s">
        <v>950</v>
      </c>
      <c r="L1911" s="13">
        <v>44518</v>
      </c>
      <c r="M1911" t="s">
        <v>951</v>
      </c>
      <c r="N1911" t="s">
        <v>961</v>
      </c>
      <c r="O1911">
        <v>137.5</v>
      </c>
      <c r="P1911" t="s">
        <v>3945</v>
      </c>
    </row>
    <row r="1912" spans="1:16" ht="15" customHeight="1" x14ac:dyDescent="0.4">
      <c r="A1912" t="s">
        <v>15</v>
      </c>
      <c r="B1912" t="s">
        <v>16</v>
      </c>
      <c r="C1912" s="13">
        <v>44197</v>
      </c>
      <c r="D1912" s="13">
        <v>44561</v>
      </c>
      <c r="E1912" t="s">
        <v>17</v>
      </c>
      <c r="F1912">
        <v>1</v>
      </c>
      <c r="G1912" t="s">
        <v>18</v>
      </c>
      <c r="H1912">
        <v>1</v>
      </c>
      <c r="I1912" t="s">
        <v>19</v>
      </c>
      <c r="J1912">
        <v>242</v>
      </c>
      <c r="K1912" t="s">
        <v>487</v>
      </c>
      <c r="L1912" s="13">
        <v>44561</v>
      </c>
      <c r="M1912" t="s">
        <v>866</v>
      </c>
      <c r="N1912" t="s">
        <v>45</v>
      </c>
      <c r="O1912">
        <v>334.98</v>
      </c>
      <c r="P1912" t="s">
        <v>46</v>
      </c>
    </row>
    <row r="1913" spans="1:16" ht="15" customHeight="1" x14ac:dyDescent="0.4">
      <c r="A1913" t="s">
        <v>15</v>
      </c>
      <c r="B1913" t="s">
        <v>16</v>
      </c>
      <c r="C1913" s="13">
        <v>44197</v>
      </c>
      <c r="D1913" s="13">
        <v>44561</v>
      </c>
      <c r="E1913" t="s">
        <v>17</v>
      </c>
      <c r="F1913">
        <v>1</v>
      </c>
      <c r="G1913" t="s">
        <v>18</v>
      </c>
      <c r="H1913">
        <v>1</v>
      </c>
      <c r="I1913" t="s">
        <v>19</v>
      </c>
      <c r="J1913">
        <v>269</v>
      </c>
      <c r="K1913" t="s">
        <v>3671</v>
      </c>
      <c r="L1913" s="13">
        <v>44216</v>
      </c>
      <c r="M1913" t="s">
        <v>351</v>
      </c>
      <c r="N1913" t="s">
        <v>639</v>
      </c>
      <c r="O1913">
        <v>6.78</v>
      </c>
      <c r="P1913" t="s">
        <v>52</v>
      </c>
    </row>
    <row r="1914" spans="1:16" ht="15" customHeight="1" x14ac:dyDescent="0.4">
      <c r="A1914" t="s">
        <v>15</v>
      </c>
      <c r="B1914" t="s">
        <v>16</v>
      </c>
      <c r="C1914" s="13">
        <v>44197</v>
      </c>
      <c r="D1914" s="13">
        <v>44561</v>
      </c>
      <c r="E1914" t="s">
        <v>17</v>
      </c>
      <c r="F1914">
        <v>1</v>
      </c>
      <c r="G1914" t="s">
        <v>18</v>
      </c>
      <c r="H1914">
        <v>1</v>
      </c>
      <c r="I1914" t="s">
        <v>19</v>
      </c>
      <c r="J1914">
        <v>269</v>
      </c>
      <c r="K1914" t="s">
        <v>3671</v>
      </c>
      <c r="L1914" s="13">
        <v>44275</v>
      </c>
      <c r="M1914" t="s">
        <v>351</v>
      </c>
      <c r="N1914" t="s">
        <v>640</v>
      </c>
      <c r="O1914">
        <v>8.2200000000000006</v>
      </c>
      <c r="P1914" t="s">
        <v>52</v>
      </c>
    </row>
    <row r="1915" spans="1:16" ht="15" customHeight="1" x14ac:dyDescent="0.4">
      <c r="A1915" t="s">
        <v>15</v>
      </c>
      <c r="B1915" t="s">
        <v>16</v>
      </c>
      <c r="C1915" s="13">
        <v>44197</v>
      </c>
      <c r="D1915" s="13">
        <v>44561</v>
      </c>
      <c r="E1915" t="s">
        <v>17</v>
      </c>
      <c r="F1915">
        <v>1</v>
      </c>
      <c r="G1915" t="s">
        <v>18</v>
      </c>
      <c r="H1915">
        <v>1</v>
      </c>
      <c r="I1915" t="s">
        <v>19</v>
      </c>
      <c r="J1915">
        <v>269</v>
      </c>
      <c r="K1915" t="s">
        <v>3671</v>
      </c>
      <c r="L1915" s="13">
        <v>44336</v>
      </c>
      <c r="M1915" t="s">
        <v>351</v>
      </c>
      <c r="N1915" t="s">
        <v>641</v>
      </c>
      <c r="O1915">
        <v>20.47</v>
      </c>
      <c r="P1915" t="s">
        <v>52</v>
      </c>
    </row>
    <row r="1916" spans="1:16" ht="15" customHeight="1" x14ac:dyDescent="0.4">
      <c r="A1916" t="s">
        <v>15</v>
      </c>
      <c r="B1916" t="s">
        <v>16</v>
      </c>
      <c r="C1916" s="13">
        <v>44197</v>
      </c>
      <c r="D1916" s="13">
        <v>44561</v>
      </c>
      <c r="E1916" t="s">
        <v>17</v>
      </c>
      <c r="F1916">
        <v>1</v>
      </c>
      <c r="G1916" t="s">
        <v>18</v>
      </c>
      <c r="H1916">
        <v>1</v>
      </c>
      <c r="I1916" t="s">
        <v>19</v>
      </c>
      <c r="J1916">
        <v>269</v>
      </c>
      <c r="K1916" t="s">
        <v>3671</v>
      </c>
      <c r="L1916" s="13">
        <v>44397</v>
      </c>
      <c r="M1916" t="s">
        <v>351</v>
      </c>
      <c r="N1916" t="s">
        <v>642</v>
      </c>
      <c r="O1916">
        <v>27.95</v>
      </c>
      <c r="P1916" t="s">
        <v>52</v>
      </c>
    </row>
    <row r="1917" spans="1:16" ht="15" customHeight="1" x14ac:dyDescent="0.4">
      <c r="A1917" t="s">
        <v>15</v>
      </c>
      <c r="B1917" t="s">
        <v>16</v>
      </c>
      <c r="C1917" s="13">
        <v>44197</v>
      </c>
      <c r="D1917" s="13">
        <v>44561</v>
      </c>
      <c r="E1917" t="s">
        <v>17</v>
      </c>
      <c r="F1917">
        <v>1</v>
      </c>
      <c r="G1917" t="s">
        <v>18</v>
      </c>
      <c r="H1917">
        <v>1</v>
      </c>
      <c r="I1917" t="s">
        <v>19</v>
      </c>
      <c r="J1917">
        <v>269</v>
      </c>
      <c r="K1917" t="s">
        <v>3671</v>
      </c>
      <c r="L1917" s="13">
        <v>44431</v>
      </c>
      <c r="M1917" t="s">
        <v>351</v>
      </c>
      <c r="N1917" t="s">
        <v>643</v>
      </c>
      <c r="O1917">
        <v>14.74</v>
      </c>
      <c r="P1917" t="s">
        <v>52</v>
      </c>
    </row>
    <row r="1918" spans="1:16" ht="15" customHeight="1" x14ac:dyDescent="0.4">
      <c r="A1918" t="s">
        <v>15</v>
      </c>
      <c r="B1918" t="s">
        <v>16</v>
      </c>
      <c r="C1918" s="13">
        <v>44197</v>
      </c>
      <c r="D1918" s="13">
        <v>44561</v>
      </c>
      <c r="E1918" t="s">
        <v>17</v>
      </c>
      <c r="F1918">
        <v>1</v>
      </c>
      <c r="G1918" t="s">
        <v>18</v>
      </c>
      <c r="H1918">
        <v>1</v>
      </c>
      <c r="I1918" t="s">
        <v>19</v>
      </c>
      <c r="J1918">
        <v>269</v>
      </c>
      <c r="K1918" t="s">
        <v>3671</v>
      </c>
      <c r="L1918" s="13">
        <v>44459</v>
      </c>
      <c r="M1918" t="s">
        <v>351</v>
      </c>
      <c r="N1918" t="s">
        <v>644</v>
      </c>
      <c r="O1918">
        <v>16</v>
      </c>
      <c r="P1918" t="s">
        <v>52</v>
      </c>
    </row>
    <row r="1919" spans="1:16" ht="15" customHeight="1" x14ac:dyDescent="0.4">
      <c r="A1919" t="s">
        <v>15</v>
      </c>
      <c r="B1919" t="s">
        <v>16</v>
      </c>
      <c r="C1919" s="13">
        <v>44197</v>
      </c>
      <c r="D1919" s="13">
        <v>44561</v>
      </c>
      <c r="E1919" t="s">
        <v>17</v>
      </c>
      <c r="F1919">
        <v>1</v>
      </c>
      <c r="G1919" t="s">
        <v>18</v>
      </c>
      <c r="H1919">
        <v>1</v>
      </c>
      <c r="I1919" t="s">
        <v>19</v>
      </c>
      <c r="J1919">
        <v>269</v>
      </c>
      <c r="K1919" t="s">
        <v>3671</v>
      </c>
      <c r="L1919" s="13">
        <v>44490</v>
      </c>
      <c r="M1919" t="s">
        <v>351</v>
      </c>
      <c r="N1919" t="s">
        <v>645</v>
      </c>
      <c r="O1919">
        <v>14.31</v>
      </c>
      <c r="P1919" t="s">
        <v>52</v>
      </c>
    </row>
    <row r="1920" spans="1:16" ht="15" customHeight="1" x14ac:dyDescent="0.4">
      <c r="A1920" t="s">
        <v>15</v>
      </c>
      <c r="B1920" t="s">
        <v>16</v>
      </c>
      <c r="C1920" s="13">
        <v>44197</v>
      </c>
      <c r="D1920" s="13">
        <v>44561</v>
      </c>
      <c r="E1920" t="s">
        <v>17</v>
      </c>
      <c r="F1920">
        <v>1</v>
      </c>
      <c r="G1920" t="s">
        <v>18</v>
      </c>
      <c r="H1920">
        <v>1</v>
      </c>
      <c r="I1920" t="s">
        <v>19</v>
      </c>
      <c r="J1920">
        <v>269</v>
      </c>
      <c r="K1920" t="s">
        <v>3671</v>
      </c>
      <c r="L1920" s="13">
        <v>44520</v>
      </c>
      <c r="M1920" t="s">
        <v>351</v>
      </c>
      <c r="N1920" t="s">
        <v>646</v>
      </c>
      <c r="O1920">
        <v>9.36</v>
      </c>
      <c r="P1920" t="s">
        <v>52</v>
      </c>
    </row>
    <row r="1921" spans="1:16" ht="15" customHeight="1" x14ac:dyDescent="0.4">
      <c r="A1921" t="s">
        <v>15</v>
      </c>
      <c r="B1921" t="s">
        <v>16</v>
      </c>
      <c r="C1921" s="13">
        <v>44197</v>
      </c>
      <c r="D1921" s="13">
        <v>44561</v>
      </c>
      <c r="E1921" t="s">
        <v>17</v>
      </c>
      <c r="F1921">
        <v>1</v>
      </c>
      <c r="G1921" t="s">
        <v>18</v>
      </c>
      <c r="H1921">
        <v>1</v>
      </c>
      <c r="I1921" t="s">
        <v>19</v>
      </c>
      <c r="J1921">
        <v>269</v>
      </c>
      <c r="K1921" t="s">
        <v>3671</v>
      </c>
      <c r="L1921" s="13">
        <v>44550</v>
      </c>
      <c r="M1921" t="s">
        <v>351</v>
      </c>
      <c r="N1921" t="s">
        <v>647</v>
      </c>
      <c r="O1921">
        <v>3.05</v>
      </c>
      <c r="P1921" t="s">
        <v>52</v>
      </c>
    </row>
    <row r="1922" spans="1:16" ht="15" customHeight="1" x14ac:dyDescent="0.4">
      <c r="A1922" t="s">
        <v>15</v>
      </c>
      <c r="B1922" t="s">
        <v>16</v>
      </c>
      <c r="C1922" s="13">
        <v>44197</v>
      </c>
      <c r="D1922" s="13">
        <v>44561</v>
      </c>
      <c r="E1922" t="s">
        <v>17</v>
      </c>
      <c r="F1922">
        <v>1</v>
      </c>
      <c r="G1922" t="s">
        <v>18</v>
      </c>
      <c r="H1922">
        <v>1</v>
      </c>
      <c r="I1922" t="s">
        <v>19</v>
      </c>
      <c r="J1922">
        <v>401</v>
      </c>
      <c r="K1922" t="s">
        <v>476</v>
      </c>
      <c r="L1922" s="13">
        <v>44561</v>
      </c>
      <c r="M1922" t="s">
        <v>962</v>
      </c>
      <c r="N1922" t="s">
        <v>46</v>
      </c>
      <c r="O1922">
        <v>1356.09</v>
      </c>
      <c r="P1922" t="s">
        <v>46</v>
      </c>
    </row>
    <row r="1923" spans="1:16" ht="15" customHeight="1" x14ac:dyDescent="0.4">
      <c r="A1923" t="s">
        <v>15</v>
      </c>
      <c r="B1923" t="s">
        <v>16</v>
      </c>
      <c r="C1923" s="13">
        <v>44197</v>
      </c>
      <c r="D1923" s="13">
        <v>44561</v>
      </c>
      <c r="E1923" t="s">
        <v>17</v>
      </c>
      <c r="F1923">
        <v>1</v>
      </c>
      <c r="G1923" t="s">
        <v>18</v>
      </c>
      <c r="H1923">
        <v>1</v>
      </c>
      <c r="I1923" t="s">
        <v>19</v>
      </c>
      <c r="J1923">
        <v>702</v>
      </c>
      <c r="K1923" t="s">
        <v>275</v>
      </c>
      <c r="L1923" s="13">
        <v>44561</v>
      </c>
      <c r="M1923" t="s">
        <v>450</v>
      </c>
      <c r="N1923" t="s">
        <v>46</v>
      </c>
      <c r="O1923">
        <v>20.5</v>
      </c>
      <c r="P1923" t="s">
        <v>46</v>
      </c>
    </row>
    <row r="1924" spans="1:16" ht="15" customHeight="1" x14ac:dyDescent="0.4">
      <c r="A1924" t="s">
        <v>15</v>
      </c>
      <c r="B1924" t="s">
        <v>16</v>
      </c>
      <c r="C1924" s="13">
        <v>44197</v>
      </c>
      <c r="D1924" s="13">
        <v>44561</v>
      </c>
      <c r="E1924" t="s">
        <v>17</v>
      </c>
      <c r="F1924">
        <v>1</v>
      </c>
      <c r="G1924" t="s">
        <v>18</v>
      </c>
      <c r="H1924">
        <v>1</v>
      </c>
      <c r="I1924" t="s">
        <v>19</v>
      </c>
      <c r="J1924">
        <v>891</v>
      </c>
      <c r="K1924" t="s">
        <v>377</v>
      </c>
      <c r="L1924" s="13">
        <v>44561</v>
      </c>
      <c r="M1924" t="s">
        <v>880</v>
      </c>
      <c r="N1924" t="s">
        <v>46</v>
      </c>
      <c r="O1924">
        <v>11225.89</v>
      </c>
      <c r="P1924" t="s">
        <v>46</v>
      </c>
    </row>
    <row r="1925" spans="1:16" ht="15" customHeight="1" x14ac:dyDescent="0.4">
      <c r="A1925" t="s">
        <v>15</v>
      </c>
      <c r="B1925" t="s">
        <v>16</v>
      </c>
      <c r="C1925" s="13">
        <v>44197</v>
      </c>
      <c r="D1925" s="13">
        <v>44561</v>
      </c>
      <c r="E1925" t="s">
        <v>30</v>
      </c>
      <c r="F1925">
        <v>3</v>
      </c>
      <c r="G1925" t="s">
        <v>18</v>
      </c>
      <c r="H1925">
        <v>1</v>
      </c>
      <c r="I1925" t="s">
        <v>19</v>
      </c>
      <c r="J1925">
        <v>116</v>
      </c>
      <c r="K1925" t="s">
        <v>469</v>
      </c>
      <c r="L1925" s="13">
        <v>44442</v>
      </c>
      <c r="M1925" t="s">
        <v>963</v>
      </c>
      <c r="N1925" t="s">
        <v>964</v>
      </c>
      <c r="O1925">
        <v>254.71</v>
      </c>
      <c r="P1925" t="s">
        <v>965</v>
      </c>
    </row>
    <row r="1926" spans="1:16" ht="15" customHeight="1" x14ac:dyDescent="0.4">
      <c r="A1926" t="s">
        <v>15</v>
      </c>
      <c r="B1926" t="s">
        <v>16</v>
      </c>
      <c r="C1926" s="13">
        <v>44197</v>
      </c>
      <c r="D1926" s="13">
        <v>44561</v>
      </c>
      <c r="E1926" t="s">
        <v>17</v>
      </c>
      <c r="F1926">
        <v>3</v>
      </c>
      <c r="G1926" t="s">
        <v>18</v>
      </c>
      <c r="H1926">
        <v>1</v>
      </c>
      <c r="I1926" t="s">
        <v>19</v>
      </c>
      <c r="J1926">
        <v>205</v>
      </c>
      <c r="K1926" t="s">
        <v>344</v>
      </c>
      <c r="L1926" s="13">
        <v>44344</v>
      </c>
      <c r="M1926" t="s">
        <v>966</v>
      </c>
      <c r="N1926" t="s">
        <v>967</v>
      </c>
      <c r="O1926">
        <v>748</v>
      </c>
      <c r="P1926" t="s">
        <v>347</v>
      </c>
    </row>
    <row r="1927" spans="1:16" ht="15" customHeight="1" x14ac:dyDescent="0.4">
      <c r="A1927" t="s">
        <v>15</v>
      </c>
      <c r="B1927" t="s">
        <v>16</v>
      </c>
      <c r="C1927" s="13">
        <v>44197</v>
      </c>
      <c r="D1927" s="13">
        <v>44561</v>
      </c>
      <c r="E1927" t="s">
        <v>17</v>
      </c>
      <c r="F1927">
        <v>3</v>
      </c>
      <c r="G1927" t="s">
        <v>18</v>
      </c>
      <c r="H1927">
        <v>1</v>
      </c>
      <c r="I1927" t="s">
        <v>19</v>
      </c>
      <c r="J1927">
        <v>242</v>
      </c>
      <c r="K1927" t="s">
        <v>348</v>
      </c>
      <c r="L1927" s="13">
        <v>44561</v>
      </c>
      <c r="M1927" t="s">
        <v>866</v>
      </c>
      <c r="N1927" t="s">
        <v>45</v>
      </c>
      <c r="O1927">
        <v>111.66</v>
      </c>
      <c r="P1927" t="s">
        <v>46</v>
      </c>
    </row>
    <row r="1928" spans="1:16" ht="15" customHeight="1" x14ac:dyDescent="0.4">
      <c r="A1928" t="s">
        <v>15</v>
      </c>
      <c r="B1928" t="s">
        <v>16</v>
      </c>
      <c r="C1928" s="13">
        <v>44197</v>
      </c>
      <c r="D1928" s="13">
        <v>44561</v>
      </c>
      <c r="E1928" t="s">
        <v>17</v>
      </c>
      <c r="F1928">
        <v>3</v>
      </c>
      <c r="G1928" t="s">
        <v>18</v>
      </c>
      <c r="H1928">
        <v>1</v>
      </c>
      <c r="I1928" t="s">
        <v>19</v>
      </c>
      <c r="J1928">
        <v>269</v>
      </c>
      <c r="K1928" t="s">
        <v>3674</v>
      </c>
      <c r="L1928" s="13">
        <v>44216</v>
      </c>
      <c r="M1928" t="s">
        <v>351</v>
      </c>
      <c r="N1928" t="s">
        <v>639</v>
      </c>
      <c r="O1928">
        <v>6.65</v>
      </c>
      <c r="P1928" t="s">
        <v>52</v>
      </c>
    </row>
    <row r="1929" spans="1:16" ht="15" customHeight="1" x14ac:dyDescent="0.4">
      <c r="A1929" t="s">
        <v>15</v>
      </c>
      <c r="B1929" t="s">
        <v>16</v>
      </c>
      <c r="C1929" s="13">
        <v>44197</v>
      </c>
      <c r="D1929" s="13">
        <v>44561</v>
      </c>
      <c r="E1929" t="s">
        <v>17</v>
      </c>
      <c r="F1929">
        <v>3</v>
      </c>
      <c r="G1929" t="s">
        <v>18</v>
      </c>
      <c r="H1929">
        <v>1</v>
      </c>
      <c r="I1929" t="s">
        <v>19</v>
      </c>
      <c r="J1929">
        <v>269</v>
      </c>
      <c r="K1929" t="s">
        <v>3674</v>
      </c>
      <c r="L1929" s="13">
        <v>44275</v>
      </c>
      <c r="M1929" t="s">
        <v>351</v>
      </c>
      <c r="N1929" t="s">
        <v>640</v>
      </c>
      <c r="O1929">
        <v>8.06</v>
      </c>
      <c r="P1929" t="s">
        <v>52</v>
      </c>
    </row>
    <row r="1930" spans="1:16" ht="15" customHeight="1" x14ac:dyDescent="0.4">
      <c r="A1930" t="s">
        <v>15</v>
      </c>
      <c r="B1930" t="s">
        <v>16</v>
      </c>
      <c r="C1930" s="13">
        <v>44197</v>
      </c>
      <c r="D1930" s="13">
        <v>44561</v>
      </c>
      <c r="E1930" t="s">
        <v>17</v>
      </c>
      <c r="F1930">
        <v>3</v>
      </c>
      <c r="G1930" t="s">
        <v>18</v>
      </c>
      <c r="H1930">
        <v>1</v>
      </c>
      <c r="I1930" t="s">
        <v>19</v>
      </c>
      <c r="J1930">
        <v>269</v>
      </c>
      <c r="K1930" t="s">
        <v>3674</v>
      </c>
      <c r="L1930" s="13">
        <v>44336</v>
      </c>
      <c r="M1930" t="s">
        <v>351</v>
      </c>
      <c r="N1930" t="s">
        <v>641</v>
      </c>
      <c r="O1930">
        <v>20.059999999999999</v>
      </c>
      <c r="P1930" t="s">
        <v>52</v>
      </c>
    </row>
    <row r="1931" spans="1:16" ht="15" customHeight="1" x14ac:dyDescent="0.4">
      <c r="A1931" t="s">
        <v>15</v>
      </c>
      <c r="B1931" t="s">
        <v>16</v>
      </c>
      <c r="C1931" s="13">
        <v>44197</v>
      </c>
      <c r="D1931" s="13">
        <v>44561</v>
      </c>
      <c r="E1931" t="s">
        <v>17</v>
      </c>
      <c r="F1931">
        <v>3</v>
      </c>
      <c r="G1931" t="s">
        <v>18</v>
      </c>
      <c r="H1931">
        <v>1</v>
      </c>
      <c r="I1931" t="s">
        <v>19</v>
      </c>
      <c r="J1931">
        <v>269</v>
      </c>
      <c r="K1931" t="s">
        <v>3674</v>
      </c>
      <c r="L1931" s="13">
        <v>44397</v>
      </c>
      <c r="M1931" t="s">
        <v>351</v>
      </c>
      <c r="N1931" t="s">
        <v>642</v>
      </c>
      <c r="O1931">
        <v>27.39</v>
      </c>
      <c r="P1931" t="s">
        <v>52</v>
      </c>
    </row>
    <row r="1932" spans="1:16" ht="15" customHeight="1" x14ac:dyDescent="0.4">
      <c r="A1932" t="s">
        <v>15</v>
      </c>
      <c r="B1932" t="s">
        <v>16</v>
      </c>
      <c r="C1932" s="13">
        <v>44197</v>
      </c>
      <c r="D1932" s="13">
        <v>44561</v>
      </c>
      <c r="E1932" t="s">
        <v>17</v>
      </c>
      <c r="F1932">
        <v>3</v>
      </c>
      <c r="G1932" t="s">
        <v>18</v>
      </c>
      <c r="H1932">
        <v>1</v>
      </c>
      <c r="I1932" t="s">
        <v>19</v>
      </c>
      <c r="J1932">
        <v>269</v>
      </c>
      <c r="K1932" t="s">
        <v>3674</v>
      </c>
      <c r="L1932" s="13">
        <v>44431</v>
      </c>
      <c r="M1932" t="s">
        <v>351</v>
      </c>
      <c r="N1932" t="s">
        <v>643</v>
      </c>
      <c r="O1932">
        <v>14.44</v>
      </c>
      <c r="P1932" t="s">
        <v>52</v>
      </c>
    </row>
    <row r="1933" spans="1:16" ht="15" customHeight="1" x14ac:dyDescent="0.4">
      <c r="A1933" t="s">
        <v>15</v>
      </c>
      <c r="B1933" t="s">
        <v>16</v>
      </c>
      <c r="C1933" s="13">
        <v>44197</v>
      </c>
      <c r="D1933" s="13">
        <v>44561</v>
      </c>
      <c r="E1933" t="s">
        <v>17</v>
      </c>
      <c r="F1933">
        <v>3</v>
      </c>
      <c r="G1933" t="s">
        <v>18</v>
      </c>
      <c r="H1933">
        <v>1</v>
      </c>
      <c r="I1933" t="s">
        <v>19</v>
      </c>
      <c r="J1933">
        <v>269</v>
      </c>
      <c r="K1933" t="s">
        <v>3674</v>
      </c>
      <c r="L1933" s="13">
        <v>44459</v>
      </c>
      <c r="M1933" t="s">
        <v>351</v>
      </c>
      <c r="N1933" t="s">
        <v>644</v>
      </c>
      <c r="O1933">
        <v>15.68</v>
      </c>
      <c r="P1933" t="s">
        <v>52</v>
      </c>
    </row>
    <row r="1934" spans="1:16" ht="15" customHeight="1" x14ac:dyDescent="0.4">
      <c r="A1934" t="s">
        <v>15</v>
      </c>
      <c r="B1934" t="s">
        <v>16</v>
      </c>
      <c r="C1934" s="13">
        <v>44197</v>
      </c>
      <c r="D1934" s="13">
        <v>44561</v>
      </c>
      <c r="E1934" t="s">
        <v>17</v>
      </c>
      <c r="F1934">
        <v>3</v>
      </c>
      <c r="G1934" t="s">
        <v>18</v>
      </c>
      <c r="H1934">
        <v>1</v>
      </c>
      <c r="I1934" t="s">
        <v>19</v>
      </c>
      <c r="J1934">
        <v>269</v>
      </c>
      <c r="K1934" t="s">
        <v>3674</v>
      </c>
      <c r="L1934" s="13">
        <v>44490</v>
      </c>
      <c r="M1934" t="s">
        <v>351</v>
      </c>
      <c r="N1934" t="s">
        <v>645</v>
      </c>
      <c r="O1934">
        <v>14.03</v>
      </c>
      <c r="P1934" t="s">
        <v>52</v>
      </c>
    </row>
    <row r="1935" spans="1:16" ht="15" customHeight="1" x14ac:dyDescent="0.4">
      <c r="A1935" t="s">
        <v>15</v>
      </c>
      <c r="B1935" t="s">
        <v>16</v>
      </c>
      <c r="C1935" s="13">
        <v>44197</v>
      </c>
      <c r="D1935" s="13">
        <v>44561</v>
      </c>
      <c r="E1935" t="s">
        <v>17</v>
      </c>
      <c r="F1935">
        <v>3</v>
      </c>
      <c r="G1935" t="s">
        <v>18</v>
      </c>
      <c r="H1935">
        <v>1</v>
      </c>
      <c r="I1935" t="s">
        <v>19</v>
      </c>
      <c r="J1935">
        <v>269</v>
      </c>
      <c r="K1935" t="s">
        <v>3674</v>
      </c>
      <c r="L1935" s="13">
        <v>44520</v>
      </c>
      <c r="M1935" t="s">
        <v>351</v>
      </c>
      <c r="N1935" t="s">
        <v>646</v>
      </c>
      <c r="O1935">
        <v>9.17</v>
      </c>
      <c r="P1935" t="s">
        <v>52</v>
      </c>
    </row>
    <row r="1936" spans="1:16" ht="15" customHeight="1" x14ac:dyDescent="0.4">
      <c r="A1936" t="s">
        <v>15</v>
      </c>
      <c r="B1936" t="s">
        <v>16</v>
      </c>
      <c r="C1936" s="13">
        <v>44197</v>
      </c>
      <c r="D1936" s="13">
        <v>44561</v>
      </c>
      <c r="E1936" t="s">
        <v>17</v>
      </c>
      <c r="F1936">
        <v>3</v>
      </c>
      <c r="G1936" t="s">
        <v>18</v>
      </c>
      <c r="H1936">
        <v>1</v>
      </c>
      <c r="I1936" t="s">
        <v>19</v>
      </c>
      <c r="J1936">
        <v>269</v>
      </c>
      <c r="K1936" t="s">
        <v>3674</v>
      </c>
      <c r="L1936" s="13">
        <v>44550</v>
      </c>
      <c r="M1936" t="s">
        <v>351</v>
      </c>
      <c r="N1936" t="s">
        <v>647</v>
      </c>
      <c r="O1936">
        <v>2.99</v>
      </c>
      <c r="P1936" t="s">
        <v>52</v>
      </c>
    </row>
    <row r="1937" spans="1:16" ht="15" customHeight="1" x14ac:dyDescent="0.4">
      <c r="A1937" t="s">
        <v>15</v>
      </c>
      <c r="B1937" t="s">
        <v>16</v>
      </c>
      <c r="C1937" s="13">
        <v>44197</v>
      </c>
      <c r="D1937" s="13">
        <v>44561</v>
      </c>
      <c r="E1937" t="s">
        <v>17</v>
      </c>
      <c r="F1937">
        <v>3</v>
      </c>
      <c r="G1937" t="s">
        <v>18</v>
      </c>
      <c r="H1937">
        <v>1</v>
      </c>
      <c r="I1937" t="s">
        <v>19</v>
      </c>
      <c r="J1937">
        <v>441</v>
      </c>
      <c r="K1937" t="s">
        <v>268</v>
      </c>
      <c r="L1937" s="13">
        <v>44306</v>
      </c>
      <c r="M1937" t="s">
        <v>968</v>
      </c>
      <c r="N1937" t="s">
        <v>969</v>
      </c>
      <c r="O1937">
        <v>50.23</v>
      </c>
      <c r="P1937" t="s">
        <v>494</v>
      </c>
    </row>
    <row r="1938" spans="1:16" ht="15" customHeight="1" x14ac:dyDescent="0.4">
      <c r="A1938" t="s">
        <v>15</v>
      </c>
      <c r="B1938" t="s">
        <v>16</v>
      </c>
      <c r="C1938" s="13">
        <v>44197</v>
      </c>
      <c r="D1938" s="13">
        <v>44561</v>
      </c>
      <c r="E1938" t="s">
        <v>17</v>
      </c>
      <c r="F1938">
        <v>3</v>
      </c>
      <c r="G1938" t="s">
        <v>18</v>
      </c>
      <c r="H1938">
        <v>1</v>
      </c>
      <c r="I1938" t="s">
        <v>19</v>
      </c>
      <c r="J1938">
        <v>702</v>
      </c>
      <c r="K1938" t="s">
        <v>275</v>
      </c>
      <c r="L1938" s="13">
        <v>44561</v>
      </c>
      <c r="M1938" t="s">
        <v>499</v>
      </c>
      <c r="N1938" t="s">
        <v>46</v>
      </c>
      <c r="O1938">
        <v>61.49</v>
      </c>
      <c r="P1938" t="s">
        <v>46</v>
      </c>
    </row>
    <row r="1939" spans="1:16" ht="15" customHeight="1" x14ac:dyDescent="0.4">
      <c r="A1939" t="s">
        <v>15</v>
      </c>
      <c r="B1939" t="s">
        <v>16</v>
      </c>
      <c r="C1939" s="13">
        <v>44197</v>
      </c>
      <c r="D1939" s="13">
        <v>44561</v>
      </c>
      <c r="E1939" t="s">
        <v>17</v>
      </c>
      <c r="F1939">
        <v>3</v>
      </c>
      <c r="G1939" t="s">
        <v>18</v>
      </c>
      <c r="H1939">
        <v>1</v>
      </c>
      <c r="I1939" t="s">
        <v>19</v>
      </c>
      <c r="J1939">
        <v>883</v>
      </c>
      <c r="K1939" t="s">
        <v>371</v>
      </c>
      <c r="L1939" s="13">
        <v>44561</v>
      </c>
      <c r="M1939" t="s">
        <v>970</v>
      </c>
      <c r="N1939" t="s">
        <v>376</v>
      </c>
      <c r="O1939">
        <v>52.93</v>
      </c>
      <c r="P1939" t="s">
        <v>46</v>
      </c>
    </row>
    <row r="1940" spans="1:16" ht="15" customHeight="1" x14ac:dyDescent="0.4">
      <c r="A1940" t="s">
        <v>15</v>
      </c>
      <c r="B1940" t="s">
        <v>16</v>
      </c>
      <c r="C1940" s="13">
        <v>44197</v>
      </c>
      <c r="D1940" s="13">
        <v>44561</v>
      </c>
      <c r="E1940" t="s">
        <v>17</v>
      </c>
      <c r="F1940">
        <v>3</v>
      </c>
      <c r="G1940" t="s">
        <v>18</v>
      </c>
      <c r="H1940">
        <v>1</v>
      </c>
      <c r="I1940" t="s">
        <v>19</v>
      </c>
      <c r="J1940">
        <v>891</v>
      </c>
      <c r="K1940" t="s">
        <v>377</v>
      </c>
      <c r="L1940" s="13">
        <v>44561</v>
      </c>
      <c r="M1940" t="s">
        <v>880</v>
      </c>
      <c r="N1940" t="s">
        <v>46</v>
      </c>
      <c r="O1940">
        <v>9356.31</v>
      </c>
      <c r="P1940" t="s">
        <v>46</v>
      </c>
    </row>
    <row r="1941" spans="1:16" ht="15" customHeight="1" x14ac:dyDescent="0.4">
      <c r="A1941" t="s">
        <v>15</v>
      </c>
      <c r="B1941" t="s">
        <v>16</v>
      </c>
      <c r="C1941" s="13">
        <v>44197</v>
      </c>
      <c r="D1941" s="13">
        <v>44561</v>
      </c>
      <c r="E1941" t="s">
        <v>17</v>
      </c>
      <c r="F1941">
        <v>5</v>
      </c>
      <c r="G1941" t="s">
        <v>501</v>
      </c>
      <c r="H1941">
        <v>40</v>
      </c>
      <c r="I1941" t="s">
        <v>501</v>
      </c>
      <c r="J1941">
        <v>264</v>
      </c>
      <c r="K1941" t="s">
        <v>502</v>
      </c>
      <c r="L1941" s="13">
        <v>44216</v>
      </c>
      <c r="M1941" t="s">
        <v>351</v>
      </c>
      <c r="N1941" t="s">
        <v>639</v>
      </c>
      <c r="O1941">
        <v>6.92</v>
      </c>
      <c r="P1941" t="s">
        <v>52</v>
      </c>
    </row>
    <row r="1942" spans="1:16" ht="15" customHeight="1" x14ac:dyDescent="0.4">
      <c r="A1942" t="s">
        <v>15</v>
      </c>
      <c r="B1942" t="s">
        <v>16</v>
      </c>
      <c r="C1942" s="13">
        <v>44197</v>
      </c>
      <c r="D1942" s="13">
        <v>44561</v>
      </c>
      <c r="E1942" t="s">
        <v>17</v>
      </c>
      <c r="F1942">
        <v>5</v>
      </c>
      <c r="G1942" t="s">
        <v>501</v>
      </c>
      <c r="H1942">
        <v>40</v>
      </c>
      <c r="I1942" t="s">
        <v>501</v>
      </c>
      <c r="J1942">
        <v>264</v>
      </c>
      <c r="K1942" t="s">
        <v>502</v>
      </c>
      <c r="L1942" s="13">
        <v>44275</v>
      </c>
      <c r="M1942" t="s">
        <v>351</v>
      </c>
      <c r="N1942" t="s">
        <v>640</v>
      </c>
      <c r="O1942">
        <v>8.3800000000000008</v>
      </c>
      <c r="P1942" t="s">
        <v>52</v>
      </c>
    </row>
    <row r="1943" spans="1:16" ht="15" customHeight="1" x14ac:dyDescent="0.4">
      <c r="A1943" t="s">
        <v>15</v>
      </c>
      <c r="B1943" t="s">
        <v>16</v>
      </c>
      <c r="C1943" s="13">
        <v>44197</v>
      </c>
      <c r="D1943" s="13">
        <v>44561</v>
      </c>
      <c r="E1943" t="s">
        <v>17</v>
      </c>
      <c r="F1943">
        <v>5</v>
      </c>
      <c r="G1943" t="s">
        <v>501</v>
      </c>
      <c r="H1943">
        <v>40</v>
      </c>
      <c r="I1943" t="s">
        <v>501</v>
      </c>
      <c r="J1943">
        <v>264</v>
      </c>
      <c r="K1943" t="s">
        <v>502</v>
      </c>
      <c r="L1943" s="13">
        <v>44336</v>
      </c>
      <c r="M1943" t="s">
        <v>351</v>
      </c>
      <c r="N1943" t="s">
        <v>641</v>
      </c>
      <c r="O1943">
        <v>20.88</v>
      </c>
      <c r="P1943" t="s">
        <v>52</v>
      </c>
    </row>
    <row r="1944" spans="1:16" ht="15" customHeight="1" x14ac:dyDescent="0.4">
      <c r="A1944" t="s">
        <v>15</v>
      </c>
      <c r="B1944" t="s">
        <v>16</v>
      </c>
      <c r="C1944" s="13">
        <v>44197</v>
      </c>
      <c r="D1944" s="13">
        <v>44561</v>
      </c>
      <c r="E1944" t="s">
        <v>17</v>
      </c>
      <c r="F1944">
        <v>5</v>
      </c>
      <c r="G1944" t="s">
        <v>501</v>
      </c>
      <c r="H1944">
        <v>40</v>
      </c>
      <c r="I1944" t="s">
        <v>501</v>
      </c>
      <c r="J1944">
        <v>264</v>
      </c>
      <c r="K1944" t="s">
        <v>502</v>
      </c>
      <c r="L1944" s="13">
        <v>44397</v>
      </c>
      <c r="M1944" t="s">
        <v>351</v>
      </c>
      <c r="N1944" t="s">
        <v>642</v>
      </c>
      <c r="O1944">
        <v>28.51</v>
      </c>
      <c r="P1944" t="s">
        <v>52</v>
      </c>
    </row>
    <row r="1945" spans="1:16" ht="15" customHeight="1" x14ac:dyDescent="0.4">
      <c r="A1945" t="s">
        <v>15</v>
      </c>
      <c r="B1945" t="s">
        <v>16</v>
      </c>
      <c r="C1945" s="13">
        <v>44197</v>
      </c>
      <c r="D1945" s="13">
        <v>44561</v>
      </c>
      <c r="E1945" t="s">
        <v>17</v>
      </c>
      <c r="F1945">
        <v>5</v>
      </c>
      <c r="G1945" t="s">
        <v>501</v>
      </c>
      <c r="H1945">
        <v>40</v>
      </c>
      <c r="I1945" t="s">
        <v>501</v>
      </c>
      <c r="J1945">
        <v>264</v>
      </c>
      <c r="K1945" t="s">
        <v>502</v>
      </c>
      <c r="L1945" s="13">
        <v>44431</v>
      </c>
      <c r="M1945" t="s">
        <v>351</v>
      </c>
      <c r="N1945" t="s">
        <v>643</v>
      </c>
      <c r="O1945">
        <v>15.03</v>
      </c>
      <c r="P1945" t="s">
        <v>52</v>
      </c>
    </row>
    <row r="1946" spans="1:16" ht="15" customHeight="1" x14ac:dyDescent="0.4">
      <c r="A1946" t="s">
        <v>15</v>
      </c>
      <c r="B1946" t="s">
        <v>16</v>
      </c>
      <c r="C1946" s="13">
        <v>44197</v>
      </c>
      <c r="D1946" s="13">
        <v>44561</v>
      </c>
      <c r="E1946" t="s">
        <v>17</v>
      </c>
      <c r="F1946">
        <v>5</v>
      </c>
      <c r="G1946" t="s">
        <v>501</v>
      </c>
      <c r="H1946">
        <v>40</v>
      </c>
      <c r="I1946" t="s">
        <v>501</v>
      </c>
      <c r="J1946">
        <v>264</v>
      </c>
      <c r="K1946" t="s">
        <v>502</v>
      </c>
      <c r="L1946" s="13">
        <v>44459</v>
      </c>
      <c r="M1946" t="s">
        <v>351</v>
      </c>
      <c r="N1946" t="s">
        <v>644</v>
      </c>
      <c r="O1946">
        <v>16.32</v>
      </c>
      <c r="P1946" t="s">
        <v>52</v>
      </c>
    </row>
    <row r="1947" spans="1:16" ht="15" customHeight="1" x14ac:dyDescent="0.4">
      <c r="A1947" t="s">
        <v>15</v>
      </c>
      <c r="B1947" t="s">
        <v>16</v>
      </c>
      <c r="C1947" s="13">
        <v>44197</v>
      </c>
      <c r="D1947" s="13">
        <v>44561</v>
      </c>
      <c r="E1947" t="s">
        <v>17</v>
      </c>
      <c r="F1947">
        <v>5</v>
      </c>
      <c r="G1947" t="s">
        <v>501</v>
      </c>
      <c r="H1947">
        <v>40</v>
      </c>
      <c r="I1947" t="s">
        <v>501</v>
      </c>
      <c r="J1947">
        <v>264</v>
      </c>
      <c r="K1947" t="s">
        <v>502</v>
      </c>
      <c r="L1947" s="13">
        <v>44490</v>
      </c>
      <c r="M1947" t="s">
        <v>351</v>
      </c>
      <c r="N1947" t="s">
        <v>645</v>
      </c>
      <c r="O1947">
        <v>14.6</v>
      </c>
      <c r="P1947" t="s">
        <v>52</v>
      </c>
    </row>
    <row r="1948" spans="1:16" ht="15" customHeight="1" x14ac:dyDescent="0.4">
      <c r="A1948" t="s">
        <v>15</v>
      </c>
      <c r="B1948" t="s">
        <v>16</v>
      </c>
      <c r="C1948" s="13">
        <v>44197</v>
      </c>
      <c r="D1948" s="13">
        <v>44561</v>
      </c>
      <c r="E1948" t="s">
        <v>17</v>
      </c>
      <c r="F1948">
        <v>5</v>
      </c>
      <c r="G1948" t="s">
        <v>501</v>
      </c>
      <c r="H1948">
        <v>40</v>
      </c>
      <c r="I1948" t="s">
        <v>501</v>
      </c>
      <c r="J1948">
        <v>264</v>
      </c>
      <c r="K1948" t="s">
        <v>502</v>
      </c>
      <c r="L1948" s="13">
        <v>44520</v>
      </c>
      <c r="M1948" t="s">
        <v>351</v>
      </c>
      <c r="N1948" t="s">
        <v>646</v>
      </c>
      <c r="O1948">
        <v>9.5399999999999991</v>
      </c>
      <c r="P1948" t="s">
        <v>52</v>
      </c>
    </row>
    <row r="1949" spans="1:16" ht="15" customHeight="1" x14ac:dyDescent="0.4">
      <c r="A1949" t="s">
        <v>15</v>
      </c>
      <c r="B1949" t="s">
        <v>16</v>
      </c>
      <c r="C1949" s="13">
        <v>44197</v>
      </c>
      <c r="D1949" s="13">
        <v>44561</v>
      </c>
      <c r="E1949" t="s">
        <v>17</v>
      </c>
      <c r="F1949">
        <v>5</v>
      </c>
      <c r="G1949" t="s">
        <v>501</v>
      </c>
      <c r="H1949">
        <v>40</v>
      </c>
      <c r="I1949" t="s">
        <v>501</v>
      </c>
      <c r="J1949">
        <v>264</v>
      </c>
      <c r="K1949" t="s">
        <v>502</v>
      </c>
      <c r="L1949" s="13">
        <v>44550</v>
      </c>
      <c r="M1949" t="s">
        <v>351</v>
      </c>
      <c r="N1949" t="s">
        <v>647</v>
      </c>
      <c r="O1949">
        <v>3.11</v>
      </c>
      <c r="P1949" t="s">
        <v>52</v>
      </c>
    </row>
    <row r="1950" spans="1:16" ht="15" customHeight="1" x14ac:dyDescent="0.4">
      <c r="A1950" t="s">
        <v>15</v>
      </c>
      <c r="B1950" t="s">
        <v>16</v>
      </c>
      <c r="C1950" s="13">
        <v>44197</v>
      </c>
      <c r="D1950" s="13">
        <v>44561</v>
      </c>
      <c r="E1950" t="s">
        <v>17</v>
      </c>
      <c r="F1950">
        <v>5</v>
      </c>
      <c r="G1950" t="s">
        <v>501</v>
      </c>
      <c r="H1950">
        <v>40</v>
      </c>
      <c r="I1950" t="s">
        <v>501</v>
      </c>
      <c r="J1950">
        <v>741</v>
      </c>
      <c r="K1950" t="s">
        <v>505</v>
      </c>
      <c r="L1950" s="13">
        <v>44263</v>
      </c>
      <c r="M1950" t="s">
        <v>971</v>
      </c>
      <c r="N1950" t="s">
        <v>972</v>
      </c>
      <c r="O1950">
        <v>39.6</v>
      </c>
      <c r="P1950" t="s">
        <v>508</v>
      </c>
    </row>
    <row r="1951" spans="1:16" ht="15" customHeight="1" x14ac:dyDescent="0.4">
      <c r="A1951" t="s">
        <v>15</v>
      </c>
      <c r="B1951" t="s">
        <v>16</v>
      </c>
      <c r="C1951" s="13">
        <v>44197</v>
      </c>
      <c r="D1951" s="13">
        <v>44561</v>
      </c>
      <c r="E1951" t="s">
        <v>17</v>
      </c>
      <c r="F1951">
        <v>5</v>
      </c>
      <c r="G1951" t="s">
        <v>501</v>
      </c>
      <c r="H1951">
        <v>40</v>
      </c>
      <c r="I1951" t="s">
        <v>501</v>
      </c>
      <c r="J1951">
        <v>741</v>
      </c>
      <c r="K1951" t="s">
        <v>505</v>
      </c>
      <c r="L1951" s="13">
        <v>44431</v>
      </c>
      <c r="M1951" t="s">
        <v>973</v>
      </c>
      <c r="N1951" t="s">
        <v>974</v>
      </c>
      <c r="O1951">
        <v>38.54</v>
      </c>
      <c r="P1951" t="s">
        <v>508</v>
      </c>
    </row>
    <row r="1952" spans="1:16" ht="15" customHeight="1" x14ac:dyDescent="0.4">
      <c r="A1952" t="s">
        <v>15</v>
      </c>
      <c r="B1952" t="s">
        <v>16</v>
      </c>
      <c r="C1952" s="13">
        <v>44197</v>
      </c>
      <c r="D1952" s="13">
        <v>44561</v>
      </c>
      <c r="E1952" t="s">
        <v>17</v>
      </c>
      <c r="F1952">
        <v>5</v>
      </c>
      <c r="G1952" t="s">
        <v>501</v>
      </c>
      <c r="H1952">
        <v>40</v>
      </c>
      <c r="I1952" t="s">
        <v>501</v>
      </c>
      <c r="J1952">
        <v>801</v>
      </c>
      <c r="K1952" t="s">
        <v>511</v>
      </c>
      <c r="L1952" s="13">
        <v>44197</v>
      </c>
      <c r="M1952" t="s">
        <v>975</v>
      </c>
      <c r="N1952" t="s">
        <v>976</v>
      </c>
      <c r="O1952">
        <v>247.48</v>
      </c>
      <c r="P1952" t="s">
        <v>508</v>
      </c>
    </row>
    <row r="1953" spans="1:16" ht="15" customHeight="1" x14ac:dyDescent="0.4">
      <c r="A1953" t="s">
        <v>15</v>
      </c>
      <c r="B1953" t="s">
        <v>16</v>
      </c>
      <c r="C1953" s="13">
        <v>44197</v>
      </c>
      <c r="D1953" s="13">
        <v>44561</v>
      </c>
      <c r="E1953" t="s">
        <v>17</v>
      </c>
      <c r="F1953">
        <v>5</v>
      </c>
      <c r="G1953" t="s">
        <v>501</v>
      </c>
      <c r="H1953">
        <v>40</v>
      </c>
      <c r="I1953" t="s">
        <v>501</v>
      </c>
      <c r="J1953">
        <v>801</v>
      </c>
      <c r="K1953" t="s">
        <v>511</v>
      </c>
      <c r="L1953" s="13">
        <v>44287</v>
      </c>
      <c r="M1953" t="s">
        <v>977</v>
      </c>
      <c r="N1953" t="s">
        <v>46</v>
      </c>
      <c r="O1953">
        <v>247.5</v>
      </c>
      <c r="P1953" t="s">
        <v>46</v>
      </c>
    </row>
    <row r="1954" spans="1:16" ht="15" customHeight="1" x14ac:dyDescent="0.4">
      <c r="A1954" t="s">
        <v>15</v>
      </c>
      <c r="B1954" t="s">
        <v>16</v>
      </c>
      <c r="C1954" s="13">
        <v>44197</v>
      </c>
      <c r="D1954" s="13">
        <v>44561</v>
      </c>
      <c r="E1954" t="s">
        <v>17</v>
      </c>
      <c r="F1954">
        <v>5</v>
      </c>
      <c r="G1954" t="s">
        <v>501</v>
      </c>
      <c r="H1954">
        <v>40</v>
      </c>
      <c r="I1954" t="s">
        <v>501</v>
      </c>
      <c r="J1954">
        <v>801</v>
      </c>
      <c r="K1954" t="s">
        <v>511</v>
      </c>
      <c r="L1954" s="13">
        <v>44351</v>
      </c>
      <c r="M1954" t="s">
        <v>978</v>
      </c>
      <c r="N1954" t="s">
        <v>979</v>
      </c>
      <c r="O1954">
        <v>247.48</v>
      </c>
      <c r="P1954" t="s">
        <v>508</v>
      </c>
    </row>
    <row r="1955" spans="1:16" ht="15" customHeight="1" x14ac:dyDescent="0.4">
      <c r="A1955" t="s">
        <v>15</v>
      </c>
      <c r="B1955" t="s">
        <v>16</v>
      </c>
      <c r="C1955" s="13">
        <v>44197</v>
      </c>
      <c r="D1955" s="13">
        <v>44561</v>
      </c>
      <c r="E1955" t="s">
        <v>17</v>
      </c>
      <c r="F1955">
        <v>5</v>
      </c>
      <c r="G1955" t="s">
        <v>501</v>
      </c>
      <c r="H1955">
        <v>40</v>
      </c>
      <c r="I1955" t="s">
        <v>501</v>
      </c>
      <c r="J1955">
        <v>801</v>
      </c>
      <c r="K1955" t="s">
        <v>511</v>
      </c>
      <c r="L1955" s="13">
        <v>44470</v>
      </c>
      <c r="M1955" t="s">
        <v>980</v>
      </c>
      <c r="N1955" t="s">
        <v>981</v>
      </c>
      <c r="O1955">
        <v>247.48</v>
      </c>
      <c r="P1955" t="s">
        <v>508</v>
      </c>
    </row>
    <row r="1956" spans="1:16" ht="15" customHeight="1" x14ac:dyDescent="0.4">
      <c r="A1956" t="s">
        <v>15</v>
      </c>
      <c r="B1956" t="s">
        <v>16</v>
      </c>
      <c r="C1956" s="13">
        <v>44197</v>
      </c>
      <c r="D1956" s="13">
        <v>44561</v>
      </c>
      <c r="E1956" t="s">
        <v>17</v>
      </c>
      <c r="F1956">
        <v>6</v>
      </c>
      <c r="G1956" t="s">
        <v>525</v>
      </c>
      <c r="H1956">
        <v>65</v>
      </c>
      <c r="I1956" t="s">
        <v>526</v>
      </c>
      <c r="J1956">
        <v>821</v>
      </c>
      <c r="K1956" t="s">
        <v>527</v>
      </c>
      <c r="L1956" s="13">
        <v>44256</v>
      </c>
      <c r="M1956" t="s">
        <v>982</v>
      </c>
      <c r="N1956" t="s">
        <v>983</v>
      </c>
      <c r="O1956">
        <v>2475.4899999999998</v>
      </c>
      <c r="P1956" t="s">
        <v>530</v>
      </c>
    </row>
    <row r="1957" spans="1:16" ht="15" customHeight="1" x14ac:dyDescent="0.4">
      <c r="A1957" t="s">
        <v>15</v>
      </c>
      <c r="B1957" t="s">
        <v>16</v>
      </c>
      <c r="C1957" s="13">
        <v>44197</v>
      </c>
      <c r="D1957" s="13">
        <v>44561</v>
      </c>
      <c r="E1957" t="s">
        <v>17</v>
      </c>
      <c r="F1957">
        <v>6</v>
      </c>
      <c r="G1957" t="s">
        <v>525</v>
      </c>
      <c r="H1957">
        <v>65</v>
      </c>
      <c r="I1957" t="s">
        <v>526</v>
      </c>
      <c r="J1957">
        <v>821</v>
      </c>
      <c r="K1957" t="s">
        <v>527</v>
      </c>
      <c r="L1957" s="13">
        <v>44440</v>
      </c>
      <c r="M1957" t="s">
        <v>984</v>
      </c>
      <c r="N1957" t="s">
        <v>985</v>
      </c>
      <c r="O1957">
        <v>2475.4899999999998</v>
      </c>
      <c r="P1957" t="s">
        <v>530</v>
      </c>
    </row>
    <row r="1958" spans="1:16" ht="15" customHeight="1" x14ac:dyDescent="0.4">
      <c r="A1958" t="s">
        <v>15</v>
      </c>
      <c r="B1958" t="s">
        <v>16</v>
      </c>
      <c r="C1958" s="13">
        <v>44197</v>
      </c>
      <c r="D1958" s="13">
        <v>44561</v>
      </c>
      <c r="E1958" t="s">
        <v>17</v>
      </c>
      <c r="F1958">
        <v>6</v>
      </c>
      <c r="G1958" t="s">
        <v>525</v>
      </c>
      <c r="H1958">
        <v>65</v>
      </c>
      <c r="I1958" t="s">
        <v>526</v>
      </c>
      <c r="J1958">
        <v>821</v>
      </c>
      <c r="K1958" t="s">
        <v>527</v>
      </c>
      <c r="L1958" s="13">
        <v>44561</v>
      </c>
      <c r="M1958" t="s">
        <v>986</v>
      </c>
      <c r="N1958" t="s">
        <v>46</v>
      </c>
      <c r="O1958">
        <v>-3300.66</v>
      </c>
      <c r="P1958" t="s">
        <v>46</v>
      </c>
    </row>
    <row r="1959" spans="1:16" ht="15" customHeight="1" x14ac:dyDescent="0.4">
      <c r="A1959" t="s">
        <v>15</v>
      </c>
      <c r="B1959" t="s">
        <v>16</v>
      </c>
      <c r="C1959" s="13">
        <v>44197</v>
      </c>
      <c r="D1959" s="13">
        <v>44561</v>
      </c>
      <c r="E1959" t="s">
        <v>17</v>
      </c>
      <c r="F1959">
        <v>6</v>
      </c>
      <c r="G1959" t="s">
        <v>525</v>
      </c>
      <c r="H1959">
        <v>65</v>
      </c>
      <c r="I1959" t="s">
        <v>526</v>
      </c>
      <c r="J1959">
        <v>825</v>
      </c>
      <c r="K1959" t="s">
        <v>534</v>
      </c>
      <c r="L1959" s="13">
        <v>44328</v>
      </c>
      <c r="M1959" t="s">
        <v>987</v>
      </c>
      <c r="N1959" t="s">
        <v>988</v>
      </c>
      <c r="O1959">
        <v>90.2</v>
      </c>
      <c r="P1959" t="s">
        <v>530</v>
      </c>
    </row>
    <row r="1960" spans="1:16" ht="15" customHeight="1" x14ac:dyDescent="0.4">
      <c r="A1960" t="s">
        <v>15</v>
      </c>
      <c r="B1960" t="s">
        <v>16</v>
      </c>
      <c r="C1960" s="13">
        <v>44197</v>
      </c>
      <c r="D1960" s="13">
        <v>44561</v>
      </c>
      <c r="E1960" t="s">
        <v>17</v>
      </c>
      <c r="F1960">
        <v>8</v>
      </c>
      <c r="G1960" t="s">
        <v>501</v>
      </c>
      <c r="H1960">
        <v>40</v>
      </c>
      <c r="I1960" t="s">
        <v>501</v>
      </c>
      <c r="J1960">
        <v>264</v>
      </c>
      <c r="K1960" t="s">
        <v>3681</v>
      </c>
      <c r="L1960" s="13">
        <v>44218</v>
      </c>
      <c r="M1960" t="s">
        <v>351</v>
      </c>
      <c r="N1960" t="s">
        <v>867</v>
      </c>
      <c r="O1960">
        <v>53.13</v>
      </c>
      <c r="P1960" t="s">
        <v>52</v>
      </c>
    </row>
    <row r="1961" spans="1:16" ht="15" customHeight="1" x14ac:dyDescent="0.4">
      <c r="A1961" t="s">
        <v>15</v>
      </c>
      <c r="B1961" t="s">
        <v>16</v>
      </c>
      <c r="C1961" s="13">
        <v>44197</v>
      </c>
      <c r="D1961" s="13">
        <v>44561</v>
      </c>
      <c r="E1961" t="s">
        <v>17</v>
      </c>
      <c r="F1961">
        <v>8</v>
      </c>
      <c r="G1961" t="s">
        <v>501</v>
      </c>
      <c r="H1961">
        <v>40</v>
      </c>
      <c r="I1961" t="s">
        <v>501</v>
      </c>
      <c r="J1961">
        <v>264</v>
      </c>
      <c r="K1961" t="s">
        <v>3681</v>
      </c>
      <c r="L1961" s="13">
        <v>44277</v>
      </c>
      <c r="M1961" t="s">
        <v>351</v>
      </c>
      <c r="N1961" t="s">
        <v>868</v>
      </c>
      <c r="O1961">
        <v>35.57</v>
      </c>
      <c r="P1961" t="s">
        <v>52</v>
      </c>
    </row>
    <row r="1962" spans="1:16" ht="15" customHeight="1" x14ac:dyDescent="0.4">
      <c r="A1962" t="s">
        <v>15</v>
      </c>
      <c r="B1962" t="s">
        <v>16</v>
      </c>
      <c r="C1962" s="13">
        <v>44197</v>
      </c>
      <c r="D1962" s="13">
        <v>44561</v>
      </c>
      <c r="E1962" t="s">
        <v>17</v>
      </c>
      <c r="F1962">
        <v>8</v>
      </c>
      <c r="G1962" t="s">
        <v>501</v>
      </c>
      <c r="H1962">
        <v>40</v>
      </c>
      <c r="I1962" t="s">
        <v>501</v>
      </c>
      <c r="J1962">
        <v>264</v>
      </c>
      <c r="K1962" t="s">
        <v>3681</v>
      </c>
      <c r="L1962" s="13">
        <v>44338</v>
      </c>
      <c r="M1962" t="s">
        <v>351</v>
      </c>
      <c r="N1962" t="s">
        <v>869</v>
      </c>
      <c r="O1962">
        <v>26.44</v>
      </c>
      <c r="P1962" t="s">
        <v>52</v>
      </c>
    </row>
    <row r="1963" spans="1:16" ht="15" customHeight="1" x14ac:dyDescent="0.4">
      <c r="A1963" t="s">
        <v>15</v>
      </c>
      <c r="B1963" t="s">
        <v>16</v>
      </c>
      <c r="C1963" s="13">
        <v>44197</v>
      </c>
      <c r="D1963" s="13">
        <v>44561</v>
      </c>
      <c r="E1963" t="s">
        <v>17</v>
      </c>
      <c r="F1963">
        <v>8</v>
      </c>
      <c r="G1963" t="s">
        <v>501</v>
      </c>
      <c r="H1963">
        <v>40</v>
      </c>
      <c r="I1963" t="s">
        <v>501</v>
      </c>
      <c r="J1963">
        <v>264</v>
      </c>
      <c r="K1963" t="s">
        <v>3681</v>
      </c>
      <c r="L1963" s="13">
        <v>44399</v>
      </c>
      <c r="M1963" t="s">
        <v>351</v>
      </c>
      <c r="N1963" t="s">
        <v>870</v>
      </c>
      <c r="O1963">
        <v>26.95</v>
      </c>
      <c r="P1963" t="s">
        <v>52</v>
      </c>
    </row>
    <row r="1964" spans="1:16" ht="15" customHeight="1" x14ac:dyDescent="0.4">
      <c r="A1964" t="s">
        <v>15</v>
      </c>
      <c r="B1964" t="s">
        <v>16</v>
      </c>
      <c r="C1964" s="13">
        <v>44197</v>
      </c>
      <c r="D1964" s="13">
        <v>44561</v>
      </c>
      <c r="E1964" t="s">
        <v>17</v>
      </c>
      <c r="F1964">
        <v>8</v>
      </c>
      <c r="G1964" t="s">
        <v>501</v>
      </c>
      <c r="H1964">
        <v>40</v>
      </c>
      <c r="I1964" t="s">
        <v>501</v>
      </c>
      <c r="J1964">
        <v>264</v>
      </c>
      <c r="K1964" t="s">
        <v>3681</v>
      </c>
      <c r="L1964" s="13">
        <v>44430</v>
      </c>
      <c r="M1964" t="s">
        <v>351</v>
      </c>
      <c r="N1964" t="s">
        <v>871</v>
      </c>
      <c r="O1964">
        <v>10.29</v>
      </c>
      <c r="P1964" t="s">
        <v>52</v>
      </c>
    </row>
    <row r="1965" spans="1:16" ht="15" customHeight="1" x14ac:dyDescent="0.4">
      <c r="A1965" t="s">
        <v>15</v>
      </c>
      <c r="B1965" t="s">
        <v>16</v>
      </c>
      <c r="C1965" s="13">
        <v>44197</v>
      </c>
      <c r="D1965" s="13">
        <v>44561</v>
      </c>
      <c r="E1965" t="s">
        <v>17</v>
      </c>
      <c r="F1965">
        <v>8</v>
      </c>
      <c r="G1965" t="s">
        <v>501</v>
      </c>
      <c r="H1965">
        <v>40</v>
      </c>
      <c r="I1965" t="s">
        <v>501</v>
      </c>
      <c r="J1965">
        <v>264</v>
      </c>
      <c r="K1965" t="s">
        <v>3681</v>
      </c>
      <c r="L1965" s="13">
        <v>44461</v>
      </c>
      <c r="M1965" t="s">
        <v>351</v>
      </c>
      <c r="N1965" t="s">
        <v>872</v>
      </c>
      <c r="O1965">
        <v>14.26</v>
      </c>
      <c r="P1965" t="s">
        <v>52</v>
      </c>
    </row>
    <row r="1966" spans="1:16" ht="15" customHeight="1" x14ac:dyDescent="0.4">
      <c r="A1966" t="s">
        <v>15</v>
      </c>
      <c r="B1966" t="s">
        <v>16</v>
      </c>
      <c r="C1966" s="13">
        <v>44197</v>
      </c>
      <c r="D1966" s="13">
        <v>44561</v>
      </c>
      <c r="E1966" t="s">
        <v>17</v>
      </c>
      <c r="F1966">
        <v>8</v>
      </c>
      <c r="G1966" t="s">
        <v>501</v>
      </c>
      <c r="H1966">
        <v>40</v>
      </c>
      <c r="I1966" t="s">
        <v>501</v>
      </c>
      <c r="J1966">
        <v>264</v>
      </c>
      <c r="K1966" t="s">
        <v>3681</v>
      </c>
      <c r="L1966" s="13">
        <v>44491</v>
      </c>
      <c r="M1966" t="s">
        <v>351</v>
      </c>
      <c r="N1966" t="s">
        <v>873</v>
      </c>
      <c r="O1966">
        <v>14.71</v>
      </c>
      <c r="P1966" t="s">
        <v>52</v>
      </c>
    </row>
    <row r="1967" spans="1:16" ht="15" customHeight="1" x14ac:dyDescent="0.4">
      <c r="A1967" t="s">
        <v>15</v>
      </c>
      <c r="B1967" t="s">
        <v>16</v>
      </c>
      <c r="C1967" s="13">
        <v>44197</v>
      </c>
      <c r="D1967" s="13">
        <v>44561</v>
      </c>
      <c r="E1967" t="s">
        <v>17</v>
      </c>
      <c r="F1967">
        <v>8</v>
      </c>
      <c r="G1967" t="s">
        <v>501</v>
      </c>
      <c r="H1967">
        <v>40</v>
      </c>
      <c r="I1967" t="s">
        <v>501</v>
      </c>
      <c r="J1967">
        <v>264</v>
      </c>
      <c r="K1967" t="s">
        <v>3681</v>
      </c>
      <c r="L1967" s="13">
        <v>44522</v>
      </c>
      <c r="M1967" t="s">
        <v>351</v>
      </c>
      <c r="N1967" t="s">
        <v>874</v>
      </c>
      <c r="O1967">
        <v>15.69</v>
      </c>
      <c r="P1967" t="s">
        <v>52</v>
      </c>
    </row>
    <row r="1968" spans="1:16" ht="15" customHeight="1" x14ac:dyDescent="0.4">
      <c r="A1968" t="s">
        <v>15</v>
      </c>
      <c r="B1968" t="s">
        <v>16</v>
      </c>
      <c r="C1968" s="13">
        <v>44197</v>
      </c>
      <c r="D1968" s="13">
        <v>44561</v>
      </c>
      <c r="E1968" t="s">
        <v>17</v>
      </c>
      <c r="F1968">
        <v>8</v>
      </c>
      <c r="G1968" t="s">
        <v>501</v>
      </c>
      <c r="H1968">
        <v>40</v>
      </c>
      <c r="I1968" t="s">
        <v>501</v>
      </c>
      <c r="J1968">
        <v>264</v>
      </c>
      <c r="K1968" t="s">
        <v>3681</v>
      </c>
      <c r="L1968" s="13">
        <v>44552</v>
      </c>
      <c r="M1968" t="s">
        <v>351</v>
      </c>
      <c r="N1968" t="s">
        <v>875</v>
      </c>
      <c r="O1968">
        <v>19.61</v>
      </c>
      <c r="P1968" t="s">
        <v>52</v>
      </c>
    </row>
    <row r="1969" spans="1:16" ht="15" customHeight="1" x14ac:dyDescent="0.4">
      <c r="A1969" t="s">
        <v>15</v>
      </c>
      <c r="B1969" t="s">
        <v>16</v>
      </c>
      <c r="C1969" s="13">
        <v>44197</v>
      </c>
      <c r="D1969" s="13">
        <v>44561</v>
      </c>
      <c r="E1969" t="s">
        <v>17</v>
      </c>
      <c r="F1969">
        <v>8</v>
      </c>
      <c r="G1969" t="s">
        <v>501</v>
      </c>
      <c r="H1969">
        <v>40</v>
      </c>
      <c r="I1969" t="s">
        <v>501</v>
      </c>
      <c r="J1969">
        <v>741</v>
      </c>
      <c r="K1969" t="s">
        <v>505</v>
      </c>
      <c r="L1969" s="13">
        <v>44263</v>
      </c>
      <c r="M1969" t="s">
        <v>989</v>
      </c>
      <c r="N1969" t="s">
        <v>990</v>
      </c>
      <c r="O1969">
        <v>39.26</v>
      </c>
      <c r="P1969" t="s">
        <v>508</v>
      </c>
    </row>
    <row r="1970" spans="1:16" ht="15" customHeight="1" x14ac:dyDescent="0.4">
      <c r="A1970" t="s">
        <v>15</v>
      </c>
      <c r="B1970" t="s">
        <v>16</v>
      </c>
      <c r="C1970" s="13">
        <v>44197</v>
      </c>
      <c r="D1970" s="13">
        <v>44561</v>
      </c>
      <c r="E1970" t="s">
        <v>17</v>
      </c>
      <c r="F1970">
        <v>8</v>
      </c>
      <c r="G1970" t="s">
        <v>501</v>
      </c>
      <c r="H1970">
        <v>40</v>
      </c>
      <c r="I1970" t="s">
        <v>501</v>
      </c>
      <c r="J1970">
        <v>741</v>
      </c>
      <c r="K1970" t="s">
        <v>505</v>
      </c>
      <c r="L1970" s="13">
        <v>44431</v>
      </c>
      <c r="M1970" t="s">
        <v>991</v>
      </c>
      <c r="N1970" t="s">
        <v>992</v>
      </c>
      <c r="O1970">
        <v>42.46</v>
      </c>
      <c r="P1970" t="s">
        <v>508</v>
      </c>
    </row>
    <row r="1971" spans="1:16" ht="15" customHeight="1" x14ac:dyDescent="0.4">
      <c r="A1971" t="s">
        <v>15</v>
      </c>
      <c r="B1971" t="s">
        <v>16</v>
      </c>
      <c r="C1971" s="13">
        <v>44197</v>
      </c>
      <c r="D1971" s="13">
        <v>44561</v>
      </c>
      <c r="E1971" t="s">
        <v>17</v>
      </c>
      <c r="F1971">
        <v>8</v>
      </c>
      <c r="G1971" t="s">
        <v>501</v>
      </c>
      <c r="H1971">
        <v>40</v>
      </c>
      <c r="I1971" t="s">
        <v>501</v>
      </c>
      <c r="J1971">
        <v>801</v>
      </c>
      <c r="K1971" t="s">
        <v>511</v>
      </c>
      <c r="L1971" s="13">
        <v>44197</v>
      </c>
      <c r="M1971" t="s">
        <v>993</v>
      </c>
      <c r="N1971" t="s">
        <v>976</v>
      </c>
      <c r="O1971">
        <v>247.48</v>
      </c>
      <c r="P1971" t="s">
        <v>508</v>
      </c>
    </row>
    <row r="1972" spans="1:16" ht="15" customHeight="1" x14ac:dyDescent="0.4">
      <c r="A1972" t="s">
        <v>15</v>
      </c>
      <c r="B1972" t="s">
        <v>16</v>
      </c>
      <c r="C1972" s="13">
        <v>44197</v>
      </c>
      <c r="D1972" s="13">
        <v>44561</v>
      </c>
      <c r="E1972" t="s">
        <v>17</v>
      </c>
      <c r="F1972">
        <v>8</v>
      </c>
      <c r="G1972" t="s">
        <v>501</v>
      </c>
      <c r="H1972">
        <v>40</v>
      </c>
      <c r="I1972" t="s">
        <v>501</v>
      </c>
      <c r="J1972">
        <v>801</v>
      </c>
      <c r="K1972" t="s">
        <v>511</v>
      </c>
      <c r="L1972" s="13">
        <v>44287</v>
      </c>
      <c r="M1972" t="s">
        <v>994</v>
      </c>
      <c r="N1972" t="s">
        <v>46</v>
      </c>
      <c r="O1972">
        <v>247.5</v>
      </c>
      <c r="P1972" t="s">
        <v>46</v>
      </c>
    </row>
    <row r="1973" spans="1:16" ht="15" customHeight="1" x14ac:dyDescent="0.4">
      <c r="A1973" t="s">
        <v>15</v>
      </c>
      <c r="B1973" t="s">
        <v>16</v>
      </c>
      <c r="C1973" s="13">
        <v>44197</v>
      </c>
      <c r="D1973" s="13">
        <v>44561</v>
      </c>
      <c r="E1973" t="s">
        <v>17</v>
      </c>
      <c r="F1973">
        <v>8</v>
      </c>
      <c r="G1973" t="s">
        <v>501</v>
      </c>
      <c r="H1973">
        <v>40</v>
      </c>
      <c r="I1973" t="s">
        <v>501</v>
      </c>
      <c r="J1973">
        <v>801</v>
      </c>
      <c r="K1973" t="s">
        <v>511</v>
      </c>
      <c r="L1973" s="13">
        <v>44351</v>
      </c>
      <c r="M1973" t="s">
        <v>995</v>
      </c>
      <c r="N1973" t="s">
        <v>979</v>
      </c>
      <c r="O1973">
        <v>247.48</v>
      </c>
      <c r="P1973" t="s">
        <v>508</v>
      </c>
    </row>
    <row r="1974" spans="1:16" ht="15" customHeight="1" x14ac:dyDescent="0.4">
      <c r="A1974" t="s">
        <v>15</v>
      </c>
      <c r="B1974" t="s">
        <v>16</v>
      </c>
      <c r="C1974" s="13">
        <v>44197</v>
      </c>
      <c r="D1974" s="13">
        <v>44561</v>
      </c>
      <c r="E1974" t="s">
        <v>17</v>
      </c>
      <c r="F1974">
        <v>8</v>
      </c>
      <c r="G1974" t="s">
        <v>501</v>
      </c>
      <c r="H1974">
        <v>40</v>
      </c>
      <c r="I1974" t="s">
        <v>501</v>
      </c>
      <c r="J1974">
        <v>801</v>
      </c>
      <c r="K1974" t="s">
        <v>511</v>
      </c>
      <c r="L1974" s="13">
        <v>44470</v>
      </c>
      <c r="M1974" t="s">
        <v>996</v>
      </c>
      <c r="N1974" t="s">
        <v>981</v>
      </c>
      <c r="O1974">
        <v>247.48</v>
      </c>
      <c r="P1974" t="s">
        <v>508</v>
      </c>
    </row>
    <row r="1975" spans="1:16" ht="15" customHeight="1" x14ac:dyDescent="0.4">
      <c r="A1975" t="s">
        <v>15</v>
      </c>
      <c r="B1975" t="s">
        <v>16</v>
      </c>
      <c r="C1975" s="13">
        <v>44197</v>
      </c>
      <c r="D1975" s="13">
        <v>44561</v>
      </c>
      <c r="E1975" t="s">
        <v>17</v>
      </c>
      <c r="F1975">
        <v>9</v>
      </c>
      <c r="G1975" t="s">
        <v>525</v>
      </c>
      <c r="H1975">
        <v>65</v>
      </c>
      <c r="I1975" t="s">
        <v>526</v>
      </c>
      <c r="J1975">
        <v>821</v>
      </c>
      <c r="K1975" t="s">
        <v>527</v>
      </c>
      <c r="L1975" s="13">
        <v>44561</v>
      </c>
      <c r="M1975" t="s">
        <v>553</v>
      </c>
      <c r="N1975" t="s">
        <v>46</v>
      </c>
      <c r="O1975">
        <v>1650.33</v>
      </c>
      <c r="P1975" t="s">
        <v>46</v>
      </c>
    </row>
    <row r="1976" spans="1:16" ht="15" customHeight="1" x14ac:dyDescent="0.4">
      <c r="A1976" t="s">
        <v>15</v>
      </c>
      <c r="B1976" t="s">
        <v>16</v>
      </c>
      <c r="C1976" s="13">
        <v>44197</v>
      </c>
      <c r="D1976" s="13">
        <v>44561</v>
      </c>
      <c r="E1976" t="s">
        <v>17</v>
      </c>
      <c r="F1976">
        <v>9</v>
      </c>
      <c r="G1976" t="s">
        <v>525</v>
      </c>
      <c r="H1976">
        <v>65</v>
      </c>
      <c r="I1976" t="s">
        <v>526</v>
      </c>
      <c r="J1976">
        <v>825</v>
      </c>
      <c r="K1976" t="s">
        <v>534</v>
      </c>
      <c r="L1976" s="13">
        <v>44328</v>
      </c>
      <c r="M1976" t="s">
        <v>997</v>
      </c>
      <c r="N1976" t="s">
        <v>998</v>
      </c>
      <c r="O1976">
        <v>45.1</v>
      </c>
      <c r="P1976" t="s">
        <v>530</v>
      </c>
    </row>
    <row r="1977" spans="1:16" ht="15" customHeight="1" x14ac:dyDescent="0.4">
      <c r="A1977" t="s">
        <v>15</v>
      </c>
      <c r="B1977" t="s">
        <v>16</v>
      </c>
      <c r="C1977" s="13">
        <v>44197</v>
      </c>
      <c r="D1977" s="13">
        <v>44561</v>
      </c>
      <c r="E1977" t="s">
        <v>17</v>
      </c>
      <c r="F1977">
        <v>11</v>
      </c>
      <c r="G1977" t="s">
        <v>501</v>
      </c>
      <c r="H1977">
        <v>40</v>
      </c>
      <c r="I1977" t="s">
        <v>501</v>
      </c>
      <c r="J1977">
        <v>264</v>
      </c>
      <c r="K1977" t="s">
        <v>3681</v>
      </c>
      <c r="L1977" s="13">
        <v>44218</v>
      </c>
      <c r="M1977" t="s">
        <v>351</v>
      </c>
      <c r="N1977" t="s">
        <v>867</v>
      </c>
      <c r="O1977">
        <v>53.13</v>
      </c>
      <c r="P1977" t="s">
        <v>52</v>
      </c>
    </row>
    <row r="1978" spans="1:16" ht="15" customHeight="1" x14ac:dyDescent="0.4">
      <c r="A1978" t="s">
        <v>15</v>
      </c>
      <c r="B1978" t="s">
        <v>16</v>
      </c>
      <c r="C1978" s="13">
        <v>44197</v>
      </c>
      <c r="D1978" s="13">
        <v>44561</v>
      </c>
      <c r="E1978" t="s">
        <v>17</v>
      </c>
      <c r="F1978">
        <v>11</v>
      </c>
      <c r="G1978" t="s">
        <v>501</v>
      </c>
      <c r="H1978">
        <v>40</v>
      </c>
      <c r="I1978" t="s">
        <v>501</v>
      </c>
      <c r="J1978">
        <v>264</v>
      </c>
      <c r="K1978" t="s">
        <v>3681</v>
      </c>
      <c r="L1978" s="13">
        <v>44277</v>
      </c>
      <c r="M1978" t="s">
        <v>351</v>
      </c>
      <c r="N1978" t="s">
        <v>868</v>
      </c>
      <c r="O1978">
        <v>35.57</v>
      </c>
      <c r="P1978" t="s">
        <v>52</v>
      </c>
    </row>
    <row r="1979" spans="1:16" ht="15" customHeight="1" x14ac:dyDescent="0.4">
      <c r="A1979" t="s">
        <v>15</v>
      </c>
      <c r="B1979" t="s">
        <v>16</v>
      </c>
      <c r="C1979" s="13">
        <v>44197</v>
      </c>
      <c r="D1979" s="13">
        <v>44561</v>
      </c>
      <c r="E1979" t="s">
        <v>17</v>
      </c>
      <c r="F1979">
        <v>11</v>
      </c>
      <c r="G1979" t="s">
        <v>501</v>
      </c>
      <c r="H1979">
        <v>40</v>
      </c>
      <c r="I1979" t="s">
        <v>501</v>
      </c>
      <c r="J1979">
        <v>264</v>
      </c>
      <c r="K1979" t="s">
        <v>3681</v>
      </c>
      <c r="L1979" s="13">
        <v>44338</v>
      </c>
      <c r="M1979" t="s">
        <v>351</v>
      </c>
      <c r="N1979" t="s">
        <v>869</v>
      </c>
      <c r="O1979">
        <v>26.44</v>
      </c>
      <c r="P1979" t="s">
        <v>52</v>
      </c>
    </row>
    <row r="1980" spans="1:16" ht="15" customHeight="1" x14ac:dyDescent="0.4">
      <c r="A1980" t="s">
        <v>15</v>
      </c>
      <c r="B1980" t="s">
        <v>16</v>
      </c>
      <c r="C1980" s="13">
        <v>44197</v>
      </c>
      <c r="D1980" s="13">
        <v>44561</v>
      </c>
      <c r="E1980" t="s">
        <v>17</v>
      </c>
      <c r="F1980">
        <v>11</v>
      </c>
      <c r="G1980" t="s">
        <v>501</v>
      </c>
      <c r="H1980">
        <v>40</v>
      </c>
      <c r="I1980" t="s">
        <v>501</v>
      </c>
      <c r="J1980">
        <v>264</v>
      </c>
      <c r="K1980" t="s">
        <v>3681</v>
      </c>
      <c r="L1980" s="13">
        <v>44399</v>
      </c>
      <c r="M1980" t="s">
        <v>351</v>
      </c>
      <c r="N1980" t="s">
        <v>870</v>
      </c>
      <c r="O1980">
        <v>26.95</v>
      </c>
      <c r="P1980" t="s">
        <v>52</v>
      </c>
    </row>
    <row r="1981" spans="1:16" ht="15" customHeight="1" x14ac:dyDescent="0.4">
      <c r="A1981" t="s">
        <v>15</v>
      </c>
      <c r="B1981" t="s">
        <v>16</v>
      </c>
      <c r="C1981" s="13">
        <v>44197</v>
      </c>
      <c r="D1981" s="13">
        <v>44561</v>
      </c>
      <c r="E1981" t="s">
        <v>17</v>
      </c>
      <c r="F1981">
        <v>11</v>
      </c>
      <c r="G1981" t="s">
        <v>501</v>
      </c>
      <c r="H1981">
        <v>40</v>
      </c>
      <c r="I1981" t="s">
        <v>501</v>
      </c>
      <c r="J1981">
        <v>264</v>
      </c>
      <c r="K1981" t="s">
        <v>3681</v>
      </c>
      <c r="L1981" s="13">
        <v>44430</v>
      </c>
      <c r="M1981" t="s">
        <v>351</v>
      </c>
      <c r="N1981" t="s">
        <v>871</v>
      </c>
      <c r="O1981">
        <v>10.29</v>
      </c>
      <c r="P1981" t="s">
        <v>52</v>
      </c>
    </row>
    <row r="1982" spans="1:16" ht="15" customHeight="1" x14ac:dyDescent="0.4">
      <c r="A1982" t="s">
        <v>15</v>
      </c>
      <c r="B1982" t="s">
        <v>16</v>
      </c>
      <c r="C1982" s="13">
        <v>44197</v>
      </c>
      <c r="D1982" s="13">
        <v>44561</v>
      </c>
      <c r="E1982" t="s">
        <v>17</v>
      </c>
      <c r="F1982">
        <v>11</v>
      </c>
      <c r="G1982" t="s">
        <v>501</v>
      </c>
      <c r="H1982">
        <v>40</v>
      </c>
      <c r="I1982" t="s">
        <v>501</v>
      </c>
      <c r="J1982">
        <v>264</v>
      </c>
      <c r="K1982" t="s">
        <v>3681</v>
      </c>
      <c r="L1982" s="13">
        <v>44461</v>
      </c>
      <c r="M1982" t="s">
        <v>351</v>
      </c>
      <c r="N1982" t="s">
        <v>872</v>
      </c>
      <c r="O1982">
        <v>14.26</v>
      </c>
      <c r="P1982" t="s">
        <v>52</v>
      </c>
    </row>
    <row r="1983" spans="1:16" ht="15" customHeight="1" x14ac:dyDescent="0.4">
      <c r="A1983" t="s">
        <v>15</v>
      </c>
      <c r="B1983" t="s">
        <v>16</v>
      </c>
      <c r="C1983" s="13">
        <v>44197</v>
      </c>
      <c r="D1983" s="13">
        <v>44561</v>
      </c>
      <c r="E1983" t="s">
        <v>17</v>
      </c>
      <c r="F1983">
        <v>11</v>
      </c>
      <c r="G1983" t="s">
        <v>501</v>
      </c>
      <c r="H1983">
        <v>40</v>
      </c>
      <c r="I1983" t="s">
        <v>501</v>
      </c>
      <c r="J1983">
        <v>264</v>
      </c>
      <c r="K1983" t="s">
        <v>3681</v>
      </c>
      <c r="L1983" s="13">
        <v>44491</v>
      </c>
      <c r="M1983" t="s">
        <v>351</v>
      </c>
      <c r="N1983" t="s">
        <v>873</v>
      </c>
      <c r="O1983">
        <v>14.71</v>
      </c>
      <c r="P1983" t="s">
        <v>52</v>
      </c>
    </row>
    <row r="1984" spans="1:16" ht="15" customHeight="1" x14ac:dyDescent="0.4">
      <c r="A1984" t="s">
        <v>15</v>
      </c>
      <c r="B1984" t="s">
        <v>16</v>
      </c>
      <c r="C1984" s="13">
        <v>44197</v>
      </c>
      <c r="D1984" s="13">
        <v>44561</v>
      </c>
      <c r="E1984" t="s">
        <v>17</v>
      </c>
      <c r="F1984">
        <v>11</v>
      </c>
      <c r="G1984" t="s">
        <v>501</v>
      </c>
      <c r="H1984">
        <v>40</v>
      </c>
      <c r="I1984" t="s">
        <v>501</v>
      </c>
      <c r="J1984">
        <v>264</v>
      </c>
      <c r="K1984" t="s">
        <v>3681</v>
      </c>
      <c r="L1984" s="13">
        <v>44522</v>
      </c>
      <c r="M1984" t="s">
        <v>351</v>
      </c>
      <c r="N1984" t="s">
        <v>874</v>
      </c>
      <c r="O1984">
        <v>15.69</v>
      </c>
      <c r="P1984" t="s">
        <v>52</v>
      </c>
    </row>
    <row r="1985" spans="1:16" ht="15" customHeight="1" x14ac:dyDescent="0.4">
      <c r="A1985" t="s">
        <v>15</v>
      </c>
      <c r="B1985" t="s">
        <v>16</v>
      </c>
      <c r="C1985" s="13">
        <v>44197</v>
      </c>
      <c r="D1985" s="13">
        <v>44561</v>
      </c>
      <c r="E1985" t="s">
        <v>17</v>
      </c>
      <c r="F1985">
        <v>11</v>
      </c>
      <c r="G1985" t="s">
        <v>501</v>
      </c>
      <c r="H1985">
        <v>40</v>
      </c>
      <c r="I1985" t="s">
        <v>501</v>
      </c>
      <c r="J1985">
        <v>264</v>
      </c>
      <c r="K1985" t="s">
        <v>3681</v>
      </c>
      <c r="L1985" s="13">
        <v>44552</v>
      </c>
      <c r="M1985" t="s">
        <v>351</v>
      </c>
      <c r="N1985" t="s">
        <v>875</v>
      </c>
      <c r="O1985">
        <v>19.61</v>
      </c>
      <c r="P1985" t="s">
        <v>52</v>
      </c>
    </row>
    <row r="1986" spans="1:16" ht="15" customHeight="1" x14ac:dyDescent="0.4">
      <c r="A1986" t="s">
        <v>15</v>
      </c>
      <c r="B1986" t="s">
        <v>16</v>
      </c>
      <c r="C1986" s="13">
        <v>44197</v>
      </c>
      <c r="D1986" s="13">
        <v>44561</v>
      </c>
      <c r="E1986" t="s">
        <v>17</v>
      </c>
      <c r="F1986">
        <v>11</v>
      </c>
      <c r="G1986" t="s">
        <v>501</v>
      </c>
      <c r="H1986">
        <v>40</v>
      </c>
      <c r="I1986" t="s">
        <v>501</v>
      </c>
      <c r="J1986">
        <v>741</v>
      </c>
      <c r="K1986" t="s">
        <v>505</v>
      </c>
      <c r="L1986" s="13">
        <v>44263</v>
      </c>
      <c r="M1986" t="s">
        <v>999</v>
      </c>
      <c r="N1986" t="s">
        <v>1000</v>
      </c>
      <c r="O1986">
        <v>40.08</v>
      </c>
      <c r="P1986" t="s">
        <v>508</v>
      </c>
    </row>
    <row r="1987" spans="1:16" ht="15" customHeight="1" x14ac:dyDescent="0.4">
      <c r="A1987" t="s">
        <v>15</v>
      </c>
      <c r="B1987" t="s">
        <v>16</v>
      </c>
      <c r="C1987" s="13">
        <v>44197</v>
      </c>
      <c r="D1987" s="13">
        <v>44561</v>
      </c>
      <c r="E1987" t="s">
        <v>17</v>
      </c>
      <c r="F1987">
        <v>11</v>
      </c>
      <c r="G1987" t="s">
        <v>501</v>
      </c>
      <c r="H1987">
        <v>40</v>
      </c>
      <c r="I1987" t="s">
        <v>501</v>
      </c>
      <c r="J1987">
        <v>741</v>
      </c>
      <c r="K1987" t="s">
        <v>505</v>
      </c>
      <c r="L1987" s="13">
        <v>44431</v>
      </c>
      <c r="M1987" t="s">
        <v>973</v>
      </c>
      <c r="N1987" t="s">
        <v>1001</v>
      </c>
      <c r="O1987">
        <v>38.54</v>
      </c>
      <c r="P1987" t="s">
        <v>508</v>
      </c>
    </row>
    <row r="1988" spans="1:16" ht="15" customHeight="1" x14ac:dyDescent="0.4">
      <c r="A1988" t="s">
        <v>15</v>
      </c>
      <c r="B1988" t="s">
        <v>16</v>
      </c>
      <c r="C1988" s="13">
        <v>44197</v>
      </c>
      <c r="D1988" s="13">
        <v>44561</v>
      </c>
      <c r="E1988" t="s">
        <v>17</v>
      </c>
      <c r="F1988">
        <v>11</v>
      </c>
      <c r="G1988" t="s">
        <v>501</v>
      </c>
      <c r="H1988">
        <v>40</v>
      </c>
      <c r="I1988" t="s">
        <v>501</v>
      </c>
      <c r="J1988">
        <v>801</v>
      </c>
      <c r="K1988" t="s">
        <v>511</v>
      </c>
      <c r="L1988" s="13">
        <v>44197</v>
      </c>
      <c r="M1988" t="s">
        <v>1002</v>
      </c>
      <c r="N1988" t="s">
        <v>976</v>
      </c>
      <c r="O1988">
        <v>247.54</v>
      </c>
      <c r="P1988" t="s">
        <v>508</v>
      </c>
    </row>
    <row r="1989" spans="1:16" ht="15" customHeight="1" x14ac:dyDescent="0.4">
      <c r="A1989" t="s">
        <v>15</v>
      </c>
      <c r="B1989" t="s">
        <v>16</v>
      </c>
      <c r="C1989" s="13">
        <v>44197</v>
      </c>
      <c r="D1989" s="13">
        <v>44561</v>
      </c>
      <c r="E1989" t="s">
        <v>17</v>
      </c>
      <c r="F1989">
        <v>11</v>
      </c>
      <c r="G1989" t="s">
        <v>501</v>
      </c>
      <c r="H1989">
        <v>40</v>
      </c>
      <c r="I1989" t="s">
        <v>501</v>
      </c>
      <c r="J1989">
        <v>801</v>
      </c>
      <c r="K1989" t="s">
        <v>511</v>
      </c>
      <c r="L1989" s="13">
        <v>44287</v>
      </c>
      <c r="M1989" t="s">
        <v>994</v>
      </c>
      <c r="N1989" t="s">
        <v>46</v>
      </c>
      <c r="O1989">
        <v>247.5</v>
      </c>
      <c r="P1989" t="s">
        <v>46</v>
      </c>
    </row>
    <row r="1990" spans="1:16" ht="15" customHeight="1" x14ac:dyDescent="0.4">
      <c r="A1990" t="s">
        <v>15</v>
      </c>
      <c r="B1990" t="s">
        <v>16</v>
      </c>
      <c r="C1990" s="13">
        <v>44197</v>
      </c>
      <c r="D1990" s="13">
        <v>44561</v>
      </c>
      <c r="E1990" t="s">
        <v>17</v>
      </c>
      <c r="F1990">
        <v>11</v>
      </c>
      <c r="G1990" t="s">
        <v>501</v>
      </c>
      <c r="H1990">
        <v>40</v>
      </c>
      <c r="I1990" t="s">
        <v>501</v>
      </c>
      <c r="J1990">
        <v>801</v>
      </c>
      <c r="K1990" t="s">
        <v>511</v>
      </c>
      <c r="L1990" s="13">
        <v>44351</v>
      </c>
      <c r="M1990" t="s">
        <v>995</v>
      </c>
      <c r="N1990" t="s">
        <v>979</v>
      </c>
      <c r="O1990">
        <v>247.54</v>
      </c>
      <c r="P1990" t="s">
        <v>508</v>
      </c>
    </row>
    <row r="1991" spans="1:16" ht="15" customHeight="1" x14ac:dyDescent="0.4">
      <c r="A1991" t="s">
        <v>15</v>
      </c>
      <c r="B1991" t="s">
        <v>16</v>
      </c>
      <c r="C1991" s="13">
        <v>44197</v>
      </c>
      <c r="D1991" s="13">
        <v>44561</v>
      </c>
      <c r="E1991" t="s">
        <v>17</v>
      </c>
      <c r="F1991">
        <v>11</v>
      </c>
      <c r="G1991" t="s">
        <v>501</v>
      </c>
      <c r="H1991">
        <v>40</v>
      </c>
      <c r="I1991" t="s">
        <v>501</v>
      </c>
      <c r="J1991">
        <v>801</v>
      </c>
      <c r="K1991" t="s">
        <v>511</v>
      </c>
      <c r="L1991" s="13">
        <v>44470</v>
      </c>
      <c r="M1991" t="s">
        <v>996</v>
      </c>
      <c r="N1991" t="s">
        <v>981</v>
      </c>
      <c r="O1991">
        <v>247.54</v>
      </c>
      <c r="P1991" t="s">
        <v>508</v>
      </c>
    </row>
    <row r="1992" spans="1:16" ht="15" customHeight="1" x14ac:dyDescent="0.4">
      <c r="A1992" t="s">
        <v>15</v>
      </c>
      <c r="B1992" t="s">
        <v>16</v>
      </c>
      <c r="C1992" s="13">
        <v>44197</v>
      </c>
      <c r="D1992" s="13">
        <v>44561</v>
      </c>
      <c r="E1992" t="s">
        <v>17</v>
      </c>
      <c r="F1992">
        <v>12</v>
      </c>
      <c r="G1992" t="s">
        <v>525</v>
      </c>
      <c r="H1992">
        <v>65</v>
      </c>
      <c r="I1992" t="s">
        <v>526</v>
      </c>
      <c r="J1992">
        <v>821</v>
      </c>
      <c r="K1992" t="s">
        <v>527</v>
      </c>
      <c r="L1992" s="13">
        <v>44561</v>
      </c>
      <c r="M1992" t="s">
        <v>558</v>
      </c>
      <c r="N1992" t="s">
        <v>46</v>
      </c>
      <c r="O1992">
        <v>1650.33</v>
      </c>
      <c r="P1992" t="s">
        <v>46</v>
      </c>
    </row>
    <row r="1993" spans="1:16" ht="15" customHeight="1" x14ac:dyDescent="0.4">
      <c r="A1993" t="s">
        <v>15</v>
      </c>
      <c r="B1993" t="s">
        <v>16</v>
      </c>
      <c r="C1993" s="13">
        <v>44197</v>
      </c>
      <c r="D1993" s="13">
        <v>44561</v>
      </c>
      <c r="E1993" t="s">
        <v>17</v>
      </c>
      <c r="F1993">
        <v>12</v>
      </c>
      <c r="G1993" t="s">
        <v>525</v>
      </c>
      <c r="H1993">
        <v>65</v>
      </c>
      <c r="I1993" t="s">
        <v>526</v>
      </c>
      <c r="J1993">
        <v>825</v>
      </c>
      <c r="K1993" t="s">
        <v>534</v>
      </c>
      <c r="L1993" s="13">
        <v>44328</v>
      </c>
      <c r="M1993" t="s">
        <v>997</v>
      </c>
      <c r="N1993" t="s">
        <v>1003</v>
      </c>
      <c r="O1993">
        <v>45.1</v>
      </c>
      <c r="P1993" t="s">
        <v>530</v>
      </c>
    </row>
    <row r="1994" spans="1:16" ht="15" customHeight="1" x14ac:dyDescent="0.4">
      <c r="A1994" t="s">
        <v>15</v>
      </c>
      <c r="B1994" t="s">
        <v>16</v>
      </c>
      <c r="C1994" s="13">
        <v>44197</v>
      </c>
      <c r="D1994" s="13">
        <v>44561</v>
      </c>
      <c r="E1994" t="s">
        <v>17</v>
      </c>
      <c r="F1994">
        <v>13</v>
      </c>
      <c r="G1994" t="s">
        <v>560</v>
      </c>
      <c r="H1994">
        <v>50</v>
      </c>
      <c r="I1994" t="s">
        <v>561</v>
      </c>
      <c r="J1994">
        <v>269</v>
      </c>
      <c r="K1994" t="s">
        <v>562</v>
      </c>
      <c r="L1994" s="13">
        <v>44209</v>
      </c>
      <c r="M1994" t="s">
        <v>351</v>
      </c>
      <c r="N1994" t="s">
        <v>1004</v>
      </c>
      <c r="O1994">
        <v>591.66999999999996</v>
      </c>
      <c r="P1994" t="s">
        <v>565</v>
      </c>
    </row>
    <row r="1995" spans="1:16" ht="15" customHeight="1" x14ac:dyDescent="0.4">
      <c r="A1995" t="s">
        <v>15</v>
      </c>
      <c r="B1995" t="s">
        <v>16</v>
      </c>
      <c r="C1995" s="13">
        <v>44197</v>
      </c>
      <c r="D1995" s="13">
        <v>44561</v>
      </c>
      <c r="E1995" t="s">
        <v>17</v>
      </c>
      <c r="F1995">
        <v>13</v>
      </c>
      <c r="G1995" t="s">
        <v>560</v>
      </c>
      <c r="H1995">
        <v>50</v>
      </c>
      <c r="I1995" t="s">
        <v>561</v>
      </c>
      <c r="J1995">
        <v>269</v>
      </c>
      <c r="K1995" t="s">
        <v>562</v>
      </c>
      <c r="L1995" s="13">
        <v>44240</v>
      </c>
      <c r="M1995" t="s">
        <v>351</v>
      </c>
      <c r="N1995" t="s">
        <v>1005</v>
      </c>
      <c r="O1995">
        <v>589.9</v>
      </c>
      <c r="P1995" t="s">
        <v>565</v>
      </c>
    </row>
    <row r="1996" spans="1:16" ht="15" customHeight="1" x14ac:dyDescent="0.4">
      <c r="A1996" t="s">
        <v>15</v>
      </c>
      <c r="B1996" t="s">
        <v>16</v>
      </c>
      <c r="C1996" s="13">
        <v>44197</v>
      </c>
      <c r="D1996" s="13">
        <v>44561</v>
      </c>
      <c r="E1996" t="s">
        <v>17</v>
      </c>
      <c r="F1996">
        <v>13</v>
      </c>
      <c r="G1996" t="s">
        <v>560</v>
      </c>
      <c r="H1996">
        <v>50</v>
      </c>
      <c r="I1996" t="s">
        <v>561</v>
      </c>
      <c r="J1996">
        <v>269</v>
      </c>
      <c r="K1996" t="s">
        <v>562</v>
      </c>
      <c r="L1996" s="13">
        <v>44268</v>
      </c>
      <c r="M1996" t="s">
        <v>351</v>
      </c>
      <c r="N1996" t="s">
        <v>1006</v>
      </c>
      <c r="O1996">
        <v>547.75</v>
      </c>
      <c r="P1996" t="s">
        <v>565</v>
      </c>
    </row>
    <row r="1997" spans="1:16" ht="15" customHeight="1" x14ac:dyDescent="0.4">
      <c r="A1997" t="s">
        <v>15</v>
      </c>
      <c r="B1997" t="s">
        <v>16</v>
      </c>
      <c r="C1997" s="13">
        <v>44197</v>
      </c>
      <c r="D1997" s="13">
        <v>44561</v>
      </c>
      <c r="E1997" t="s">
        <v>17</v>
      </c>
      <c r="F1997">
        <v>13</v>
      </c>
      <c r="G1997" t="s">
        <v>560</v>
      </c>
      <c r="H1997">
        <v>50</v>
      </c>
      <c r="I1997" t="s">
        <v>561</v>
      </c>
      <c r="J1997">
        <v>269</v>
      </c>
      <c r="K1997" t="s">
        <v>562</v>
      </c>
      <c r="L1997" s="13">
        <v>44299</v>
      </c>
      <c r="M1997" t="s">
        <v>351</v>
      </c>
      <c r="N1997" t="s">
        <v>1007</v>
      </c>
      <c r="O1997">
        <v>511.38</v>
      </c>
      <c r="P1997" t="s">
        <v>565</v>
      </c>
    </row>
    <row r="1998" spans="1:16" ht="15" customHeight="1" x14ac:dyDescent="0.4">
      <c r="A1998" t="s">
        <v>15</v>
      </c>
      <c r="B1998" t="s">
        <v>16</v>
      </c>
      <c r="C1998" s="13">
        <v>44197</v>
      </c>
      <c r="D1998" s="13">
        <v>44561</v>
      </c>
      <c r="E1998" t="s">
        <v>17</v>
      </c>
      <c r="F1998">
        <v>13</v>
      </c>
      <c r="G1998" t="s">
        <v>560</v>
      </c>
      <c r="H1998">
        <v>50</v>
      </c>
      <c r="I1998" t="s">
        <v>561</v>
      </c>
      <c r="J1998">
        <v>269</v>
      </c>
      <c r="K1998" t="s">
        <v>562</v>
      </c>
      <c r="L1998" s="13">
        <v>44329</v>
      </c>
      <c r="M1998" t="s">
        <v>351</v>
      </c>
      <c r="N1998" t="s">
        <v>1008</v>
      </c>
      <c r="O1998">
        <v>384.66</v>
      </c>
      <c r="P1998" t="s">
        <v>565</v>
      </c>
    </row>
    <row r="1999" spans="1:16" ht="15" customHeight="1" x14ac:dyDescent="0.4">
      <c r="A1999" t="s">
        <v>15</v>
      </c>
      <c r="B1999" t="s">
        <v>16</v>
      </c>
      <c r="C1999" s="13">
        <v>44197</v>
      </c>
      <c r="D1999" s="13">
        <v>44561</v>
      </c>
      <c r="E1999" t="s">
        <v>17</v>
      </c>
      <c r="F1999">
        <v>13</v>
      </c>
      <c r="G1999" t="s">
        <v>560</v>
      </c>
      <c r="H1999">
        <v>50</v>
      </c>
      <c r="I1999" t="s">
        <v>561</v>
      </c>
      <c r="J1999">
        <v>269</v>
      </c>
      <c r="K1999" t="s">
        <v>562</v>
      </c>
      <c r="L1999" s="13">
        <v>44360</v>
      </c>
      <c r="M1999" t="s">
        <v>351</v>
      </c>
      <c r="N1999" t="s">
        <v>1009</v>
      </c>
      <c r="O1999">
        <v>364.33</v>
      </c>
      <c r="P1999" t="s">
        <v>565</v>
      </c>
    </row>
    <row r="2000" spans="1:16" ht="15" customHeight="1" x14ac:dyDescent="0.4">
      <c r="A2000" t="s">
        <v>15</v>
      </c>
      <c r="B2000" t="s">
        <v>16</v>
      </c>
      <c r="C2000" s="13">
        <v>44197</v>
      </c>
      <c r="D2000" s="13">
        <v>44561</v>
      </c>
      <c r="E2000" t="s">
        <v>17</v>
      </c>
      <c r="F2000">
        <v>13</v>
      </c>
      <c r="G2000" t="s">
        <v>560</v>
      </c>
      <c r="H2000">
        <v>50</v>
      </c>
      <c r="I2000" t="s">
        <v>561</v>
      </c>
      <c r="J2000">
        <v>269</v>
      </c>
      <c r="K2000" t="s">
        <v>562</v>
      </c>
      <c r="L2000" s="13">
        <v>44390</v>
      </c>
      <c r="M2000" t="s">
        <v>351</v>
      </c>
      <c r="N2000" t="s">
        <v>1010</v>
      </c>
      <c r="O2000">
        <v>311.77999999999997</v>
      </c>
      <c r="P2000" t="s">
        <v>565</v>
      </c>
    </row>
    <row r="2001" spans="1:16" ht="15" customHeight="1" x14ac:dyDescent="0.4">
      <c r="A2001" t="s">
        <v>15</v>
      </c>
      <c r="B2001" t="s">
        <v>16</v>
      </c>
      <c r="C2001" s="13">
        <v>44197</v>
      </c>
      <c r="D2001" s="13">
        <v>44561</v>
      </c>
      <c r="E2001" t="s">
        <v>17</v>
      </c>
      <c r="F2001">
        <v>13</v>
      </c>
      <c r="G2001" t="s">
        <v>560</v>
      </c>
      <c r="H2001">
        <v>50</v>
      </c>
      <c r="I2001" t="s">
        <v>561</v>
      </c>
      <c r="J2001">
        <v>269</v>
      </c>
      <c r="K2001" t="s">
        <v>562</v>
      </c>
      <c r="L2001" s="13">
        <v>44421</v>
      </c>
      <c r="M2001" t="s">
        <v>351</v>
      </c>
      <c r="N2001" t="s">
        <v>1011</v>
      </c>
      <c r="O2001">
        <v>284.10000000000002</v>
      </c>
      <c r="P2001" t="s">
        <v>565</v>
      </c>
    </row>
    <row r="2002" spans="1:16" ht="15" customHeight="1" x14ac:dyDescent="0.4">
      <c r="A2002" t="s">
        <v>15</v>
      </c>
      <c r="B2002" t="s">
        <v>16</v>
      </c>
      <c r="C2002" s="13">
        <v>44197</v>
      </c>
      <c r="D2002" s="13">
        <v>44561</v>
      </c>
      <c r="E2002" t="s">
        <v>17</v>
      </c>
      <c r="F2002">
        <v>13</v>
      </c>
      <c r="G2002" t="s">
        <v>560</v>
      </c>
      <c r="H2002">
        <v>50</v>
      </c>
      <c r="I2002" t="s">
        <v>561</v>
      </c>
      <c r="J2002">
        <v>269</v>
      </c>
      <c r="K2002" t="s">
        <v>562</v>
      </c>
      <c r="L2002" s="13">
        <v>44453</v>
      </c>
      <c r="M2002" t="s">
        <v>351</v>
      </c>
      <c r="N2002" t="s">
        <v>1012</v>
      </c>
      <c r="O2002">
        <v>304.5</v>
      </c>
      <c r="P2002" t="s">
        <v>565</v>
      </c>
    </row>
    <row r="2003" spans="1:16" ht="15" customHeight="1" x14ac:dyDescent="0.4">
      <c r="A2003" t="s">
        <v>15</v>
      </c>
      <c r="B2003" t="s">
        <v>16</v>
      </c>
      <c r="C2003" s="13">
        <v>44197</v>
      </c>
      <c r="D2003" s="13">
        <v>44561</v>
      </c>
      <c r="E2003" t="s">
        <v>17</v>
      </c>
      <c r="F2003">
        <v>13</v>
      </c>
      <c r="G2003" t="s">
        <v>560</v>
      </c>
      <c r="H2003">
        <v>50</v>
      </c>
      <c r="I2003" t="s">
        <v>561</v>
      </c>
      <c r="J2003">
        <v>269</v>
      </c>
      <c r="K2003" t="s">
        <v>562</v>
      </c>
      <c r="L2003" s="13">
        <v>44482</v>
      </c>
      <c r="M2003" t="s">
        <v>351</v>
      </c>
      <c r="N2003" t="s">
        <v>1013</v>
      </c>
      <c r="O2003">
        <v>340.68</v>
      </c>
      <c r="P2003" t="s">
        <v>565</v>
      </c>
    </row>
    <row r="2004" spans="1:16" ht="15" customHeight="1" x14ac:dyDescent="0.4">
      <c r="A2004" t="s">
        <v>15</v>
      </c>
      <c r="B2004" t="s">
        <v>16</v>
      </c>
      <c r="C2004" s="13">
        <v>44197</v>
      </c>
      <c r="D2004" s="13">
        <v>44561</v>
      </c>
      <c r="E2004" t="s">
        <v>17</v>
      </c>
      <c r="F2004">
        <v>13</v>
      </c>
      <c r="G2004" t="s">
        <v>560</v>
      </c>
      <c r="H2004">
        <v>50</v>
      </c>
      <c r="I2004" t="s">
        <v>561</v>
      </c>
      <c r="J2004">
        <v>269</v>
      </c>
      <c r="K2004" t="s">
        <v>562</v>
      </c>
      <c r="L2004" s="13">
        <v>44513</v>
      </c>
      <c r="M2004" t="s">
        <v>351</v>
      </c>
      <c r="N2004" t="s">
        <v>1014</v>
      </c>
      <c r="O2004">
        <v>449.08</v>
      </c>
      <c r="P2004" t="s">
        <v>565</v>
      </c>
    </row>
    <row r="2005" spans="1:16" ht="15" customHeight="1" x14ac:dyDescent="0.4">
      <c r="A2005" t="s">
        <v>15</v>
      </c>
      <c r="B2005" t="s">
        <v>16</v>
      </c>
      <c r="C2005" s="13">
        <v>44197</v>
      </c>
      <c r="D2005" s="13">
        <v>44561</v>
      </c>
      <c r="E2005" t="s">
        <v>17</v>
      </c>
      <c r="F2005">
        <v>13</v>
      </c>
      <c r="G2005" t="s">
        <v>560</v>
      </c>
      <c r="H2005">
        <v>50</v>
      </c>
      <c r="I2005" t="s">
        <v>561</v>
      </c>
      <c r="J2005">
        <v>269</v>
      </c>
      <c r="K2005" t="s">
        <v>562</v>
      </c>
      <c r="L2005" s="13">
        <v>44544</v>
      </c>
      <c r="M2005" t="s">
        <v>351</v>
      </c>
      <c r="N2005" t="s">
        <v>1015</v>
      </c>
      <c r="O2005">
        <v>547.85</v>
      </c>
      <c r="P2005" t="s">
        <v>565</v>
      </c>
    </row>
    <row r="2006" spans="1:16" ht="15" customHeight="1" x14ac:dyDescent="0.4">
      <c r="A2006" t="s">
        <v>15</v>
      </c>
      <c r="B2006" t="s">
        <v>16</v>
      </c>
      <c r="C2006" s="13">
        <v>44197</v>
      </c>
      <c r="D2006" s="13">
        <v>44561</v>
      </c>
      <c r="E2006" t="s">
        <v>17</v>
      </c>
      <c r="F2006">
        <v>13</v>
      </c>
      <c r="G2006" t="s">
        <v>560</v>
      </c>
      <c r="H2006">
        <v>50</v>
      </c>
      <c r="I2006" t="s">
        <v>561</v>
      </c>
      <c r="J2006">
        <v>286</v>
      </c>
      <c r="K2006" t="s">
        <v>588</v>
      </c>
      <c r="L2006" s="13">
        <v>44561</v>
      </c>
      <c r="M2006" t="s">
        <v>1016</v>
      </c>
      <c r="N2006" t="s">
        <v>86</v>
      </c>
      <c r="O2006">
        <v>1166.8800000000001</v>
      </c>
      <c r="P2006" t="s">
        <v>46</v>
      </c>
    </row>
    <row r="2007" spans="1:16" ht="15" customHeight="1" x14ac:dyDescent="0.4">
      <c r="A2007" t="s">
        <v>15</v>
      </c>
      <c r="B2007" t="s">
        <v>16</v>
      </c>
      <c r="C2007" s="13">
        <v>44197</v>
      </c>
      <c r="D2007" s="13">
        <v>44561</v>
      </c>
      <c r="E2007" t="s">
        <v>17</v>
      </c>
      <c r="F2007">
        <v>14</v>
      </c>
      <c r="G2007" t="s">
        <v>560</v>
      </c>
      <c r="H2007">
        <v>50</v>
      </c>
      <c r="I2007" t="s">
        <v>561</v>
      </c>
      <c r="J2007">
        <v>269</v>
      </c>
      <c r="K2007" t="s">
        <v>562</v>
      </c>
      <c r="L2007" s="13">
        <v>44209</v>
      </c>
      <c r="M2007" t="s">
        <v>351</v>
      </c>
      <c r="N2007" t="s">
        <v>1017</v>
      </c>
      <c r="O2007">
        <v>604.6</v>
      </c>
      <c r="P2007" t="s">
        <v>565</v>
      </c>
    </row>
    <row r="2008" spans="1:16" ht="15" customHeight="1" x14ac:dyDescent="0.4">
      <c r="A2008" t="s">
        <v>15</v>
      </c>
      <c r="B2008" t="s">
        <v>16</v>
      </c>
      <c r="C2008" s="13">
        <v>44197</v>
      </c>
      <c r="D2008" s="13">
        <v>44561</v>
      </c>
      <c r="E2008" t="s">
        <v>17</v>
      </c>
      <c r="F2008">
        <v>14</v>
      </c>
      <c r="G2008" t="s">
        <v>560</v>
      </c>
      <c r="H2008">
        <v>50</v>
      </c>
      <c r="I2008" t="s">
        <v>561</v>
      </c>
      <c r="J2008">
        <v>269</v>
      </c>
      <c r="K2008" t="s">
        <v>562</v>
      </c>
      <c r="L2008" s="13">
        <v>44240</v>
      </c>
      <c r="M2008" t="s">
        <v>351</v>
      </c>
      <c r="N2008" t="s">
        <v>1018</v>
      </c>
      <c r="O2008">
        <v>586.75</v>
      </c>
      <c r="P2008" t="s">
        <v>565</v>
      </c>
    </row>
    <row r="2009" spans="1:16" ht="15" customHeight="1" x14ac:dyDescent="0.4">
      <c r="A2009" t="s">
        <v>15</v>
      </c>
      <c r="B2009" t="s">
        <v>16</v>
      </c>
      <c r="C2009" s="13">
        <v>44197</v>
      </c>
      <c r="D2009" s="13">
        <v>44561</v>
      </c>
      <c r="E2009" t="s">
        <v>17</v>
      </c>
      <c r="F2009">
        <v>14</v>
      </c>
      <c r="G2009" t="s">
        <v>560</v>
      </c>
      <c r="H2009">
        <v>50</v>
      </c>
      <c r="I2009" t="s">
        <v>561</v>
      </c>
      <c r="J2009">
        <v>269</v>
      </c>
      <c r="K2009" t="s">
        <v>562</v>
      </c>
      <c r="L2009" s="13">
        <v>44268</v>
      </c>
      <c r="M2009" t="s">
        <v>351</v>
      </c>
      <c r="N2009" t="s">
        <v>1019</v>
      </c>
      <c r="O2009">
        <v>510.91</v>
      </c>
      <c r="P2009" t="s">
        <v>565</v>
      </c>
    </row>
    <row r="2010" spans="1:16" ht="15" customHeight="1" x14ac:dyDescent="0.4">
      <c r="A2010" t="s">
        <v>15</v>
      </c>
      <c r="B2010" t="s">
        <v>16</v>
      </c>
      <c r="C2010" s="13">
        <v>44197</v>
      </c>
      <c r="D2010" s="13">
        <v>44561</v>
      </c>
      <c r="E2010" t="s">
        <v>17</v>
      </c>
      <c r="F2010">
        <v>14</v>
      </c>
      <c r="G2010" t="s">
        <v>560</v>
      </c>
      <c r="H2010">
        <v>50</v>
      </c>
      <c r="I2010" t="s">
        <v>561</v>
      </c>
      <c r="J2010">
        <v>269</v>
      </c>
      <c r="K2010" t="s">
        <v>562</v>
      </c>
      <c r="L2010" s="13">
        <v>44299</v>
      </c>
      <c r="M2010" t="s">
        <v>351</v>
      </c>
      <c r="N2010" t="s">
        <v>1020</v>
      </c>
      <c r="O2010">
        <v>485.11</v>
      </c>
      <c r="P2010" t="s">
        <v>565</v>
      </c>
    </row>
    <row r="2011" spans="1:16" ht="15" customHeight="1" x14ac:dyDescent="0.4">
      <c r="A2011" t="s">
        <v>15</v>
      </c>
      <c r="B2011" t="s">
        <v>16</v>
      </c>
      <c r="C2011" s="13">
        <v>44197</v>
      </c>
      <c r="D2011" s="13">
        <v>44561</v>
      </c>
      <c r="E2011" t="s">
        <v>17</v>
      </c>
      <c r="F2011">
        <v>14</v>
      </c>
      <c r="G2011" t="s">
        <v>560</v>
      </c>
      <c r="H2011">
        <v>50</v>
      </c>
      <c r="I2011" t="s">
        <v>561</v>
      </c>
      <c r="J2011">
        <v>269</v>
      </c>
      <c r="K2011" t="s">
        <v>562</v>
      </c>
      <c r="L2011" s="13">
        <v>44329</v>
      </c>
      <c r="M2011" t="s">
        <v>351</v>
      </c>
      <c r="N2011" t="s">
        <v>1021</v>
      </c>
      <c r="O2011">
        <v>349.2</v>
      </c>
      <c r="P2011" t="s">
        <v>565</v>
      </c>
    </row>
    <row r="2012" spans="1:16" ht="15" customHeight="1" x14ac:dyDescent="0.4">
      <c r="A2012" t="s">
        <v>15</v>
      </c>
      <c r="B2012" t="s">
        <v>16</v>
      </c>
      <c r="C2012" s="13">
        <v>44197</v>
      </c>
      <c r="D2012" s="13">
        <v>44561</v>
      </c>
      <c r="E2012" t="s">
        <v>17</v>
      </c>
      <c r="F2012">
        <v>14</v>
      </c>
      <c r="G2012" t="s">
        <v>560</v>
      </c>
      <c r="H2012">
        <v>50</v>
      </c>
      <c r="I2012" t="s">
        <v>561</v>
      </c>
      <c r="J2012">
        <v>269</v>
      </c>
      <c r="K2012" t="s">
        <v>562</v>
      </c>
      <c r="L2012" s="13">
        <v>44360</v>
      </c>
      <c r="M2012" t="s">
        <v>351</v>
      </c>
      <c r="N2012" t="s">
        <v>1022</v>
      </c>
      <c r="O2012">
        <v>332.95</v>
      </c>
      <c r="P2012" t="s">
        <v>565</v>
      </c>
    </row>
    <row r="2013" spans="1:16" ht="15" customHeight="1" x14ac:dyDescent="0.4">
      <c r="A2013" t="s">
        <v>15</v>
      </c>
      <c r="B2013" t="s">
        <v>16</v>
      </c>
      <c r="C2013" s="13">
        <v>44197</v>
      </c>
      <c r="D2013" s="13">
        <v>44561</v>
      </c>
      <c r="E2013" t="s">
        <v>17</v>
      </c>
      <c r="F2013">
        <v>14</v>
      </c>
      <c r="G2013" t="s">
        <v>560</v>
      </c>
      <c r="H2013">
        <v>50</v>
      </c>
      <c r="I2013" t="s">
        <v>561</v>
      </c>
      <c r="J2013">
        <v>269</v>
      </c>
      <c r="K2013" t="s">
        <v>562</v>
      </c>
      <c r="L2013" s="13">
        <v>44390</v>
      </c>
      <c r="M2013" t="s">
        <v>351</v>
      </c>
      <c r="N2013" t="s">
        <v>1023</v>
      </c>
      <c r="O2013">
        <v>281.75</v>
      </c>
      <c r="P2013" t="s">
        <v>565</v>
      </c>
    </row>
    <row r="2014" spans="1:16" ht="15" customHeight="1" x14ac:dyDescent="0.4">
      <c r="A2014" t="s">
        <v>15</v>
      </c>
      <c r="B2014" t="s">
        <v>16</v>
      </c>
      <c r="C2014" s="13">
        <v>44197</v>
      </c>
      <c r="D2014" s="13">
        <v>44561</v>
      </c>
      <c r="E2014" t="s">
        <v>17</v>
      </c>
      <c r="F2014">
        <v>14</v>
      </c>
      <c r="G2014" t="s">
        <v>560</v>
      </c>
      <c r="H2014">
        <v>50</v>
      </c>
      <c r="I2014" t="s">
        <v>561</v>
      </c>
      <c r="J2014">
        <v>269</v>
      </c>
      <c r="K2014" t="s">
        <v>562</v>
      </c>
      <c r="L2014" s="13">
        <v>44421</v>
      </c>
      <c r="M2014" t="s">
        <v>351</v>
      </c>
      <c r="N2014" t="s">
        <v>1024</v>
      </c>
      <c r="O2014">
        <v>278.43</v>
      </c>
      <c r="P2014" t="s">
        <v>565</v>
      </c>
    </row>
    <row r="2015" spans="1:16" ht="15" customHeight="1" x14ac:dyDescent="0.4">
      <c r="A2015" t="s">
        <v>15</v>
      </c>
      <c r="B2015" t="s">
        <v>16</v>
      </c>
      <c r="C2015" s="13">
        <v>44197</v>
      </c>
      <c r="D2015" s="13">
        <v>44561</v>
      </c>
      <c r="E2015" t="s">
        <v>17</v>
      </c>
      <c r="F2015">
        <v>14</v>
      </c>
      <c r="G2015" t="s">
        <v>560</v>
      </c>
      <c r="H2015">
        <v>50</v>
      </c>
      <c r="I2015" t="s">
        <v>561</v>
      </c>
      <c r="J2015">
        <v>269</v>
      </c>
      <c r="K2015" t="s">
        <v>562</v>
      </c>
      <c r="L2015" s="13">
        <v>44453</v>
      </c>
      <c r="M2015" t="s">
        <v>351</v>
      </c>
      <c r="N2015" t="s">
        <v>1025</v>
      </c>
      <c r="O2015">
        <v>271.94</v>
      </c>
      <c r="P2015" t="s">
        <v>565</v>
      </c>
    </row>
    <row r="2016" spans="1:16" ht="15" customHeight="1" x14ac:dyDescent="0.4">
      <c r="A2016" t="s">
        <v>15</v>
      </c>
      <c r="B2016" t="s">
        <v>16</v>
      </c>
      <c r="C2016" s="13">
        <v>44197</v>
      </c>
      <c r="D2016" s="13">
        <v>44561</v>
      </c>
      <c r="E2016" t="s">
        <v>17</v>
      </c>
      <c r="F2016">
        <v>14</v>
      </c>
      <c r="G2016" t="s">
        <v>560</v>
      </c>
      <c r="H2016">
        <v>50</v>
      </c>
      <c r="I2016" t="s">
        <v>561</v>
      </c>
      <c r="J2016">
        <v>269</v>
      </c>
      <c r="K2016" t="s">
        <v>562</v>
      </c>
      <c r="L2016" s="13">
        <v>44482</v>
      </c>
      <c r="M2016" t="s">
        <v>351</v>
      </c>
      <c r="N2016" t="s">
        <v>1026</v>
      </c>
      <c r="O2016">
        <v>302.64999999999998</v>
      </c>
      <c r="P2016" t="s">
        <v>565</v>
      </c>
    </row>
    <row r="2017" spans="1:16" ht="15" customHeight="1" x14ac:dyDescent="0.4">
      <c r="A2017" t="s">
        <v>15</v>
      </c>
      <c r="B2017" t="s">
        <v>16</v>
      </c>
      <c r="C2017" s="13">
        <v>44197</v>
      </c>
      <c r="D2017" s="13">
        <v>44561</v>
      </c>
      <c r="E2017" t="s">
        <v>17</v>
      </c>
      <c r="F2017">
        <v>14</v>
      </c>
      <c r="G2017" t="s">
        <v>560</v>
      </c>
      <c r="H2017">
        <v>50</v>
      </c>
      <c r="I2017" t="s">
        <v>561</v>
      </c>
      <c r="J2017">
        <v>269</v>
      </c>
      <c r="K2017" t="s">
        <v>562</v>
      </c>
      <c r="L2017" s="13">
        <v>44518</v>
      </c>
      <c r="M2017" t="s">
        <v>351</v>
      </c>
      <c r="N2017" t="s">
        <v>1027</v>
      </c>
      <c r="O2017">
        <v>410.12</v>
      </c>
      <c r="P2017" t="s">
        <v>565</v>
      </c>
    </row>
    <row r="2018" spans="1:16" ht="15" customHeight="1" x14ac:dyDescent="0.4">
      <c r="A2018" t="s">
        <v>15</v>
      </c>
      <c r="B2018" t="s">
        <v>16</v>
      </c>
      <c r="C2018" s="13">
        <v>44197</v>
      </c>
      <c r="D2018" s="13">
        <v>44561</v>
      </c>
      <c r="E2018" t="s">
        <v>17</v>
      </c>
      <c r="F2018">
        <v>14</v>
      </c>
      <c r="G2018" t="s">
        <v>560</v>
      </c>
      <c r="H2018">
        <v>50</v>
      </c>
      <c r="I2018" t="s">
        <v>561</v>
      </c>
      <c r="J2018">
        <v>269</v>
      </c>
      <c r="K2018" t="s">
        <v>562</v>
      </c>
      <c r="L2018" s="13">
        <v>44546</v>
      </c>
      <c r="M2018" t="s">
        <v>351</v>
      </c>
      <c r="N2018" t="s">
        <v>1028</v>
      </c>
      <c r="O2018">
        <v>538.04</v>
      </c>
      <c r="P2018" t="s">
        <v>565</v>
      </c>
    </row>
    <row r="2019" spans="1:16" ht="15" customHeight="1" x14ac:dyDescent="0.4">
      <c r="A2019" t="s">
        <v>15</v>
      </c>
      <c r="B2019" t="s">
        <v>16</v>
      </c>
      <c r="C2019" s="13">
        <v>44197</v>
      </c>
      <c r="D2019" s="13">
        <v>44561</v>
      </c>
      <c r="E2019" t="s">
        <v>17</v>
      </c>
      <c r="F2019">
        <v>14</v>
      </c>
      <c r="G2019" t="s">
        <v>560</v>
      </c>
      <c r="H2019">
        <v>50</v>
      </c>
      <c r="I2019" t="s">
        <v>561</v>
      </c>
      <c r="J2019">
        <v>286</v>
      </c>
      <c r="K2019" t="s">
        <v>588</v>
      </c>
      <c r="L2019" s="13">
        <v>44561</v>
      </c>
      <c r="M2019" t="s">
        <v>1029</v>
      </c>
      <c r="N2019" t="s">
        <v>86</v>
      </c>
      <c r="O2019">
        <v>1312.25</v>
      </c>
      <c r="P2019" t="s">
        <v>46</v>
      </c>
    </row>
    <row r="2020" spans="1:16" ht="15" customHeight="1" x14ac:dyDescent="0.4">
      <c r="A2020" t="s">
        <v>15</v>
      </c>
      <c r="B2020" t="s">
        <v>16</v>
      </c>
      <c r="C2020" s="13">
        <v>44197</v>
      </c>
      <c r="D2020" s="13">
        <v>44561</v>
      </c>
      <c r="E2020" t="s">
        <v>17</v>
      </c>
      <c r="F2020">
        <v>15</v>
      </c>
      <c r="G2020" t="s">
        <v>560</v>
      </c>
      <c r="H2020">
        <v>50</v>
      </c>
      <c r="I2020" t="s">
        <v>561</v>
      </c>
      <c r="J2020">
        <v>269</v>
      </c>
      <c r="K2020" t="s">
        <v>562</v>
      </c>
      <c r="L2020" s="13">
        <v>44209</v>
      </c>
      <c r="M2020" t="s">
        <v>351</v>
      </c>
      <c r="N2020" t="s">
        <v>1017</v>
      </c>
      <c r="O2020">
        <v>604.6</v>
      </c>
      <c r="P2020" t="s">
        <v>565</v>
      </c>
    </row>
    <row r="2021" spans="1:16" ht="15" customHeight="1" x14ac:dyDescent="0.4">
      <c r="A2021" t="s">
        <v>15</v>
      </c>
      <c r="B2021" t="s">
        <v>16</v>
      </c>
      <c r="C2021" s="13">
        <v>44197</v>
      </c>
      <c r="D2021" s="13">
        <v>44561</v>
      </c>
      <c r="E2021" t="s">
        <v>17</v>
      </c>
      <c r="F2021">
        <v>15</v>
      </c>
      <c r="G2021" t="s">
        <v>560</v>
      </c>
      <c r="H2021">
        <v>50</v>
      </c>
      <c r="I2021" t="s">
        <v>561</v>
      </c>
      <c r="J2021">
        <v>269</v>
      </c>
      <c r="K2021" t="s">
        <v>562</v>
      </c>
      <c r="L2021" s="13">
        <v>44240</v>
      </c>
      <c r="M2021" t="s">
        <v>351</v>
      </c>
      <c r="N2021" t="s">
        <v>1018</v>
      </c>
      <c r="O2021">
        <v>586.75</v>
      </c>
      <c r="P2021" t="s">
        <v>565</v>
      </c>
    </row>
    <row r="2022" spans="1:16" ht="15" customHeight="1" x14ac:dyDescent="0.4">
      <c r="A2022" t="s">
        <v>15</v>
      </c>
      <c r="B2022" t="s">
        <v>16</v>
      </c>
      <c r="C2022" s="13">
        <v>44197</v>
      </c>
      <c r="D2022" s="13">
        <v>44561</v>
      </c>
      <c r="E2022" t="s">
        <v>17</v>
      </c>
      <c r="F2022">
        <v>15</v>
      </c>
      <c r="G2022" t="s">
        <v>560</v>
      </c>
      <c r="H2022">
        <v>50</v>
      </c>
      <c r="I2022" t="s">
        <v>561</v>
      </c>
      <c r="J2022">
        <v>269</v>
      </c>
      <c r="K2022" t="s">
        <v>562</v>
      </c>
      <c r="L2022" s="13">
        <v>44268</v>
      </c>
      <c r="M2022" t="s">
        <v>351</v>
      </c>
      <c r="N2022" t="s">
        <v>1019</v>
      </c>
      <c r="O2022">
        <v>510.9</v>
      </c>
      <c r="P2022" t="s">
        <v>565</v>
      </c>
    </row>
    <row r="2023" spans="1:16" ht="15" customHeight="1" x14ac:dyDescent="0.4">
      <c r="A2023" t="s">
        <v>15</v>
      </c>
      <c r="B2023" t="s">
        <v>16</v>
      </c>
      <c r="C2023" s="13">
        <v>44197</v>
      </c>
      <c r="D2023" s="13">
        <v>44561</v>
      </c>
      <c r="E2023" t="s">
        <v>17</v>
      </c>
      <c r="F2023">
        <v>15</v>
      </c>
      <c r="G2023" t="s">
        <v>560</v>
      </c>
      <c r="H2023">
        <v>50</v>
      </c>
      <c r="I2023" t="s">
        <v>561</v>
      </c>
      <c r="J2023">
        <v>269</v>
      </c>
      <c r="K2023" t="s">
        <v>562</v>
      </c>
      <c r="L2023" s="13">
        <v>44299</v>
      </c>
      <c r="M2023" t="s">
        <v>351</v>
      </c>
      <c r="N2023" t="s">
        <v>1020</v>
      </c>
      <c r="O2023">
        <v>485.1</v>
      </c>
      <c r="P2023" t="s">
        <v>565</v>
      </c>
    </row>
    <row r="2024" spans="1:16" ht="15" customHeight="1" x14ac:dyDescent="0.4">
      <c r="A2024" t="s">
        <v>15</v>
      </c>
      <c r="B2024" t="s">
        <v>16</v>
      </c>
      <c r="C2024" s="13">
        <v>44197</v>
      </c>
      <c r="D2024" s="13">
        <v>44561</v>
      </c>
      <c r="E2024" t="s">
        <v>17</v>
      </c>
      <c r="F2024">
        <v>15</v>
      </c>
      <c r="G2024" t="s">
        <v>560</v>
      </c>
      <c r="H2024">
        <v>50</v>
      </c>
      <c r="I2024" t="s">
        <v>561</v>
      </c>
      <c r="J2024">
        <v>269</v>
      </c>
      <c r="K2024" t="s">
        <v>562</v>
      </c>
      <c r="L2024" s="13">
        <v>44329</v>
      </c>
      <c r="M2024" t="s">
        <v>351</v>
      </c>
      <c r="N2024" t="s">
        <v>1021</v>
      </c>
      <c r="O2024">
        <v>349.2</v>
      </c>
      <c r="P2024" t="s">
        <v>565</v>
      </c>
    </row>
    <row r="2025" spans="1:16" ht="15" customHeight="1" x14ac:dyDescent="0.4">
      <c r="A2025" t="s">
        <v>15</v>
      </c>
      <c r="B2025" t="s">
        <v>16</v>
      </c>
      <c r="C2025" s="13">
        <v>44197</v>
      </c>
      <c r="D2025" s="13">
        <v>44561</v>
      </c>
      <c r="E2025" t="s">
        <v>17</v>
      </c>
      <c r="F2025">
        <v>15</v>
      </c>
      <c r="G2025" t="s">
        <v>560</v>
      </c>
      <c r="H2025">
        <v>50</v>
      </c>
      <c r="I2025" t="s">
        <v>561</v>
      </c>
      <c r="J2025">
        <v>269</v>
      </c>
      <c r="K2025" t="s">
        <v>562</v>
      </c>
      <c r="L2025" s="13">
        <v>44360</v>
      </c>
      <c r="M2025" t="s">
        <v>351</v>
      </c>
      <c r="N2025" t="s">
        <v>1022</v>
      </c>
      <c r="O2025">
        <v>332.95</v>
      </c>
      <c r="P2025" t="s">
        <v>565</v>
      </c>
    </row>
    <row r="2026" spans="1:16" ht="15" customHeight="1" x14ac:dyDescent="0.4">
      <c r="A2026" t="s">
        <v>15</v>
      </c>
      <c r="B2026" t="s">
        <v>16</v>
      </c>
      <c r="C2026" s="13">
        <v>44197</v>
      </c>
      <c r="D2026" s="13">
        <v>44561</v>
      </c>
      <c r="E2026" t="s">
        <v>17</v>
      </c>
      <c r="F2026">
        <v>15</v>
      </c>
      <c r="G2026" t="s">
        <v>560</v>
      </c>
      <c r="H2026">
        <v>50</v>
      </c>
      <c r="I2026" t="s">
        <v>561</v>
      </c>
      <c r="J2026">
        <v>269</v>
      </c>
      <c r="K2026" t="s">
        <v>562</v>
      </c>
      <c r="L2026" s="13">
        <v>44390</v>
      </c>
      <c r="M2026" t="s">
        <v>351</v>
      </c>
      <c r="N2026" t="s">
        <v>1023</v>
      </c>
      <c r="O2026">
        <v>281.75</v>
      </c>
      <c r="P2026" t="s">
        <v>565</v>
      </c>
    </row>
    <row r="2027" spans="1:16" ht="15" customHeight="1" x14ac:dyDescent="0.4">
      <c r="A2027" t="s">
        <v>15</v>
      </c>
      <c r="B2027" t="s">
        <v>16</v>
      </c>
      <c r="C2027" s="13">
        <v>44197</v>
      </c>
      <c r="D2027" s="13">
        <v>44561</v>
      </c>
      <c r="E2027" t="s">
        <v>17</v>
      </c>
      <c r="F2027">
        <v>15</v>
      </c>
      <c r="G2027" t="s">
        <v>560</v>
      </c>
      <c r="H2027">
        <v>50</v>
      </c>
      <c r="I2027" t="s">
        <v>561</v>
      </c>
      <c r="J2027">
        <v>269</v>
      </c>
      <c r="K2027" t="s">
        <v>562</v>
      </c>
      <c r="L2027" s="13">
        <v>44421</v>
      </c>
      <c r="M2027" t="s">
        <v>351</v>
      </c>
      <c r="N2027" t="s">
        <v>1024</v>
      </c>
      <c r="O2027">
        <v>278.42</v>
      </c>
      <c r="P2027" t="s">
        <v>565</v>
      </c>
    </row>
    <row r="2028" spans="1:16" ht="15" customHeight="1" x14ac:dyDescent="0.4">
      <c r="A2028" t="s">
        <v>15</v>
      </c>
      <c r="B2028" t="s">
        <v>16</v>
      </c>
      <c r="C2028" s="13">
        <v>44197</v>
      </c>
      <c r="D2028" s="13">
        <v>44561</v>
      </c>
      <c r="E2028" t="s">
        <v>17</v>
      </c>
      <c r="F2028">
        <v>15</v>
      </c>
      <c r="G2028" t="s">
        <v>560</v>
      </c>
      <c r="H2028">
        <v>50</v>
      </c>
      <c r="I2028" t="s">
        <v>561</v>
      </c>
      <c r="J2028">
        <v>269</v>
      </c>
      <c r="K2028" t="s">
        <v>562</v>
      </c>
      <c r="L2028" s="13">
        <v>44453</v>
      </c>
      <c r="M2028" t="s">
        <v>351</v>
      </c>
      <c r="N2028" t="s">
        <v>1025</v>
      </c>
      <c r="O2028">
        <v>271.95</v>
      </c>
      <c r="P2028" t="s">
        <v>565</v>
      </c>
    </row>
    <row r="2029" spans="1:16" ht="15" customHeight="1" x14ac:dyDescent="0.4">
      <c r="A2029" t="s">
        <v>15</v>
      </c>
      <c r="B2029" t="s">
        <v>16</v>
      </c>
      <c r="C2029" s="13">
        <v>44197</v>
      </c>
      <c r="D2029" s="13">
        <v>44561</v>
      </c>
      <c r="E2029" t="s">
        <v>17</v>
      </c>
      <c r="F2029">
        <v>15</v>
      </c>
      <c r="G2029" t="s">
        <v>560</v>
      </c>
      <c r="H2029">
        <v>50</v>
      </c>
      <c r="I2029" t="s">
        <v>561</v>
      </c>
      <c r="J2029">
        <v>269</v>
      </c>
      <c r="K2029" t="s">
        <v>562</v>
      </c>
      <c r="L2029" s="13">
        <v>44482</v>
      </c>
      <c r="M2029" t="s">
        <v>351</v>
      </c>
      <c r="N2029" t="s">
        <v>1026</v>
      </c>
      <c r="O2029">
        <v>302.64999999999998</v>
      </c>
      <c r="P2029" t="s">
        <v>565</v>
      </c>
    </row>
    <row r="2030" spans="1:16" ht="15" customHeight="1" x14ac:dyDescent="0.4">
      <c r="A2030" t="s">
        <v>15</v>
      </c>
      <c r="B2030" t="s">
        <v>16</v>
      </c>
      <c r="C2030" s="13">
        <v>44197</v>
      </c>
      <c r="D2030" s="13">
        <v>44561</v>
      </c>
      <c r="E2030" t="s">
        <v>17</v>
      </c>
      <c r="F2030">
        <v>15</v>
      </c>
      <c r="G2030" t="s">
        <v>560</v>
      </c>
      <c r="H2030">
        <v>50</v>
      </c>
      <c r="I2030" t="s">
        <v>561</v>
      </c>
      <c r="J2030">
        <v>269</v>
      </c>
      <c r="K2030" t="s">
        <v>562</v>
      </c>
      <c r="L2030" s="13">
        <v>44518</v>
      </c>
      <c r="M2030" t="s">
        <v>351</v>
      </c>
      <c r="N2030" t="s">
        <v>1027</v>
      </c>
      <c r="O2030">
        <v>410.12</v>
      </c>
      <c r="P2030" t="s">
        <v>565</v>
      </c>
    </row>
    <row r="2031" spans="1:16" ht="15" customHeight="1" x14ac:dyDescent="0.4">
      <c r="A2031" t="s">
        <v>15</v>
      </c>
      <c r="B2031" t="s">
        <v>16</v>
      </c>
      <c r="C2031" s="13">
        <v>44197</v>
      </c>
      <c r="D2031" s="13">
        <v>44561</v>
      </c>
      <c r="E2031" t="s">
        <v>17</v>
      </c>
      <c r="F2031">
        <v>15</v>
      </c>
      <c r="G2031" t="s">
        <v>560</v>
      </c>
      <c r="H2031">
        <v>50</v>
      </c>
      <c r="I2031" t="s">
        <v>561</v>
      </c>
      <c r="J2031">
        <v>269</v>
      </c>
      <c r="K2031" t="s">
        <v>562</v>
      </c>
      <c r="L2031" s="13">
        <v>44546</v>
      </c>
      <c r="M2031" t="s">
        <v>351</v>
      </c>
      <c r="N2031" t="s">
        <v>1028</v>
      </c>
      <c r="O2031">
        <v>538.04</v>
      </c>
      <c r="P2031" t="s">
        <v>565</v>
      </c>
    </row>
    <row r="2032" spans="1:16" ht="15" customHeight="1" x14ac:dyDescent="0.4">
      <c r="A2032" t="s">
        <v>15</v>
      </c>
      <c r="B2032" t="s">
        <v>16</v>
      </c>
      <c r="C2032" s="13">
        <v>44197</v>
      </c>
      <c r="D2032" s="13">
        <v>44561</v>
      </c>
      <c r="E2032" t="s">
        <v>17</v>
      </c>
      <c r="F2032">
        <v>15</v>
      </c>
      <c r="G2032" t="s">
        <v>560</v>
      </c>
      <c r="H2032">
        <v>50</v>
      </c>
      <c r="I2032" t="s">
        <v>561</v>
      </c>
      <c r="J2032">
        <v>286</v>
      </c>
      <c r="K2032" t="s">
        <v>588</v>
      </c>
      <c r="L2032" s="13">
        <v>44561</v>
      </c>
      <c r="M2032" t="s">
        <v>1030</v>
      </c>
      <c r="N2032" t="s">
        <v>86</v>
      </c>
      <c r="O2032">
        <v>1874.08</v>
      </c>
      <c r="P2032" t="s">
        <v>46</v>
      </c>
    </row>
    <row r="2033" spans="1:16" ht="15" customHeight="1" x14ac:dyDescent="0.4">
      <c r="A2033" t="s">
        <v>15</v>
      </c>
      <c r="B2033" t="s">
        <v>16</v>
      </c>
      <c r="C2033" s="13">
        <v>44197</v>
      </c>
      <c r="D2033" s="13">
        <v>44561</v>
      </c>
      <c r="E2033" t="s">
        <v>17</v>
      </c>
      <c r="F2033">
        <v>15</v>
      </c>
      <c r="G2033" t="s">
        <v>560</v>
      </c>
      <c r="H2033">
        <v>50</v>
      </c>
      <c r="I2033" t="s">
        <v>561</v>
      </c>
      <c r="J2033">
        <v>289</v>
      </c>
      <c r="K2033" t="s">
        <v>615</v>
      </c>
      <c r="L2033" s="13">
        <v>44561</v>
      </c>
      <c r="M2033" t="s">
        <v>616</v>
      </c>
      <c r="N2033" t="s">
        <v>98</v>
      </c>
      <c r="O2033">
        <v>-22.26</v>
      </c>
      <c r="P2033" t="s">
        <v>46</v>
      </c>
    </row>
    <row r="2034" spans="1:16" ht="15" customHeight="1" x14ac:dyDescent="0.4">
      <c r="A2034" t="s">
        <v>15</v>
      </c>
      <c r="B2034" t="s">
        <v>16</v>
      </c>
      <c r="C2034" s="13">
        <v>44197</v>
      </c>
      <c r="D2034" s="13">
        <v>44561</v>
      </c>
      <c r="E2034" t="s">
        <v>17</v>
      </c>
      <c r="F2034">
        <v>16</v>
      </c>
      <c r="G2034" t="s">
        <v>617</v>
      </c>
      <c r="H2034">
        <v>6</v>
      </c>
      <c r="I2034" t="s">
        <v>618</v>
      </c>
      <c r="J2034">
        <v>269</v>
      </c>
      <c r="K2034" t="s">
        <v>3695</v>
      </c>
      <c r="L2034" s="13">
        <v>44218</v>
      </c>
      <c r="M2034" t="s">
        <v>351</v>
      </c>
      <c r="N2034" t="s">
        <v>867</v>
      </c>
      <c r="O2034">
        <v>46.49</v>
      </c>
      <c r="P2034" t="s">
        <v>52</v>
      </c>
    </row>
    <row r="2035" spans="1:16" ht="15" customHeight="1" x14ac:dyDescent="0.4">
      <c r="A2035" t="s">
        <v>15</v>
      </c>
      <c r="B2035" t="s">
        <v>16</v>
      </c>
      <c r="C2035" s="13">
        <v>44197</v>
      </c>
      <c r="D2035" s="13">
        <v>44561</v>
      </c>
      <c r="E2035" t="s">
        <v>17</v>
      </c>
      <c r="F2035">
        <v>16</v>
      </c>
      <c r="G2035" t="s">
        <v>617</v>
      </c>
      <c r="H2035">
        <v>6</v>
      </c>
      <c r="I2035" t="s">
        <v>618</v>
      </c>
      <c r="J2035">
        <v>269</v>
      </c>
      <c r="K2035" t="s">
        <v>3695</v>
      </c>
      <c r="L2035" s="13">
        <v>44277</v>
      </c>
      <c r="M2035" t="s">
        <v>351</v>
      </c>
      <c r="N2035" t="s">
        <v>868</v>
      </c>
      <c r="O2035">
        <v>31.13</v>
      </c>
      <c r="P2035" t="s">
        <v>52</v>
      </c>
    </row>
    <row r="2036" spans="1:16" ht="15" customHeight="1" x14ac:dyDescent="0.4">
      <c r="A2036" t="s">
        <v>15</v>
      </c>
      <c r="B2036" t="s">
        <v>16</v>
      </c>
      <c r="C2036" s="13">
        <v>44197</v>
      </c>
      <c r="D2036" s="13">
        <v>44561</v>
      </c>
      <c r="E2036" t="s">
        <v>17</v>
      </c>
      <c r="F2036">
        <v>16</v>
      </c>
      <c r="G2036" t="s">
        <v>617</v>
      </c>
      <c r="H2036">
        <v>6</v>
      </c>
      <c r="I2036" t="s">
        <v>618</v>
      </c>
      <c r="J2036">
        <v>269</v>
      </c>
      <c r="K2036" t="s">
        <v>3695</v>
      </c>
      <c r="L2036" s="13">
        <v>44338</v>
      </c>
      <c r="M2036" t="s">
        <v>351</v>
      </c>
      <c r="N2036" t="s">
        <v>869</v>
      </c>
      <c r="O2036">
        <v>23.14</v>
      </c>
      <c r="P2036" t="s">
        <v>52</v>
      </c>
    </row>
    <row r="2037" spans="1:16" ht="15" customHeight="1" x14ac:dyDescent="0.4">
      <c r="A2037" t="s">
        <v>15</v>
      </c>
      <c r="B2037" t="s">
        <v>16</v>
      </c>
      <c r="C2037" s="13">
        <v>44197</v>
      </c>
      <c r="D2037" s="13">
        <v>44561</v>
      </c>
      <c r="E2037" t="s">
        <v>17</v>
      </c>
      <c r="F2037">
        <v>16</v>
      </c>
      <c r="G2037" t="s">
        <v>617</v>
      </c>
      <c r="H2037">
        <v>6</v>
      </c>
      <c r="I2037" t="s">
        <v>618</v>
      </c>
      <c r="J2037">
        <v>269</v>
      </c>
      <c r="K2037" t="s">
        <v>3695</v>
      </c>
      <c r="L2037" s="13">
        <v>44399</v>
      </c>
      <c r="M2037" t="s">
        <v>351</v>
      </c>
      <c r="N2037" t="s">
        <v>870</v>
      </c>
      <c r="O2037">
        <v>23.58</v>
      </c>
      <c r="P2037" t="s">
        <v>52</v>
      </c>
    </row>
    <row r="2038" spans="1:16" ht="15" customHeight="1" x14ac:dyDescent="0.4">
      <c r="A2038" t="s">
        <v>15</v>
      </c>
      <c r="B2038" t="s">
        <v>16</v>
      </c>
      <c r="C2038" s="13">
        <v>44197</v>
      </c>
      <c r="D2038" s="13">
        <v>44561</v>
      </c>
      <c r="E2038" t="s">
        <v>17</v>
      </c>
      <c r="F2038">
        <v>16</v>
      </c>
      <c r="G2038" t="s">
        <v>617</v>
      </c>
      <c r="H2038">
        <v>6</v>
      </c>
      <c r="I2038" t="s">
        <v>618</v>
      </c>
      <c r="J2038">
        <v>269</v>
      </c>
      <c r="K2038" t="s">
        <v>3695</v>
      </c>
      <c r="L2038" s="13">
        <v>44430</v>
      </c>
      <c r="M2038" t="s">
        <v>351</v>
      </c>
      <c r="N2038" t="s">
        <v>871</v>
      </c>
      <c r="O2038">
        <v>9</v>
      </c>
      <c r="P2038" t="s">
        <v>52</v>
      </c>
    </row>
    <row r="2039" spans="1:16" ht="15" customHeight="1" x14ac:dyDescent="0.4">
      <c r="A2039" t="s">
        <v>15</v>
      </c>
      <c r="B2039" t="s">
        <v>16</v>
      </c>
      <c r="C2039" s="13">
        <v>44197</v>
      </c>
      <c r="D2039" s="13">
        <v>44561</v>
      </c>
      <c r="E2039" t="s">
        <v>17</v>
      </c>
      <c r="F2039">
        <v>16</v>
      </c>
      <c r="G2039" t="s">
        <v>617</v>
      </c>
      <c r="H2039">
        <v>6</v>
      </c>
      <c r="I2039" t="s">
        <v>618</v>
      </c>
      <c r="J2039">
        <v>269</v>
      </c>
      <c r="K2039" t="s">
        <v>3695</v>
      </c>
      <c r="L2039" s="13">
        <v>44461</v>
      </c>
      <c r="M2039" t="s">
        <v>351</v>
      </c>
      <c r="N2039" t="s">
        <v>872</v>
      </c>
      <c r="O2039">
        <v>12.48</v>
      </c>
      <c r="P2039" t="s">
        <v>52</v>
      </c>
    </row>
    <row r="2040" spans="1:16" ht="15" customHeight="1" x14ac:dyDescent="0.4">
      <c r="A2040" t="s">
        <v>15</v>
      </c>
      <c r="B2040" t="s">
        <v>16</v>
      </c>
      <c r="C2040" s="13">
        <v>44197</v>
      </c>
      <c r="D2040" s="13">
        <v>44561</v>
      </c>
      <c r="E2040" t="s">
        <v>17</v>
      </c>
      <c r="F2040">
        <v>16</v>
      </c>
      <c r="G2040" t="s">
        <v>617</v>
      </c>
      <c r="H2040">
        <v>6</v>
      </c>
      <c r="I2040" t="s">
        <v>618</v>
      </c>
      <c r="J2040">
        <v>269</v>
      </c>
      <c r="K2040" t="s">
        <v>3695</v>
      </c>
      <c r="L2040" s="13">
        <v>44491</v>
      </c>
      <c r="M2040" t="s">
        <v>351</v>
      </c>
      <c r="N2040" t="s">
        <v>873</v>
      </c>
      <c r="O2040">
        <v>12.87</v>
      </c>
      <c r="P2040" t="s">
        <v>52</v>
      </c>
    </row>
    <row r="2041" spans="1:16" ht="15" customHeight="1" x14ac:dyDescent="0.4">
      <c r="A2041" t="s">
        <v>15</v>
      </c>
      <c r="B2041" t="s">
        <v>16</v>
      </c>
      <c r="C2041" s="13">
        <v>44197</v>
      </c>
      <c r="D2041" s="13">
        <v>44561</v>
      </c>
      <c r="E2041" t="s">
        <v>17</v>
      </c>
      <c r="F2041">
        <v>16</v>
      </c>
      <c r="G2041" t="s">
        <v>617</v>
      </c>
      <c r="H2041">
        <v>6</v>
      </c>
      <c r="I2041" t="s">
        <v>618</v>
      </c>
      <c r="J2041">
        <v>269</v>
      </c>
      <c r="K2041" t="s">
        <v>3695</v>
      </c>
      <c r="L2041" s="13">
        <v>44522</v>
      </c>
      <c r="M2041" t="s">
        <v>351</v>
      </c>
      <c r="N2041" t="s">
        <v>874</v>
      </c>
      <c r="O2041">
        <v>13.73</v>
      </c>
      <c r="P2041" t="s">
        <v>52</v>
      </c>
    </row>
    <row r="2042" spans="1:16" ht="15" customHeight="1" x14ac:dyDescent="0.4">
      <c r="A2042" t="s">
        <v>15</v>
      </c>
      <c r="B2042" t="s">
        <v>16</v>
      </c>
      <c r="C2042" s="13">
        <v>44197</v>
      </c>
      <c r="D2042" s="13">
        <v>44561</v>
      </c>
      <c r="E2042" t="s">
        <v>17</v>
      </c>
      <c r="F2042">
        <v>16</v>
      </c>
      <c r="G2042" t="s">
        <v>617</v>
      </c>
      <c r="H2042">
        <v>6</v>
      </c>
      <c r="I2042" t="s">
        <v>618</v>
      </c>
      <c r="J2042">
        <v>269</v>
      </c>
      <c r="K2042" t="s">
        <v>3695</v>
      </c>
      <c r="L2042" s="13">
        <v>44552</v>
      </c>
      <c r="M2042" t="s">
        <v>351</v>
      </c>
      <c r="N2042" t="s">
        <v>875</v>
      </c>
      <c r="O2042">
        <v>17.16</v>
      </c>
      <c r="P2042" t="s">
        <v>52</v>
      </c>
    </row>
    <row r="2043" spans="1:16" ht="15" customHeight="1" x14ac:dyDescent="0.4">
      <c r="A2043" t="s">
        <v>15</v>
      </c>
      <c r="B2043" t="s">
        <v>16</v>
      </c>
      <c r="C2043" s="13">
        <v>44197</v>
      </c>
      <c r="D2043" s="13">
        <v>44561</v>
      </c>
      <c r="E2043" t="s">
        <v>17</v>
      </c>
      <c r="F2043">
        <v>16</v>
      </c>
      <c r="G2043" t="s">
        <v>617</v>
      </c>
      <c r="H2043">
        <v>6</v>
      </c>
      <c r="I2043" t="s">
        <v>618</v>
      </c>
      <c r="J2043">
        <v>605</v>
      </c>
      <c r="K2043" t="s">
        <v>495</v>
      </c>
      <c r="L2043" s="13">
        <v>44306</v>
      </c>
      <c r="M2043" t="s">
        <v>1031</v>
      </c>
      <c r="N2043" t="s">
        <v>46</v>
      </c>
      <c r="O2043">
        <v>107.8</v>
      </c>
      <c r="P2043" t="s">
        <v>46</v>
      </c>
    </row>
    <row r="2044" spans="1:16" ht="15" customHeight="1" x14ac:dyDescent="0.4">
      <c r="A2044" t="s">
        <v>15</v>
      </c>
      <c r="B2044" t="s">
        <v>16</v>
      </c>
      <c r="C2044" s="13">
        <v>44197</v>
      </c>
      <c r="D2044" s="13">
        <v>44561</v>
      </c>
      <c r="E2044" t="s">
        <v>30</v>
      </c>
      <c r="F2044">
        <v>17</v>
      </c>
      <c r="G2044" t="s">
        <v>619</v>
      </c>
      <c r="H2044">
        <v>6</v>
      </c>
      <c r="I2044" t="s">
        <v>620</v>
      </c>
      <c r="J2044">
        <v>106</v>
      </c>
      <c r="K2044" t="s">
        <v>422</v>
      </c>
      <c r="L2044" s="13">
        <v>44245</v>
      </c>
      <c r="M2044" t="s">
        <v>1032</v>
      </c>
      <c r="N2044" t="s">
        <v>1033</v>
      </c>
      <c r="O2044">
        <v>484</v>
      </c>
      <c r="P2044" t="s">
        <v>1034</v>
      </c>
    </row>
    <row r="2045" spans="1:16" ht="15" customHeight="1" x14ac:dyDescent="0.4">
      <c r="A2045" t="s">
        <v>15</v>
      </c>
      <c r="B2045" t="s">
        <v>16</v>
      </c>
      <c r="C2045" s="13">
        <v>44197</v>
      </c>
      <c r="D2045" s="13">
        <v>44561</v>
      </c>
      <c r="E2045" t="s">
        <v>17</v>
      </c>
      <c r="F2045">
        <v>17</v>
      </c>
      <c r="G2045" t="s">
        <v>619</v>
      </c>
      <c r="H2045">
        <v>6</v>
      </c>
      <c r="I2045" t="s">
        <v>620</v>
      </c>
      <c r="J2045">
        <v>269</v>
      </c>
      <c r="K2045" t="s">
        <v>3695</v>
      </c>
      <c r="L2045" s="13">
        <v>44218</v>
      </c>
      <c r="M2045" t="s">
        <v>351</v>
      </c>
      <c r="N2045" t="s">
        <v>867</v>
      </c>
      <c r="O2045">
        <v>46.49</v>
      </c>
      <c r="P2045" t="s">
        <v>52</v>
      </c>
    </row>
    <row r="2046" spans="1:16" ht="15" customHeight="1" x14ac:dyDescent="0.4">
      <c r="A2046" t="s">
        <v>15</v>
      </c>
      <c r="B2046" t="s">
        <v>16</v>
      </c>
      <c r="C2046" s="13">
        <v>44197</v>
      </c>
      <c r="D2046" s="13">
        <v>44561</v>
      </c>
      <c r="E2046" t="s">
        <v>17</v>
      </c>
      <c r="F2046">
        <v>17</v>
      </c>
      <c r="G2046" t="s">
        <v>619</v>
      </c>
      <c r="H2046">
        <v>6</v>
      </c>
      <c r="I2046" t="s">
        <v>620</v>
      </c>
      <c r="J2046">
        <v>269</v>
      </c>
      <c r="K2046" t="s">
        <v>3695</v>
      </c>
      <c r="L2046" s="13">
        <v>44277</v>
      </c>
      <c r="M2046" t="s">
        <v>351</v>
      </c>
      <c r="N2046" t="s">
        <v>868</v>
      </c>
      <c r="O2046">
        <v>31.13</v>
      </c>
      <c r="P2046" t="s">
        <v>52</v>
      </c>
    </row>
    <row r="2047" spans="1:16" ht="15" customHeight="1" x14ac:dyDescent="0.4">
      <c r="A2047" t="s">
        <v>15</v>
      </c>
      <c r="B2047" t="s">
        <v>16</v>
      </c>
      <c r="C2047" s="13">
        <v>44197</v>
      </c>
      <c r="D2047" s="13">
        <v>44561</v>
      </c>
      <c r="E2047" t="s">
        <v>17</v>
      </c>
      <c r="F2047">
        <v>17</v>
      </c>
      <c r="G2047" t="s">
        <v>619</v>
      </c>
      <c r="H2047">
        <v>6</v>
      </c>
      <c r="I2047" t="s">
        <v>620</v>
      </c>
      <c r="J2047">
        <v>269</v>
      </c>
      <c r="K2047" t="s">
        <v>3695</v>
      </c>
      <c r="L2047" s="13">
        <v>44338</v>
      </c>
      <c r="M2047" t="s">
        <v>351</v>
      </c>
      <c r="N2047" t="s">
        <v>869</v>
      </c>
      <c r="O2047">
        <v>23.14</v>
      </c>
      <c r="P2047" t="s">
        <v>52</v>
      </c>
    </row>
    <row r="2048" spans="1:16" ht="15" customHeight="1" x14ac:dyDescent="0.4">
      <c r="A2048" t="s">
        <v>15</v>
      </c>
      <c r="B2048" t="s">
        <v>16</v>
      </c>
      <c r="C2048" s="13">
        <v>44197</v>
      </c>
      <c r="D2048" s="13">
        <v>44561</v>
      </c>
      <c r="E2048" t="s">
        <v>17</v>
      </c>
      <c r="F2048">
        <v>17</v>
      </c>
      <c r="G2048" t="s">
        <v>619</v>
      </c>
      <c r="H2048">
        <v>6</v>
      </c>
      <c r="I2048" t="s">
        <v>620</v>
      </c>
      <c r="J2048">
        <v>269</v>
      </c>
      <c r="K2048" t="s">
        <v>3695</v>
      </c>
      <c r="L2048" s="13">
        <v>44399</v>
      </c>
      <c r="M2048" t="s">
        <v>351</v>
      </c>
      <c r="N2048" t="s">
        <v>870</v>
      </c>
      <c r="O2048">
        <v>23.58</v>
      </c>
      <c r="P2048" t="s">
        <v>52</v>
      </c>
    </row>
    <row r="2049" spans="1:16" ht="15" customHeight="1" x14ac:dyDescent="0.4">
      <c r="A2049" t="s">
        <v>15</v>
      </c>
      <c r="B2049" t="s">
        <v>16</v>
      </c>
      <c r="C2049" s="13">
        <v>44197</v>
      </c>
      <c r="D2049" s="13">
        <v>44561</v>
      </c>
      <c r="E2049" t="s">
        <v>17</v>
      </c>
      <c r="F2049">
        <v>17</v>
      </c>
      <c r="G2049" t="s">
        <v>619</v>
      </c>
      <c r="H2049">
        <v>6</v>
      </c>
      <c r="I2049" t="s">
        <v>620</v>
      </c>
      <c r="J2049">
        <v>269</v>
      </c>
      <c r="K2049" t="s">
        <v>3695</v>
      </c>
      <c r="L2049" s="13">
        <v>44430</v>
      </c>
      <c r="M2049" t="s">
        <v>351</v>
      </c>
      <c r="N2049" t="s">
        <v>871</v>
      </c>
      <c r="O2049">
        <v>9</v>
      </c>
      <c r="P2049" t="s">
        <v>52</v>
      </c>
    </row>
    <row r="2050" spans="1:16" ht="15" customHeight="1" x14ac:dyDescent="0.4">
      <c r="A2050" t="s">
        <v>15</v>
      </c>
      <c r="B2050" t="s">
        <v>16</v>
      </c>
      <c r="C2050" s="13">
        <v>44197</v>
      </c>
      <c r="D2050" s="13">
        <v>44561</v>
      </c>
      <c r="E2050" t="s">
        <v>17</v>
      </c>
      <c r="F2050">
        <v>17</v>
      </c>
      <c r="G2050" t="s">
        <v>619</v>
      </c>
      <c r="H2050">
        <v>6</v>
      </c>
      <c r="I2050" t="s">
        <v>620</v>
      </c>
      <c r="J2050">
        <v>269</v>
      </c>
      <c r="K2050" t="s">
        <v>3695</v>
      </c>
      <c r="L2050" s="13">
        <v>44461</v>
      </c>
      <c r="M2050" t="s">
        <v>351</v>
      </c>
      <c r="N2050" t="s">
        <v>872</v>
      </c>
      <c r="O2050">
        <v>12.48</v>
      </c>
      <c r="P2050" t="s">
        <v>52</v>
      </c>
    </row>
    <row r="2051" spans="1:16" ht="15" customHeight="1" x14ac:dyDescent="0.4">
      <c r="A2051" t="s">
        <v>15</v>
      </c>
      <c r="B2051" t="s">
        <v>16</v>
      </c>
      <c r="C2051" s="13">
        <v>44197</v>
      </c>
      <c r="D2051" s="13">
        <v>44561</v>
      </c>
      <c r="E2051" t="s">
        <v>17</v>
      </c>
      <c r="F2051">
        <v>17</v>
      </c>
      <c r="G2051" t="s">
        <v>619</v>
      </c>
      <c r="H2051">
        <v>6</v>
      </c>
      <c r="I2051" t="s">
        <v>620</v>
      </c>
      <c r="J2051">
        <v>269</v>
      </c>
      <c r="K2051" t="s">
        <v>3695</v>
      </c>
      <c r="L2051" s="13">
        <v>44491</v>
      </c>
      <c r="M2051" t="s">
        <v>351</v>
      </c>
      <c r="N2051" t="s">
        <v>873</v>
      </c>
      <c r="O2051">
        <v>12.87</v>
      </c>
      <c r="P2051" t="s">
        <v>52</v>
      </c>
    </row>
    <row r="2052" spans="1:16" ht="15" customHeight="1" x14ac:dyDescent="0.4">
      <c r="A2052" t="s">
        <v>15</v>
      </c>
      <c r="B2052" t="s">
        <v>16</v>
      </c>
      <c r="C2052" s="13">
        <v>44197</v>
      </c>
      <c r="D2052" s="13">
        <v>44561</v>
      </c>
      <c r="E2052" t="s">
        <v>17</v>
      </c>
      <c r="F2052">
        <v>17</v>
      </c>
      <c r="G2052" t="s">
        <v>619</v>
      </c>
      <c r="H2052">
        <v>6</v>
      </c>
      <c r="I2052" t="s">
        <v>620</v>
      </c>
      <c r="J2052">
        <v>269</v>
      </c>
      <c r="K2052" t="s">
        <v>3695</v>
      </c>
      <c r="L2052" s="13">
        <v>44522</v>
      </c>
      <c r="M2052" t="s">
        <v>351</v>
      </c>
      <c r="N2052" t="s">
        <v>874</v>
      </c>
      <c r="O2052">
        <v>13.73</v>
      </c>
      <c r="P2052" t="s">
        <v>52</v>
      </c>
    </row>
    <row r="2053" spans="1:16" ht="15" customHeight="1" x14ac:dyDescent="0.4">
      <c r="A2053" t="s">
        <v>15</v>
      </c>
      <c r="B2053" t="s">
        <v>16</v>
      </c>
      <c r="C2053" s="13">
        <v>44197</v>
      </c>
      <c r="D2053" s="13">
        <v>44561</v>
      </c>
      <c r="E2053" t="s">
        <v>17</v>
      </c>
      <c r="F2053">
        <v>17</v>
      </c>
      <c r="G2053" t="s">
        <v>619</v>
      </c>
      <c r="H2053">
        <v>6</v>
      </c>
      <c r="I2053" t="s">
        <v>620</v>
      </c>
      <c r="J2053">
        <v>269</v>
      </c>
      <c r="K2053" t="s">
        <v>3695</v>
      </c>
      <c r="L2053" s="13">
        <v>44552</v>
      </c>
      <c r="M2053" t="s">
        <v>351</v>
      </c>
      <c r="N2053" t="s">
        <v>875</v>
      </c>
      <c r="O2053">
        <v>17.16</v>
      </c>
      <c r="P2053" t="s">
        <v>52</v>
      </c>
    </row>
    <row r="2054" spans="1:16" ht="15" customHeight="1" x14ac:dyDescent="0.4">
      <c r="A2054" t="s">
        <v>15</v>
      </c>
      <c r="B2054" t="s">
        <v>16</v>
      </c>
      <c r="C2054" s="13">
        <v>43831</v>
      </c>
      <c r="D2054" s="13">
        <v>44196</v>
      </c>
      <c r="E2054" t="s">
        <v>30</v>
      </c>
      <c r="F2054">
        <v>0</v>
      </c>
      <c r="G2054" t="s">
        <v>18</v>
      </c>
      <c r="H2054">
        <v>1</v>
      </c>
      <c r="I2054" t="s">
        <v>19</v>
      </c>
      <c r="J2054">
        <v>116</v>
      </c>
      <c r="K2054" t="s">
        <v>469</v>
      </c>
      <c r="L2054" s="13">
        <v>44139</v>
      </c>
      <c r="M2054" t="s">
        <v>1035</v>
      </c>
      <c r="N2054" t="s">
        <v>1036</v>
      </c>
      <c r="O2054">
        <v>42.08</v>
      </c>
      <c r="P2054" t="s">
        <v>472</v>
      </c>
    </row>
    <row r="2055" spans="1:16" ht="15" customHeight="1" x14ac:dyDescent="0.4">
      <c r="A2055" t="s">
        <v>15</v>
      </c>
      <c r="B2055" t="s">
        <v>16</v>
      </c>
      <c r="C2055" s="13">
        <v>43831</v>
      </c>
      <c r="D2055" s="13">
        <v>44196</v>
      </c>
      <c r="E2055" t="s">
        <v>17</v>
      </c>
      <c r="F2055">
        <v>0</v>
      </c>
      <c r="G2055" t="s">
        <v>18</v>
      </c>
      <c r="H2055">
        <v>1</v>
      </c>
      <c r="I2055" t="s">
        <v>19</v>
      </c>
      <c r="J2055">
        <v>171</v>
      </c>
      <c r="K2055" t="s">
        <v>20</v>
      </c>
      <c r="L2055" s="13">
        <v>44101</v>
      </c>
      <c r="M2055" t="s">
        <v>1037</v>
      </c>
      <c r="N2055" t="s">
        <v>1038</v>
      </c>
      <c r="O2055">
        <v>1590</v>
      </c>
      <c r="P2055" t="s">
        <v>23</v>
      </c>
    </row>
    <row r="2056" spans="1:16" ht="15" customHeight="1" x14ac:dyDescent="0.4">
      <c r="A2056" t="s">
        <v>15</v>
      </c>
      <c r="B2056" t="s">
        <v>16</v>
      </c>
      <c r="C2056" s="13">
        <v>43831</v>
      </c>
      <c r="D2056" s="13">
        <v>44196</v>
      </c>
      <c r="E2056" t="s">
        <v>17</v>
      </c>
      <c r="F2056">
        <v>0</v>
      </c>
      <c r="G2056" t="s">
        <v>18</v>
      </c>
      <c r="H2056">
        <v>1</v>
      </c>
      <c r="I2056" t="s">
        <v>19</v>
      </c>
      <c r="J2056">
        <v>171</v>
      </c>
      <c r="K2056" t="s">
        <v>20</v>
      </c>
      <c r="L2056" s="13">
        <v>44162</v>
      </c>
      <c r="M2056" t="s">
        <v>1039</v>
      </c>
      <c r="N2056" t="s">
        <v>1040</v>
      </c>
      <c r="O2056">
        <v>144</v>
      </c>
      <c r="P2056" t="s">
        <v>23</v>
      </c>
    </row>
    <row r="2057" spans="1:16" ht="15" customHeight="1" x14ac:dyDescent="0.4">
      <c r="A2057" t="s">
        <v>15</v>
      </c>
      <c r="B2057" t="s">
        <v>16</v>
      </c>
      <c r="C2057" s="13">
        <v>43831</v>
      </c>
      <c r="D2057" s="13">
        <v>44196</v>
      </c>
      <c r="E2057" t="s">
        <v>30</v>
      </c>
      <c r="F2057">
        <v>0</v>
      </c>
      <c r="G2057" t="s">
        <v>18</v>
      </c>
      <c r="H2057">
        <v>1</v>
      </c>
      <c r="I2057" t="s">
        <v>19</v>
      </c>
      <c r="J2057">
        <v>233</v>
      </c>
      <c r="K2057" t="s">
        <v>31</v>
      </c>
      <c r="L2057" s="13">
        <v>43889</v>
      </c>
      <c r="M2057" t="s">
        <v>631</v>
      </c>
      <c r="N2057" t="s">
        <v>1041</v>
      </c>
      <c r="O2057">
        <v>238.39</v>
      </c>
      <c r="P2057" t="s">
        <v>34</v>
      </c>
    </row>
    <row r="2058" spans="1:16" ht="15" customHeight="1" x14ac:dyDescent="0.4">
      <c r="A2058" t="s">
        <v>15</v>
      </c>
      <c r="B2058" t="s">
        <v>16</v>
      </c>
      <c r="C2058" s="13">
        <v>43831</v>
      </c>
      <c r="D2058" s="13">
        <v>44196</v>
      </c>
      <c r="E2058" t="s">
        <v>30</v>
      </c>
      <c r="F2058">
        <v>0</v>
      </c>
      <c r="G2058" t="s">
        <v>18</v>
      </c>
      <c r="H2058">
        <v>1</v>
      </c>
      <c r="I2058" t="s">
        <v>19</v>
      </c>
      <c r="J2058">
        <v>233</v>
      </c>
      <c r="K2058" t="s">
        <v>31</v>
      </c>
      <c r="L2058" s="13">
        <v>43950</v>
      </c>
      <c r="M2058" t="s">
        <v>1042</v>
      </c>
      <c r="N2058" t="s">
        <v>1043</v>
      </c>
      <c r="O2058">
        <v>176.4</v>
      </c>
      <c r="P2058" t="s">
        <v>1044</v>
      </c>
    </row>
    <row r="2059" spans="1:16" ht="15" customHeight="1" x14ac:dyDescent="0.4">
      <c r="A2059" t="s">
        <v>15</v>
      </c>
      <c r="B2059" t="s">
        <v>16</v>
      </c>
      <c r="C2059" s="13">
        <v>43831</v>
      </c>
      <c r="D2059" s="13">
        <v>44196</v>
      </c>
      <c r="E2059" t="s">
        <v>30</v>
      </c>
      <c r="F2059">
        <v>0</v>
      </c>
      <c r="G2059" t="s">
        <v>18</v>
      </c>
      <c r="H2059">
        <v>1</v>
      </c>
      <c r="I2059" t="s">
        <v>19</v>
      </c>
      <c r="J2059">
        <v>233</v>
      </c>
      <c r="K2059" t="s">
        <v>31</v>
      </c>
      <c r="L2059" s="13">
        <v>44014</v>
      </c>
      <c r="M2059" t="s">
        <v>631</v>
      </c>
      <c r="N2059" t="s">
        <v>1045</v>
      </c>
      <c r="O2059">
        <v>569.15</v>
      </c>
      <c r="P2059" t="s">
        <v>34</v>
      </c>
    </row>
    <row r="2060" spans="1:16" ht="15" customHeight="1" x14ac:dyDescent="0.4">
      <c r="A2060" t="s">
        <v>15</v>
      </c>
      <c r="B2060" t="s">
        <v>16</v>
      </c>
      <c r="C2060" s="13">
        <v>43831</v>
      </c>
      <c r="D2060" s="13">
        <v>44196</v>
      </c>
      <c r="E2060" t="s">
        <v>30</v>
      </c>
      <c r="F2060">
        <v>0</v>
      </c>
      <c r="G2060" t="s">
        <v>18</v>
      </c>
      <c r="H2060">
        <v>1</v>
      </c>
      <c r="I2060" t="s">
        <v>19</v>
      </c>
      <c r="J2060">
        <v>233</v>
      </c>
      <c r="K2060" t="s">
        <v>31</v>
      </c>
      <c r="L2060" s="13">
        <v>44118</v>
      </c>
      <c r="M2060" t="s">
        <v>1046</v>
      </c>
      <c r="N2060" t="s">
        <v>1047</v>
      </c>
      <c r="O2060">
        <v>412.74</v>
      </c>
      <c r="P2060" t="s">
        <v>34</v>
      </c>
    </row>
    <row r="2061" spans="1:16" ht="15" customHeight="1" x14ac:dyDescent="0.4">
      <c r="A2061" t="s">
        <v>15</v>
      </c>
      <c r="B2061" t="s">
        <v>16</v>
      </c>
      <c r="C2061" s="13">
        <v>43831</v>
      </c>
      <c r="D2061" s="13">
        <v>44196</v>
      </c>
      <c r="E2061" t="s">
        <v>17</v>
      </c>
      <c r="F2061">
        <v>0</v>
      </c>
      <c r="G2061" t="s">
        <v>18</v>
      </c>
      <c r="H2061">
        <v>1</v>
      </c>
      <c r="I2061" t="s">
        <v>19</v>
      </c>
      <c r="J2061">
        <v>241</v>
      </c>
      <c r="K2061" t="s">
        <v>1048</v>
      </c>
      <c r="L2061" s="13">
        <v>44018</v>
      </c>
      <c r="M2061" t="s">
        <v>1049</v>
      </c>
      <c r="N2061" t="s">
        <v>1050</v>
      </c>
      <c r="O2061">
        <v>150</v>
      </c>
      <c r="P2061" t="s">
        <v>388</v>
      </c>
    </row>
    <row r="2062" spans="1:16" ht="15" customHeight="1" x14ac:dyDescent="0.4">
      <c r="A2062" t="s">
        <v>15</v>
      </c>
      <c r="B2062" t="s">
        <v>16</v>
      </c>
      <c r="C2062" s="13">
        <v>43831</v>
      </c>
      <c r="D2062" s="13">
        <v>44196</v>
      </c>
      <c r="E2062" t="s">
        <v>17</v>
      </c>
      <c r="F2062">
        <v>0</v>
      </c>
      <c r="G2062" t="s">
        <v>18</v>
      </c>
      <c r="H2062">
        <v>1</v>
      </c>
      <c r="I2062" t="s">
        <v>19</v>
      </c>
      <c r="J2062">
        <v>242</v>
      </c>
      <c r="K2062" t="s">
        <v>40</v>
      </c>
      <c r="L2062" s="13">
        <v>43857</v>
      </c>
      <c r="M2062" t="s">
        <v>1051</v>
      </c>
      <c r="N2062" t="s">
        <v>1052</v>
      </c>
      <c r="O2062">
        <v>1545.31</v>
      </c>
      <c r="P2062" t="s">
        <v>43</v>
      </c>
    </row>
    <row r="2063" spans="1:16" ht="15" customHeight="1" x14ac:dyDescent="0.4">
      <c r="A2063" t="s">
        <v>15</v>
      </c>
      <c r="B2063" t="s">
        <v>16</v>
      </c>
      <c r="C2063" s="13">
        <v>43831</v>
      </c>
      <c r="D2063" s="13">
        <v>44196</v>
      </c>
      <c r="E2063" t="s">
        <v>17</v>
      </c>
      <c r="F2063">
        <v>0</v>
      </c>
      <c r="G2063" t="s">
        <v>18</v>
      </c>
      <c r="H2063">
        <v>1</v>
      </c>
      <c r="I2063" t="s">
        <v>19</v>
      </c>
      <c r="J2063">
        <v>242</v>
      </c>
      <c r="K2063" t="s">
        <v>40</v>
      </c>
      <c r="L2063" s="13">
        <v>44196</v>
      </c>
      <c r="M2063" t="s">
        <v>48</v>
      </c>
      <c r="N2063" t="s">
        <v>45</v>
      </c>
      <c r="O2063">
        <v>-111.66</v>
      </c>
      <c r="P2063" t="s">
        <v>46</v>
      </c>
    </row>
    <row r="2064" spans="1:16" ht="15" customHeight="1" x14ac:dyDescent="0.4">
      <c r="A2064" t="s">
        <v>15</v>
      </c>
      <c r="B2064" t="s">
        <v>16</v>
      </c>
      <c r="C2064" s="13">
        <v>43831</v>
      </c>
      <c r="D2064" s="13">
        <v>44196</v>
      </c>
      <c r="E2064" t="s">
        <v>17</v>
      </c>
      <c r="F2064">
        <v>0</v>
      </c>
      <c r="G2064" t="s">
        <v>18</v>
      </c>
      <c r="H2064">
        <v>1</v>
      </c>
      <c r="I2064" t="s">
        <v>19</v>
      </c>
      <c r="J2064">
        <v>242</v>
      </c>
      <c r="K2064" t="s">
        <v>40</v>
      </c>
      <c r="L2064" s="13">
        <v>44196</v>
      </c>
      <c r="M2064" t="s">
        <v>44</v>
      </c>
      <c r="N2064" t="s">
        <v>45</v>
      </c>
      <c r="O2064">
        <v>-334.98</v>
      </c>
      <c r="P2064" t="s">
        <v>46</v>
      </c>
    </row>
    <row r="2065" spans="1:16" ht="15" customHeight="1" x14ac:dyDescent="0.4">
      <c r="A2065" t="s">
        <v>15</v>
      </c>
      <c r="B2065" t="s">
        <v>16</v>
      </c>
      <c r="C2065" s="13">
        <v>43831</v>
      </c>
      <c r="D2065" s="13">
        <v>44196</v>
      </c>
      <c r="E2065" t="s">
        <v>17</v>
      </c>
      <c r="F2065">
        <v>0</v>
      </c>
      <c r="G2065" t="s">
        <v>18</v>
      </c>
      <c r="H2065">
        <v>1</v>
      </c>
      <c r="I2065" t="s">
        <v>19</v>
      </c>
      <c r="J2065">
        <v>242</v>
      </c>
      <c r="K2065" t="s">
        <v>40</v>
      </c>
      <c r="L2065" s="13">
        <v>44196</v>
      </c>
      <c r="M2065" t="s">
        <v>47</v>
      </c>
      <c r="N2065" t="s">
        <v>45</v>
      </c>
      <c r="O2065">
        <v>-446.64</v>
      </c>
      <c r="P2065" t="s">
        <v>46</v>
      </c>
    </row>
    <row r="2066" spans="1:16" ht="15" customHeight="1" x14ac:dyDescent="0.4">
      <c r="A2066" t="s">
        <v>15</v>
      </c>
      <c r="B2066" t="s">
        <v>16</v>
      </c>
      <c r="C2066" s="13">
        <v>43831</v>
      </c>
      <c r="D2066" s="13">
        <v>44196</v>
      </c>
      <c r="E2066" t="s">
        <v>17</v>
      </c>
      <c r="F2066">
        <v>0</v>
      </c>
      <c r="G2066" t="s">
        <v>18</v>
      </c>
      <c r="H2066">
        <v>1</v>
      </c>
      <c r="I2066" t="s">
        <v>19</v>
      </c>
      <c r="J2066">
        <v>268</v>
      </c>
      <c r="K2066" t="s">
        <v>3585</v>
      </c>
      <c r="L2066" s="13">
        <v>43852</v>
      </c>
      <c r="M2066" t="s">
        <v>351</v>
      </c>
      <c r="N2066" t="s">
        <v>1053</v>
      </c>
      <c r="O2066">
        <v>21.11</v>
      </c>
      <c r="P2066" t="s">
        <v>52</v>
      </c>
    </row>
    <row r="2067" spans="1:16" ht="15" customHeight="1" x14ac:dyDescent="0.4">
      <c r="A2067" t="s">
        <v>15</v>
      </c>
      <c r="B2067" t="s">
        <v>16</v>
      </c>
      <c r="C2067" s="13">
        <v>43831</v>
      </c>
      <c r="D2067" s="13">
        <v>44196</v>
      </c>
      <c r="E2067" t="s">
        <v>17</v>
      </c>
      <c r="F2067">
        <v>0</v>
      </c>
      <c r="G2067" t="s">
        <v>18</v>
      </c>
      <c r="H2067">
        <v>1</v>
      </c>
      <c r="I2067" t="s">
        <v>19</v>
      </c>
      <c r="J2067">
        <v>268</v>
      </c>
      <c r="K2067" t="s">
        <v>3585</v>
      </c>
      <c r="L2067" s="13">
        <v>43910</v>
      </c>
      <c r="M2067" t="s">
        <v>351</v>
      </c>
      <c r="N2067" t="s">
        <v>1054</v>
      </c>
      <c r="O2067">
        <v>12.56</v>
      </c>
      <c r="P2067" t="s">
        <v>52</v>
      </c>
    </row>
    <row r="2068" spans="1:16" ht="15" customHeight="1" x14ac:dyDescent="0.4">
      <c r="A2068" t="s">
        <v>15</v>
      </c>
      <c r="B2068" t="s">
        <v>16</v>
      </c>
      <c r="C2068" s="13">
        <v>43831</v>
      </c>
      <c r="D2068" s="13">
        <v>44196</v>
      </c>
      <c r="E2068" t="s">
        <v>17</v>
      </c>
      <c r="F2068">
        <v>0</v>
      </c>
      <c r="G2068" t="s">
        <v>18</v>
      </c>
      <c r="H2068">
        <v>1</v>
      </c>
      <c r="I2068" t="s">
        <v>19</v>
      </c>
      <c r="J2068">
        <v>268</v>
      </c>
      <c r="K2068" t="s">
        <v>3585</v>
      </c>
      <c r="L2068" s="13">
        <v>43991</v>
      </c>
      <c r="M2068" t="s">
        <v>351</v>
      </c>
      <c r="N2068" t="s">
        <v>1055</v>
      </c>
      <c r="O2068">
        <v>4.87</v>
      </c>
      <c r="P2068" t="s">
        <v>52</v>
      </c>
    </row>
    <row r="2069" spans="1:16" ht="15" customHeight="1" x14ac:dyDescent="0.4">
      <c r="A2069" t="s">
        <v>15</v>
      </c>
      <c r="B2069" t="s">
        <v>16</v>
      </c>
      <c r="C2069" s="13">
        <v>43831</v>
      </c>
      <c r="D2069" s="13">
        <v>44196</v>
      </c>
      <c r="E2069" t="s">
        <v>17</v>
      </c>
      <c r="F2069">
        <v>0</v>
      </c>
      <c r="G2069" t="s">
        <v>18</v>
      </c>
      <c r="H2069">
        <v>1</v>
      </c>
      <c r="I2069" t="s">
        <v>19</v>
      </c>
      <c r="J2069">
        <v>268</v>
      </c>
      <c r="K2069" t="s">
        <v>3585</v>
      </c>
      <c r="L2069" s="13">
        <v>44032</v>
      </c>
      <c r="M2069" t="s">
        <v>351</v>
      </c>
      <c r="N2069" t="s">
        <v>1056</v>
      </c>
      <c r="O2069">
        <v>59.14</v>
      </c>
      <c r="P2069" t="s">
        <v>52</v>
      </c>
    </row>
    <row r="2070" spans="1:16" ht="15" customHeight="1" x14ac:dyDescent="0.4">
      <c r="A2070" t="s">
        <v>15</v>
      </c>
      <c r="B2070" t="s">
        <v>16</v>
      </c>
      <c r="C2070" s="13">
        <v>43831</v>
      </c>
      <c r="D2070" s="13">
        <v>44196</v>
      </c>
      <c r="E2070" t="s">
        <v>17</v>
      </c>
      <c r="F2070">
        <v>0</v>
      </c>
      <c r="G2070" t="s">
        <v>18</v>
      </c>
      <c r="H2070">
        <v>1</v>
      </c>
      <c r="I2070" t="s">
        <v>19</v>
      </c>
      <c r="J2070">
        <v>268</v>
      </c>
      <c r="K2070" t="s">
        <v>3585</v>
      </c>
      <c r="L2070" s="13">
        <v>44096</v>
      </c>
      <c r="M2070" t="s">
        <v>351</v>
      </c>
      <c r="N2070" t="s">
        <v>1057</v>
      </c>
      <c r="O2070">
        <v>73.53</v>
      </c>
      <c r="P2070" t="s">
        <v>52</v>
      </c>
    </row>
    <row r="2071" spans="1:16" ht="15" customHeight="1" x14ac:dyDescent="0.4">
      <c r="A2071" t="s">
        <v>15</v>
      </c>
      <c r="B2071" t="s">
        <v>16</v>
      </c>
      <c r="C2071" s="13">
        <v>43831</v>
      </c>
      <c r="D2071" s="13">
        <v>44196</v>
      </c>
      <c r="E2071" t="s">
        <v>17</v>
      </c>
      <c r="F2071">
        <v>0</v>
      </c>
      <c r="G2071" t="s">
        <v>18</v>
      </c>
      <c r="H2071">
        <v>1</v>
      </c>
      <c r="I2071" t="s">
        <v>19</v>
      </c>
      <c r="J2071">
        <v>268</v>
      </c>
      <c r="K2071" t="s">
        <v>3585</v>
      </c>
      <c r="L2071" s="13">
        <v>44156</v>
      </c>
      <c r="M2071" t="s">
        <v>351</v>
      </c>
      <c r="N2071" t="s">
        <v>1058</v>
      </c>
      <c r="O2071">
        <v>49.63</v>
      </c>
      <c r="P2071" t="s">
        <v>52</v>
      </c>
    </row>
    <row r="2072" spans="1:16" ht="15" customHeight="1" x14ac:dyDescent="0.4">
      <c r="A2072" t="s">
        <v>15</v>
      </c>
      <c r="B2072" t="s">
        <v>16</v>
      </c>
      <c r="C2072" s="13">
        <v>43831</v>
      </c>
      <c r="D2072" s="13">
        <v>44196</v>
      </c>
      <c r="E2072" t="s">
        <v>17</v>
      </c>
      <c r="F2072">
        <v>0</v>
      </c>
      <c r="G2072" t="s">
        <v>18</v>
      </c>
      <c r="H2072">
        <v>1</v>
      </c>
      <c r="I2072" t="s">
        <v>19</v>
      </c>
      <c r="J2072">
        <v>269</v>
      </c>
      <c r="K2072" t="s">
        <v>3589</v>
      </c>
      <c r="L2072" s="13">
        <v>43852</v>
      </c>
      <c r="M2072" t="s">
        <v>351</v>
      </c>
      <c r="N2072" t="s">
        <v>1053</v>
      </c>
      <c r="O2072">
        <v>158.33000000000001</v>
      </c>
      <c r="P2072" t="s">
        <v>52</v>
      </c>
    </row>
    <row r="2073" spans="1:16" ht="15" customHeight="1" x14ac:dyDescent="0.4">
      <c r="A2073" t="s">
        <v>15</v>
      </c>
      <c r="B2073" t="s">
        <v>16</v>
      </c>
      <c r="C2073" s="13">
        <v>43831</v>
      </c>
      <c r="D2073" s="13">
        <v>44196</v>
      </c>
      <c r="E2073" t="s">
        <v>17</v>
      </c>
      <c r="F2073">
        <v>0</v>
      </c>
      <c r="G2073" t="s">
        <v>18</v>
      </c>
      <c r="H2073">
        <v>1</v>
      </c>
      <c r="I2073" t="s">
        <v>19</v>
      </c>
      <c r="J2073">
        <v>269</v>
      </c>
      <c r="K2073" t="s">
        <v>3589</v>
      </c>
      <c r="L2073" s="13">
        <v>43910</v>
      </c>
      <c r="M2073" t="s">
        <v>351</v>
      </c>
      <c r="N2073" t="s">
        <v>1054</v>
      </c>
      <c r="O2073">
        <v>94.21</v>
      </c>
      <c r="P2073" t="s">
        <v>52</v>
      </c>
    </row>
    <row r="2074" spans="1:16" ht="15" customHeight="1" x14ac:dyDescent="0.4">
      <c r="A2074" t="s">
        <v>15</v>
      </c>
      <c r="B2074" t="s">
        <v>16</v>
      </c>
      <c r="C2074" s="13">
        <v>43831</v>
      </c>
      <c r="D2074" s="13">
        <v>44196</v>
      </c>
      <c r="E2074" t="s">
        <v>17</v>
      </c>
      <c r="F2074">
        <v>0</v>
      </c>
      <c r="G2074" t="s">
        <v>18</v>
      </c>
      <c r="H2074">
        <v>1</v>
      </c>
      <c r="I2074" t="s">
        <v>19</v>
      </c>
      <c r="J2074">
        <v>269</v>
      </c>
      <c r="K2074" t="s">
        <v>3589</v>
      </c>
      <c r="L2074" s="13">
        <v>43991</v>
      </c>
      <c r="M2074" t="s">
        <v>351</v>
      </c>
      <c r="N2074" t="s">
        <v>1055</v>
      </c>
      <c r="O2074">
        <v>36.549999999999997</v>
      </c>
      <c r="P2074" t="s">
        <v>52</v>
      </c>
    </row>
    <row r="2075" spans="1:16" ht="15" customHeight="1" x14ac:dyDescent="0.4">
      <c r="A2075" t="s">
        <v>15</v>
      </c>
      <c r="B2075" t="s">
        <v>16</v>
      </c>
      <c r="C2075" s="13">
        <v>43831</v>
      </c>
      <c r="D2075" s="13">
        <v>44196</v>
      </c>
      <c r="E2075" t="s">
        <v>17</v>
      </c>
      <c r="F2075">
        <v>0</v>
      </c>
      <c r="G2075" t="s">
        <v>18</v>
      </c>
      <c r="H2075">
        <v>1</v>
      </c>
      <c r="I2075" t="s">
        <v>19</v>
      </c>
      <c r="J2075">
        <v>269</v>
      </c>
      <c r="K2075" t="s">
        <v>3589</v>
      </c>
      <c r="L2075" s="13">
        <v>44032</v>
      </c>
      <c r="M2075" t="s">
        <v>351</v>
      </c>
      <c r="N2075" t="s">
        <v>1056</v>
      </c>
      <c r="O2075">
        <v>443.53</v>
      </c>
      <c r="P2075" t="s">
        <v>52</v>
      </c>
    </row>
    <row r="2076" spans="1:16" ht="15" customHeight="1" x14ac:dyDescent="0.4">
      <c r="A2076" t="s">
        <v>15</v>
      </c>
      <c r="B2076" t="s">
        <v>16</v>
      </c>
      <c r="C2076" s="13">
        <v>43831</v>
      </c>
      <c r="D2076" s="13">
        <v>44196</v>
      </c>
      <c r="E2076" t="s">
        <v>17</v>
      </c>
      <c r="F2076">
        <v>0</v>
      </c>
      <c r="G2076" t="s">
        <v>18</v>
      </c>
      <c r="H2076">
        <v>1</v>
      </c>
      <c r="I2076" t="s">
        <v>19</v>
      </c>
      <c r="J2076">
        <v>269</v>
      </c>
      <c r="K2076" t="s">
        <v>3589</v>
      </c>
      <c r="L2076" s="13">
        <v>44096</v>
      </c>
      <c r="M2076" t="s">
        <v>351</v>
      </c>
      <c r="N2076" t="s">
        <v>1057</v>
      </c>
      <c r="O2076">
        <v>551.45000000000005</v>
      </c>
      <c r="P2076" t="s">
        <v>52</v>
      </c>
    </row>
    <row r="2077" spans="1:16" ht="15" customHeight="1" x14ac:dyDescent="0.4">
      <c r="A2077" t="s">
        <v>15</v>
      </c>
      <c r="B2077" t="s">
        <v>16</v>
      </c>
      <c r="C2077" s="13">
        <v>43831</v>
      </c>
      <c r="D2077" s="13">
        <v>44196</v>
      </c>
      <c r="E2077" t="s">
        <v>17</v>
      </c>
      <c r="F2077">
        <v>0</v>
      </c>
      <c r="G2077" t="s">
        <v>18</v>
      </c>
      <c r="H2077">
        <v>1</v>
      </c>
      <c r="I2077" t="s">
        <v>19</v>
      </c>
      <c r="J2077">
        <v>269</v>
      </c>
      <c r="K2077" t="s">
        <v>3589</v>
      </c>
      <c r="L2077" s="13">
        <v>44156</v>
      </c>
      <c r="M2077" t="s">
        <v>351</v>
      </c>
      <c r="N2077" t="s">
        <v>1058</v>
      </c>
      <c r="O2077">
        <v>372.2</v>
      </c>
      <c r="P2077" t="s">
        <v>52</v>
      </c>
    </row>
    <row r="2078" spans="1:16" ht="15" customHeight="1" x14ac:dyDescent="0.4">
      <c r="A2078" t="s">
        <v>15</v>
      </c>
      <c r="B2078" t="s">
        <v>16</v>
      </c>
      <c r="C2078" s="13">
        <v>43831</v>
      </c>
      <c r="D2078" s="13">
        <v>44196</v>
      </c>
      <c r="E2078" t="s">
        <v>17</v>
      </c>
      <c r="F2078">
        <v>0</v>
      </c>
      <c r="G2078" t="s">
        <v>18</v>
      </c>
      <c r="H2078">
        <v>1</v>
      </c>
      <c r="I2078" t="s">
        <v>19</v>
      </c>
      <c r="J2078">
        <v>269</v>
      </c>
      <c r="K2078" t="s">
        <v>3589</v>
      </c>
      <c r="L2078" s="13">
        <v>44196</v>
      </c>
      <c r="M2078" t="s">
        <v>1059</v>
      </c>
      <c r="N2078" t="s">
        <v>46</v>
      </c>
      <c r="O2078">
        <v>-1656.27</v>
      </c>
      <c r="P2078" t="s">
        <v>46</v>
      </c>
    </row>
    <row r="2079" spans="1:16" ht="15" customHeight="1" x14ac:dyDescent="0.4">
      <c r="A2079" t="s">
        <v>15</v>
      </c>
      <c r="B2079" t="s">
        <v>16</v>
      </c>
      <c r="C2079" s="13">
        <v>43831</v>
      </c>
      <c r="D2079" s="13">
        <v>44196</v>
      </c>
      <c r="E2079" t="s">
        <v>17</v>
      </c>
      <c r="F2079">
        <v>0</v>
      </c>
      <c r="G2079" t="s">
        <v>18</v>
      </c>
      <c r="H2079">
        <v>1</v>
      </c>
      <c r="I2079" t="s">
        <v>19</v>
      </c>
      <c r="J2079">
        <v>281</v>
      </c>
      <c r="K2079" t="s">
        <v>78</v>
      </c>
      <c r="L2079" s="13">
        <v>43881</v>
      </c>
      <c r="M2079" t="s">
        <v>1060</v>
      </c>
      <c r="N2079" t="s">
        <v>1061</v>
      </c>
      <c r="O2079">
        <v>5731.38</v>
      </c>
      <c r="P2079" t="s">
        <v>81</v>
      </c>
    </row>
    <row r="2080" spans="1:16" ht="15" customHeight="1" x14ac:dyDescent="0.4">
      <c r="A2080" t="s">
        <v>15</v>
      </c>
      <c r="B2080" t="s">
        <v>16</v>
      </c>
      <c r="C2080" s="13">
        <v>43831</v>
      </c>
      <c r="D2080" s="13">
        <v>44196</v>
      </c>
      <c r="E2080" t="s">
        <v>17</v>
      </c>
      <c r="F2080">
        <v>0</v>
      </c>
      <c r="G2080" t="s">
        <v>18</v>
      </c>
      <c r="H2080">
        <v>1</v>
      </c>
      <c r="I2080" t="s">
        <v>19</v>
      </c>
      <c r="J2080">
        <v>281</v>
      </c>
      <c r="K2080" t="s">
        <v>78</v>
      </c>
      <c r="L2080" s="13">
        <v>44088</v>
      </c>
      <c r="M2080" t="s">
        <v>1060</v>
      </c>
      <c r="N2080" t="s">
        <v>1062</v>
      </c>
      <c r="O2080">
        <v>6210.61</v>
      </c>
      <c r="P2080" t="s">
        <v>81</v>
      </c>
    </row>
    <row r="2081" spans="1:16" ht="15" customHeight="1" x14ac:dyDescent="0.4">
      <c r="A2081" t="s">
        <v>15</v>
      </c>
      <c r="B2081" t="s">
        <v>16</v>
      </c>
      <c r="C2081" s="13">
        <v>43831</v>
      </c>
      <c r="D2081" s="13">
        <v>44196</v>
      </c>
      <c r="E2081" t="s">
        <v>17</v>
      </c>
      <c r="F2081">
        <v>0</v>
      </c>
      <c r="G2081" t="s">
        <v>18</v>
      </c>
      <c r="H2081">
        <v>1</v>
      </c>
      <c r="I2081" t="s">
        <v>19</v>
      </c>
      <c r="J2081">
        <v>281</v>
      </c>
      <c r="K2081" t="s">
        <v>78</v>
      </c>
      <c r="L2081" s="13">
        <v>44196</v>
      </c>
      <c r="M2081" t="s">
        <v>89</v>
      </c>
      <c r="N2081" t="s">
        <v>86</v>
      </c>
      <c r="O2081">
        <v>-1187.6199999999999</v>
      </c>
      <c r="P2081" t="s">
        <v>46</v>
      </c>
    </row>
    <row r="2082" spans="1:16" ht="15" customHeight="1" x14ac:dyDescent="0.4">
      <c r="A2082" t="s">
        <v>15</v>
      </c>
      <c r="B2082" t="s">
        <v>16</v>
      </c>
      <c r="C2082" s="13">
        <v>43831</v>
      </c>
      <c r="D2082" s="13">
        <v>44196</v>
      </c>
      <c r="E2082" t="s">
        <v>17</v>
      </c>
      <c r="F2082">
        <v>0</v>
      </c>
      <c r="G2082" t="s">
        <v>18</v>
      </c>
      <c r="H2082">
        <v>1</v>
      </c>
      <c r="I2082" t="s">
        <v>19</v>
      </c>
      <c r="J2082">
        <v>281</v>
      </c>
      <c r="K2082" t="s">
        <v>78</v>
      </c>
      <c r="L2082" s="13">
        <v>44196</v>
      </c>
      <c r="M2082" t="s">
        <v>88</v>
      </c>
      <c r="N2082" t="s">
        <v>86</v>
      </c>
      <c r="O2082">
        <v>-19.34</v>
      </c>
      <c r="P2082" t="s">
        <v>46</v>
      </c>
    </row>
    <row r="2083" spans="1:16" ht="15" customHeight="1" x14ac:dyDescent="0.4">
      <c r="A2083" t="s">
        <v>15</v>
      </c>
      <c r="B2083" t="s">
        <v>16</v>
      </c>
      <c r="C2083" s="13">
        <v>43831</v>
      </c>
      <c r="D2083" s="13">
        <v>44196</v>
      </c>
      <c r="E2083" t="s">
        <v>17</v>
      </c>
      <c r="F2083">
        <v>0</v>
      </c>
      <c r="G2083" t="s">
        <v>18</v>
      </c>
      <c r="H2083">
        <v>1</v>
      </c>
      <c r="I2083" t="s">
        <v>19</v>
      </c>
      <c r="J2083">
        <v>281</v>
      </c>
      <c r="K2083" t="s">
        <v>78</v>
      </c>
      <c r="L2083" s="13">
        <v>44196</v>
      </c>
      <c r="M2083" t="s">
        <v>85</v>
      </c>
      <c r="N2083" t="s">
        <v>86</v>
      </c>
      <c r="O2083">
        <v>-7589.95</v>
      </c>
      <c r="P2083" t="s">
        <v>46</v>
      </c>
    </row>
    <row r="2084" spans="1:16" ht="15" customHeight="1" x14ac:dyDescent="0.4">
      <c r="A2084" t="s">
        <v>15</v>
      </c>
      <c r="B2084" t="s">
        <v>16</v>
      </c>
      <c r="C2084" s="13">
        <v>43831</v>
      </c>
      <c r="D2084" s="13">
        <v>44196</v>
      </c>
      <c r="E2084" t="s">
        <v>17</v>
      </c>
      <c r="F2084">
        <v>0</v>
      </c>
      <c r="G2084" t="s">
        <v>18</v>
      </c>
      <c r="H2084">
        <v>1</v>
      </c>
      <c r="I2084" t="s">
        <v>19</v>
      </c>
      <c r="J2084">
        <v>281</v>
      </c>
      <c r="K2084" t="s">
        <v>78</v>
      </c>
      <c r="L2084" s="13">
        <v>44196</v>
      </c>
      <c r="M2084" t="s">
        <v>1063</v>
      </c>
      <c r="N2084" t="s">
        <v>46</v>
      </c>
      <c r="O2084">
        <v>-88.98</v>
      </c>
      <c r="P2084" t="s">
        <v>46</v>
      </c>
    </row>
    <row r="2085" spans="1:16" ht="15" customHeight="1" x14ac:dyDescent="0.4">
      <c r="A2085" t="s">
        <v>15</v>
      </c>
      <c r="B2085" t="s">
        <v>16</v>
      </c>
      <c r="C2085" s="13">
        <v>43831</v>
      </c>
      <c r="D2085" s="13">
        <v>44196</v>
      </c>
      <c r="E2085" t="s">
        <v>17</v>
      </c>
      <c r="F2085">
        <v>0</v>
      </c>
      <c r="G2085" t="s">
        <v>18</v>
      </c>
      <c r="H2085">
        <v>1</v>
      </c>
      <c r="I2085" t="s">
        <v>19</v>
      </c>
      <c r="J2085">
        <v>281</v>
      </c>
      <c r="K2085" t="s">
        <v>78</v>
      </c>
      <c r="L2085" s="13">
        <v>44196</v>
      </c>
      <c r="M2085" t="s">
        <v>90</v>
      </c>
      <c r="N2085" t="s">
        <v>86</v>
      </c>
      <c r="O2085">
        <v>-1249.52</v>
      </c>
      <c r="P2085" t="s">
        <v>46</v>
      </c>
    </row>
    <row r="2086" spans="1:16" ht="15" customHeight="1" x14ac:dyDescent="0.4">
      <c r="A2086" t="s">
        <v>15</v>
      </c>
      <c r="B2086" t="s">
        <v>16</v>
      </c>
      <c r="C2086" s="13">
        <v>43831</v>
      </c>
      <c r="D2086" s="13">
        <v>44196</v>
      </c>
      <c r="E2086" t="s">
        <v>17</v>
      </c>
      <c r="F2086">
        <v>0</v>
      </c>
      <c r="G2086" t="s">
        <v>18</v>
      </c>
      <c r="H2086">
        <v>1</v>
      </c>
      <c r="I2086" t="s">
        <v>19</v>
      </c>
      <c r="J2086">
        <v>281</v>
      </c>
      <c r="K2086" t="s">
        <v>78</v>
      </c>
      <c r="L2086" s="13">
        <v>44196</v>
      </c>
      <c r="M2086" t="s">
        <v>87</v>
      </c>
      <c r="N2086" t="s">
        <v>86</v>
      </c>
      <c r="O2086">
        <v>-1806.58</v>
      </c>
      <c r="P2086" t="s">
        <v>46</v>
      </c>
    </row>
    <row r="2087" spans="1:16" ht="15" customHeight="1" x14ac:dyDescent="0.4">
      <c r="A2087" t="s">
        <v>15</v>
      </c>
      <c r="B2087" t="s">
        <v>16</v>
      </c>
      <c r="C2087" s="13">
        <v>43831</v>
      </c>
      <c r="D2087" s="13">
        <v>44196</v>
      </c>
      <c r="E2087" t="s">
        <v>17</v>
      </c>
      <c r="F2087">
        <v>0</v>
      </c>
      <c r="G2087" t="s">
        <v>18</v>
      </c>
      <c r="H2087">
        <v>1</v>
      </c>
      <c r="I2087" t="s">
        <v>19</v>
      </c>
      <c r="J2087">
        <v>285</v>
      </c>
      <c r="K2087" t="s">
        <v>91</v>
      </c>
      <c r="L2087" s="13">
        <v>43881</v>
      </c>
      <c r="M2087" t="s">
        <v>1064</v>
      </c>
      <c r="N2087" t="s">
        <v>46</v>
      </c>
      <c r="O2087">
        <v>2333.08</v>
      </c>
      <c r="P2087" t="s">
        <v>46</v>
      </c>
    </row>
    <row r="2088" spans="1:16" ht="15" customHeight="1" x14ac:dyDescent="0.4">
      <c r="A2088" t="s">
        <v>15</v>
      </c>
      <c r="B2088" t="s">
        <v>16</v>
      </c>
      <c r="C2088" s="13">
        <v>43831</v>
      </c>
      <c r="D2088" s="13">
        <v>44196</v>
      </c>
      <c r="E2088" t="s">
        <v>17</v>
      </c>
      <c r="F2088">
        <v>0</v>
      </c>
      <c r="G2088" t="s">
        <v>18</v>
      </c>
      <c r="H2088">
        <v>1</v>
      </c>
      <c r="I2088" t="s">
        <v>19</v>
      </c>
      <c r="J2088">
        <v>285</v>
      </c>
      <c r="K2088" t="s">
        <v>91</v>
      </c>
      <c r="L2088" s="13">
        <v>44088</v>
      </c>
      <c r="M2088" t="s">
        <v>1064</v>
      </c>
      <c r="N2088" t="s">
        <v>46</v>
      </c>
      <c r="O2088">
        <v>2242.0300000000002</v>
      </c>
      <c r="P2088" t="s">
        <v>46</v>
      </c>
    </row>
    <row r="2089" spans="1:16" ht="15" customHeight="1" x14ac:dyDescent="0.4">
      <c r="A2089" t="s">
        <v>15</v>
      </c>
      <c r="B2089" t="s">
        <v>16</v>
      </c>
      <c r="C2089" s="13">
        <v>43831</v>
      </c>
      <c r="D2089" s="13">
        <v>44196</v>
      </c>
      <c r="E2089" t="s">
        <v>17</v>
      </c>
      <c r="F2089">
        <v>0</v>
      </c>
      <c r="G2089" t="s">
        <v>18</v>
      </c>
      <c r="H2089">
        <v>1</v>
      </c>
      <c r="I2089" t="s">
        <v>19</v>
      </c>
      <c r="J2089">
        <v>289</v>
      </c>
      <c r="K2089" t="s">
        <v>96</v>
      </c>
      <c r="L2089" s="13">
        <v>44196</v>
      </c>
      <c r="M2089" t="s">
        <v>1065</v>
      </c>
      <c r="N2089" t="s">
        <v>86</v>
      </c>
      <c r="O2089">
        <v>19.34</v>
      </c>
      <c r="P2089" t="s">
        <v>46</v>
      </c>
    </row>
    <row r="2090" spans="1:16" ht="15" customHeight="1" x14ac:dyDescent="0.4">
      <c r="A2090" t="s">
        <v>15</v>
      </c>
      <c r="B2090" t="s">
        <v>16</v>
      </c>
      <c r="C2090" s="13">
        <v>43831</v>
      </c>
      <c r="D2090" s="13">
        <v>44196</v>
      </c>
      <c r="E2090" t="s">
        <v>17</v>
      </c>
      <c r="F2090">
        <v>0</v>
      </c>
      <c r="G2090" t="s">
        <v>18</v>
      </c>
      <c r="H2090">
        <v>1</v>
      </c>
      <c r="I2090" t="s">
        <v>19</v>
      </c>
      <c r="J2090">
        <v>289</v>
      </c>
      <c r="K2090" t="s">
        <v>96</v>
      </c>
      <c r="L2090" s="13">
        <v>44196</v>
      </c>
      <c r="M2090" t="s">
        <v>1066</v>
      </c>
      <c r="N2090" t="s">
        <v>98</v>
      </c>
      <c r="O2090">
        <v>11.07</v>
      </c>
      <c r="P2090" t="s">
        <v>46</v>
      </c>
    </row>
    <row r="2091" spans="1:16" ht="15" customHeight="1" x14ac:dyDescent="0.4">
      <c r="A2091" t="s">
        <v>15</v>
      </c>
      <c r="B2091" t="s">
        <v>16</v>
      </c>
      <c r="C2091" s="13">
        <v>43831</v>
      </c>
      <c r="D2091" s="13">
        <v>44196</v>
      </c>
      <c r="E2091" t="s">
        <v>17</v>
      </c>
      <c r="F2091">
        <v>0</v>
      </c>
      <c r="G2091" t="s">
        <v>18</v>
      </c>
      <c r="H2091">
        <v>1</v>
      </c>
      <c r="I2091" t="s">
        <v>19</v>
      </c>
      <c r="J2091">
        <v>308</v>
      </c>
      <c r="K2091" t="s">
        <v>100</v>
      </c>
      <c r="L2091" s="13">
        <v>43843</v>
      </c>
      <c r="M2091" t="s">
        <v>1067</v>
      </c>
      <c r="N2091" t="s">
        <v>659</v>
      </c>
      <c r="O2091">
        <v>87.6</v>
      </c>
      <c r="P2091" t="s">
        <v>103</v>
      </c>
    </row>
    <row r="2092" spans="1:16" ht="15" customHeight="1" x14ac:dyDescent="0.4">
      <c r="A2092" t="s">
        <v>15</v>
      </c>
      <c r="B2092" t="s">
        <v>16</v>
      </c>
      <c r="C2092" s="13">
        <v>43831</v>
      </c>
      <c r="D2092" s="13">
        <v>44196</v>
      </c>
      <c r="E2092" t="s">
        <v>17</v>
      </c>
      <c r="F2092">
        <v>0</v>
      </c>
      <c r="G2092" t="s">
        <v>18</v>
      </c>
      <c r="H2092">
        <v>1</v>
      </c>
      <c r="I2092" t="s">
        <v>19</v>
      </c>
      <c r="J2092">
        <v>321</v>
      </c>
      <c r="K2092" t="s">
        <v>104</v>
      </c>
      <c r="L2092" s="13">
        <v>43860</v>
      </c>
      <c r="M2092" t="s">
        <v>1068</v>
      </c>
      <c r="N2092" t="s">
        <v>1069</v>
      </c>
      <c r="O2092">
        <v>2196.2600000000002</v>
      </c>
      <c r="P2092" t="s">
        <v>34</v>
      </c>
    </row>
    <row r="2093" spans="1:16" ht="15" customHeight="1" x14ac:dyDescent="0.4">
      <c r="A2093" t="s">
        <v>15</v>
      </c>
      <c r="B2093" t="s">
        <v>16</v>
      </c>
      <c r="C2093" s="13">
        <v>43831</v>
      </c>
      <c r="D2093" s="13">
        <v>44196</v>
      </c>
      <c r="E2093" t="s">
        <v>17</v>
      </c>
      <c r="F2093">
        <v>0</v>
      </c>
      <c r="G2093" t="s">
        <v>18</v>
      </c>
      <c r="H2093">
        <v>1</v>
      </c>
      <c r="I2093" t="s">
        <v>19</v>
      </c>
      <c r="J2093">
        <v>321</v>
      </c>
      <c r="K2093" t="s">
        <v>104</v>
      </c>
      <c r="L2093" s="13">
        <v>43888</v>
      </c>
      <c r="M2093" t="s">
        <v>1070</v>
      </c>
      <c r="N2093" t="s">
        <v>1071</v>
      </c>
      <c r="O2093">
        <v>2228.81</v>
      </c>
      <c r="P2093" t="s">
        <v>34</v>
      </c>
    </row>
    <row r="2094" spans="1:16" ht="15" customHeight="1" x14ac:dyDescent="0.4">
      <c r="A2094" t="s">
        <v>15</v>
      </c>
      <c r="B2094" t="s">
        <v>16</v>
      </c>
      <c r="C2094" s="13">
        <v>43831</v>
      </c>
      <c r="D2094" s="13">
        <v>44196</v>
      </c>
      <c r="E2094" t="s">
        <v>17</v>
      </c>
      <c r="F2094">
        <v>0</v>
      </c>
      <c r="G2094" t="s">
        <v>18</v>
      </c>
      <c r="H2094">
        <v>1</v>
      </c>
      <c r="I2094" t="s">
        <v>19</v>
      </c>
      <c r="J2094">
        <v>321</v>
      </c>
      <c r="K2094" t="s">
        <v>104</v>
      </c>
      <c r="L2094" s="13">
        <v>43915</v>
      </c>
      <c r="M2094" t="s">
        <v>1072</v>
      </c>
      <c r="N2094" t="s">
        <v>1073</v>
      </c>
      <c r="O2094">
        <v>2196.2600000000002</v>
      </c>
      <c r="P2094" t="s">
        <v>34</v>
      </c>
    </row>
    <row r="2095" spans="1:16" ht="15" customHeight="1" x14ac:dyDescent="0.4">
      <c r="A2095" t="s">
        <v>15</v>
      </c>
      <c r="B2095" t="s">
        <v>16</v>
      </c>
      <c r="C2095" s="13">
        <v>43831</v>
      </c>
      <c r="D2095" s="13">
        <v>44196</v>
      </c>
      <c r="E2095" t="s">
        <v>17</v>
      </c>
      <c r="F2095">
        <v>0</v>
      </c>
      <c r="G2095" t="s">
        <v>18</v>
      </c>
      <c r="H2095">
        <v>1</v>
      </c>
      <c r="I2095" t="s">
        <v>19</v>
      </c>
      <c r="J2095">
        <v>321</v>
      </c>
      <c r="K2095" t="s">
        <v>104</v>
      </c>
      <c r="L2095" s="13">
        <v>43950</v>
      </c>
      <c r="M2095" t="s">
        <v>1074</v>
      </c>
      <c r="N2095" t="s">
        <v>1075</v>
      </c>
      <c r="O2095">
        <v>2196.2600000000002</v>
      </c>
      <c r="P2095" t="s">
        <v>34</v>
      </c>
    </row>
    <row r="2096" spans="1:16" ht="15" customHeight="1" x14ac:dyDescent="0.4">
      <c r="A2096" t="s">
        <v>15</v>
      </c>
      <c r="B2096" t="s">
        <v>16</v>
      </c>
      <c r="C2096" s="13">
        <v>43831</v>
      </c>
      <c r="D2096" s="13">
        <v>44196</v>
      </c>
      <c r="E2096" t="s">
        <v>17</v>
      </c>
      <c r="F2096">
        <v>0</v>
      </c>
      <c r="G2096" t="s">
        <v>18</v>
      </c>
      <c r="H2096">
        <v>1</v>
      </c>
      <c r="I2096" t="s">
        <v>19</v>
      </c>
      <c r="J2096">
        <v>321</v>
      </c>
      <c r="K2096" t="s">
        <v>104</v>
      </c>
      <c r="L2096" s="13">
        <v>43978</v>
      </c>
      <c r="M2096" t="s">
        <v>1076</v>
      </c>
      <c r="N2096" t="s">
        <v>1077</v>
      </c>
      <c r="O2096">
        <v>2196.2600000000002</v>
      </c>
      <c r="P2096" t="s">
        <v>34</v>
      </c>
    </row>
    <row r="2097" spans="1:16" ht="15" customHeight="1" x14ac:dyDescent="0.4">
      <c r="A2097" t="s">
        <v>15</v>
      </c>
      <c r="B2097" t="s">
        <v>16</v>
      </c>
      <c r="C2097" s="13">
        <v>43831</v>
      </c>
      <c r="D2097" s="13">
        <v>44196</v>
      </c>
      <c r="E2097" t="s">
        <v>17</v>
      </c>
      <c r="F2097">
        <v>0</v>
      </c>
      <c r="G2097" t="s">
        <v>18</v>
      </c>
      <c r="H2097">
        <v>1</v>
      </c>
      <c r="I2097" t="s">
        <v>19</v>
      </c>
      <c r="J2097">
        <v>321</v>
      </c>
      <c r="K2097" t="s">
        <v>104</v>
      </c>
      <c r="L2097" s="13">
        <v>44012</v>
      </c>
      <c r="M2097" t="s">
        <v>1078</v>
      </c>
      <c r="N2097" t="s">
        <v>1079</v>
      </c>
      <c r="O2097">
        <v>2196.2600000000002</v>
      </c>
      <c r="P2097" t="s">
        <v>34</v>
      </c>
    </row>
    <row r="2098" spans="1:16" ht="15" customHeight="1" x14ac:dyDescent="0.4">
      <c r="A2098" t="s">
        <v>15</v>
      </c>
      <c r="B2098" t="s">
        <v>16</v>
      </c>
      <c r="C2098" s="13">
        <v>43831</v>
      </c>
      <c r="D2098" s="13">
        <v>44196</v>
      </c>
      <c r="E2098" t="s">
        <v>17</v>
      </c>
      <c r="F2098">
        <v>0</v>
      </c>
      <c r="G2098" t="s">
        <v>18</v>
      </c>
      <c r="H2098">
        <v>1</v>
      </c>
      <c r="I2098" t="s">
        <v>19</v>
      </c>
      <c r="J2098">
        <v>321</v>
      </c>
      <c r="K2098" t="s">
        <v>104</v>
      </c>
      <c r="L2098" s="13">
        <v>44041</v>
      </c>
      <c r="M2098" t="s">
        <v>1080</v>
      </c>
      <c r="N2098" t="s">
        <v>1081</v>
      </c>
      <c r="O2098">
        <v>2196.2600000000002</v>
      </c>
      <c r="P2098" t="s">
        <v>34</v>
      </c>
    </row>
    <row r="2099" spans="1:16" ht="15" customHeight="1" x14ac:dyDescent="0.4">
      <c r="A2099" t="s">
        <v>15</v>
      </c>
      <c r="B2099" t="s">
        <v>16</v>
      </c>
      <c r="C2099" s="13">
        <v>43831</v>
      </c>
      <c r="D2099" s="13">
        <v>44196</v>
      </c>
      <c r="E2099" t="s">
        <v>17</v>
      </c>
      <c r="F2099">
        <v>0</v>
      </c>
      <c r="G2099" t="s">
        <v>18</v>
      </c>
      <c r="H2099">
        <v>1</v>
      </c>
      <c r="I2099" t="s">
        <v>19</v>
      </c>
      <c r="J2099">
        <v>321</v>
      </c>
      <c r="K2099" t="s">
        <v>104</v>
      </c>
      <c r="L2099" s="13">
        <v>44071</v>
      </c>
      <c r="M2099" t="s">
        <v>1082</v>
      </c>
      <c r="N2099" t="s">
        <v>1083</v>
      </c>
      <c r="O2099">
        <v>2222.9299999999998</v>
      </c>
      <c r="P2099" t="s">
        <v>34</v>
      </c>
    </row>
    <row r="2100" spans="1:16" ht="15" customHeight="1" x14ac:dyDescent="0.4">
      <c r="A2100" t="s">
        <v>15</v>
      </c>
      <c r="B2100" t="s">
        <v>16</v>
      </c>
      <c r="C2100" s="13">
        <v>43831</v>
      </c>
      <c r="D2100" s="13">
        <v>44196</v>
      </c>
      <c r="E2100" t="s">
        <v>17</v>
      </c>
      <c r="F2100">
        <v>0</v>
      </c>
      <c r="G2100" t="s">
        <v>18</v>
      </c>
      <c r="H2100">
        <v>1</v>
      </c>
      <c r="I2100" t="s">
        <v>19</v>
      </c>
      <c r="J2100">
        <v>321</v>
      </c>
      <c r="K2100" t="s">
        <v>104</v>
      </c>
      <c r="L2100" s="13">
        <v>44081</v>
      </c>
      <c r="M2100" t="s">
        <v>1084</v>
      </c>
      <c r="N2100" t="s">
        <v>106</v>
      </c>
      <c r="O2100">
        <v>-0.28000000000000003</v>
      </c>
      <c r="P2100" t="s">
        <v>107</v>
      </c>
    </row>
    <row r="2101" spans="1:16" ht="15" customHeight="1" x14ac:dyDescent="0.4">
      <c r="A2101" t="s">
        <v>15</v>
      </c>
      <c r="B2101" t="s">
        <v>16</v>
      </c>
      <c r="C2101" s="13">
        <v>43831</v>
      </c>
      <c r="D2101" s="13">
        <v>44196</v>
      </c>
      <c r="E2101" t="s">
        <v>17</v>
      </c>
      <c r="F2101">
        <v>0</v>
      </c>
      <c r="G2101" t="s">
        <v>18</v>
      </c>
      <c r="H2101">
        <v>1</v>
      </c>
      <c r="I2101" t="s">
        <v>19</v>
      </c>
      <c r="J2101">
        <v>321</v>
      </c>
      <c r="K2101" t="s">
        <v>104</v>
      </c>
      <c r="L2101" s="13">
        <v>44104</v>
      </c>
      <c r="M2101" t="s">
        <v>1085</v>
      </c>
      <c r="N2101" t="s">
        <v>1086</v>
      </c>
      <c r="O2101">
        <v>2315.46</v>
      </c>
      <c r="P2101" t="s">
        <v>34</v>
      </c>
    </row>
    <row r="2102" spans="1:16" ht="15" customHeight="1" x14ac:dyDescent="0.4">
      <c r="A2102" t="s">
        <v>15</v>
      </c>
      <c r="B2102" t="s">
        <v>16</v>
      </c>
      <c r="C2102" s="13">
        <v>43831</v>
      </c>
      <c r="D2102" s="13">
        <v>44196</v>
      </c>
      <c r="E2102" t="s">
        <v>17</v>
      </c>
      <c r="F2102">
        <v>0</v>
      </c>
      <c r="G2102" t="s">
        <v>18</v>
      </c>
      <c r="H2102">
        <v>1</v>
      </c>
      <c r="I2102" t="s">
        <v>19</v>
      </c>
      <c r="J2102">
        <v>321</v>
      </c>
      <c r="K2102" t="s">
        <v>104</v>
      </c>
      <c r="L2102" s="13">
        <v>44113</v>
      </c>
      <c r="M2102" t="s">
        <v>1087</v>
      </c>
      <c r="N2102" t="s">
        <v>106</v>
      </c>
      <c r="O2102">
        <v>0.16</v>
      </c>
      <c r="P2102" t="s">
        <v>107</v>
      </c>
    </row>
    <row r="2103" spans="1:16" ht="15" customHeight="1" x14ac:dyDescent="0.4">
      <c r="A2103" t="s">
        <v>15</v>
      </c>
      <c r="B2103" t="s">
        <v>16</v>
      </c>
      <c r="C2103" s="13">
        <v>43831</v>
      </c>
      <c r="D2103" s="13">
        <v>44196</v>
      </c>
      <c r="E2103" t="s">
        <v>17</v>
      </c>
      <c r="F2103">
        <v>0</v>
      </c>
      <c r="G2103" t="s">
        <v>18</v>
      </c>
      <c r="H2103">
        <v>1</v>
      </c>
      <c r="I2103" t="s">
        <v>19</v>
      </c>
      <c r="J2103">
        <v>321</v>
      </c>
      <c r="K2103" t="s">
        <v>104</v>
      </c>
      <c r="L2103" s="13">
        <v>44131</v>
      </c>
      <c r="M2103" t="s">
        <v>1088</v>
      </c>
      <c r="N2103" t="s">
        <v>1089</v>
      </c>
      <c r="O2103">
        <v>2218.7199999999998</v>
      </c>
      <c r="P2103" t="s">
        <v>34</v>
      </c>
    </row>
    <row r="2104" spans="1:16" ht="15" customHeight="1" x14ac:dyDescent="0.4">
      <c r="A2104" t="s">
        <v>15</v>
      </c>
      <c r="B2104" t="s">
        <v>16</v>
      </c>
      <c r="C2104" s="13">
        <v>43831</v>
      </c>
      <c r="D2104" s="13">
        <v>44196</v>
      </c>
      <c r="E2104" t="s">
        <v>17</v>
      </c>
      <c r="F2104">
        <v>0</v>
      </c>
      <c r="G2104" t="s">
        <v>18</v>
      </c>
      <c r="H2104">
        <v>1</v>
      </c>
      <c r="I2104" t="s">
        <v>19</v>
      </c>
      <c r="J2104">
        <v>321</v>
      </c>
      <c r="K2104" t="s">
        <v>104</v>
      </c>
      <c r="L2104" s="13">
        <v>44134</v>
      </c>
      <c r="M2104" t="s">
        <v>1090</v>
      </c>
      <c r="N2104" t="s">
        <v>106</v>
      </c>
      <c r="O2104">
        <v>-0.21</v>
      </c>
      <c r="P2104" t="s">
        <v>107</v>
      </c>
    </row>
    <row r="2105" spans="1:16" ht="15" customHeight="1" x14ac:dyDescent="0.4">
      <c r="A2105" t="s">
        <v>15</v>
      </c>
      <c r="B2105" t="s">
        <v>16</v>
      </c>
      <c r="C2105" s="13">
        <v>43831</v>
      </c>
      <c r="D2105" s="13">
        <v>44196</v>
      </c>
      <c r="E2105" t="s">
        <v>17</v>
      </c>
      <c r="F2105">
        <v>0</v>
      </c>
      <c r="G2105" t="s">
        <v>18</v>
      </c>
      <c r="H2105">
        <v>1</v>
      </c>
      <c r="I2105" t="s">
        <v>19</v>
      </c>
      <c r="J2105">
        <v>321</v>
      </c>
      <c r="K2105" t="s">
        <v>104</v>
      </c>
      <c r="L2105" s="13">
        <v>44162</v>
      </c>
      <c r="M2105" t="s">
        <v>1091</v>
      </c>
      <c r="N2105" t="s">
        <v>1092</v>
      </c>
      <c r="O2105">
        <v>2218.7199999999998</v>
      </c>
      <c r="P2105" t="s">
        <v>34</v>
      </c>
    </row>
    <row r="2106" spans="1:16" ht="15" customHeight="1" x14ac:dyDescent="0.4">
      <c r="A2106" t="s">
        <v>15</v>
      </c>
      <c r="B2106" t="s">
        <v>16</v>
      </c>
      <c r="C2106" s="13">
        <v>43831</v>
      </c>
      <c r="D2106" s="13">
        <v>44196</v>
      </c>
      <c r="E2106" t="s">
        <v>17</v>
      </c>
      <c r="F2106">
        <v>0</v>
      </c>
      <c r="G2106" t="s">
        <v>18</v>
      </c>
      <c r="H2106">
        <v>1</v>
      </c>
      <c r="I2106" t="s">
        <v>19</v>
      </c>
      <c r="J2106">
        <v>321</v>
      </c>
      <c r="K2106" t="s">
        <v>104</v>
      </c>
      <c r="L2106" s="13">
        <v>44166</v>
      </c>
      <c r="M2106" t="s">
        <v>1093</v>
      </c>
      <c r="N2106" t="s">
        <v>106</v>
      </c>
      <c r="O2106">
        <v>-0.21</v>
      </c>
      <c r="P2106" t="s">
        <v>107</v>
      </c>
    </row>
    <row r="2107" spans="1:16" ht="15" customHeight="1" x14ac:dyDescent="0.4">
      <c r="A2107" t="s">
        <v>15</v>
      </c>
      <c r="B2107" t="s">
        <v>16</v>
      </c>
      <c r="C2107" s="13">
        <v>43831</v>
      </c>
      <c r="D2107" s="13">
        <v>44196</v>
      </c>
      <c r="E2107" t="s">
        <v>17</v>
      </c>
      <c r="F2107">
        <v>0</v>
      </c>
      <c r="G2107" t="s">
        <v>18</v>
      </c>
      <c r="H2107">
        <v>1</v>
      </c>
      <c r="I2107" t="s">
        <v>19</v>
      </c>
      <c r="J2107">
        <v>321</v>
      </c>
      <c r="K2107" t="s">
        <v>104</v>
      </c>
      <c r="L2107" s="13">
        <v>44183</v>
      </c>
      <c r="M2107" t="s">
        <v>1094</v>
      </c>
      <c r="N2107" t="s">
        <v>1095</v>
      </c>
      <c r="O2107">
        <v>4316.38</v>
      </c>
      <c r="P2107" t="s">
        <v>34</v>
      </c>
    </row>
    <row r="2108" spans="1:16" ht="15" customHeight="1" x14ac:dyDescent="0.4">
      <c r="A2108" t="s">
        <v>15</v>
      </c>
      <c r="B2108" t="s">
        <v>16</v>
      </c>
      <c r="C2108" s="13">
        <v>43831</v>
      </c>
      <c r="D2108" s="13">
        <v>44196</v>
      </c>
      <c r="E2108" t="s">
        <v>17</v>
      </c>
      <c r="F2108">
        <v>0</v>
      </c>
      <c r="G2108" t="s">
        <v>18</v>
      </c>
      <c r="H2108">
        <v>1</v>
      </c>
      <c r="I2108" t="s">
        <v>19</v>
      </c>
      <c r="J2108">
        <v>321</v>
      </c>
      <c r="K2108" t="s">
        <v>104</v>
      </c>
      <c r="L2108" s="13">
        <v>44196</v>
      </c>
      <c r="M2108" t="s">
        <v>1096</v>
      </c>
      <c r="N2108" t="s">
        <v>106</v>
      </c>
      <c r="O2108">
        <v>-0.43</v>
      </c>
      <c r="P2108" t="s">
        <v>107</v>
      </c>
    </row>
    <row r="2109" spans="1:16" ht="15" customHeight="1" x14ac:dyDescent="0.4">
      <c r="A2109" t="s">
        <v>15</v>
      </c>
      <c r="B2109" t="s">
        <v>16</v>
      </c>
      <c r="C2109" s="13">
        <v>43831</v>
      </c>
      <c r="D2109" s="13">
        <v>44196</v>
      </c>
      <c r="E2109" t="s">
        <v>17</v>
      </c>
      <c r="F2109">
        <v>0</v>
      </c>
      <c r="G2109" t="s">
        <v>18</v>
      </c>
      <c r="H2109">
        <v>1</v>
      </c>
      <c r="I2109" t="s">
        <v>19</v>
      </c>
      <c r="J2109">
        <v>322</v>
      </c>
      <c r="K2109" t="s">
        <v>143</v>
      </c>
      <c r="L2109" s="13">
        <v>43845</v>
      </c>
      <c r="M2109" t="s">
        <v>1097</v>
      </c>
      <c r="N2109" t="s">
        <v>1098</v>
      </c>
      <c r="O2109">
        <v>0.12</v>
      </c>
      <c r="P2109" t="s">
        <v>146</v>
      </c>
    </row>
    <row r="2110" spans="1:16" ht="15" customHeight="1" x14ac:dyDescent="0.4">
      <c r="A2110" t="s">
        <v>15</v>
      </c>
      <c r="B2110" t="s">
        <v>16</v>
      </c>
      <c r="C2110" s="13">
        <v>43831</v>
      </c>
      <c r="D2110" s="13">
        <v>44196</v>
      </c>
      <c r="E2110" t="s">
        <v>17</v>
      </c>
      <c r="F2110">
        <v>0</v>
      </c>
      <c r="G2110" t="s">
        <v>18</v>
      </c>
      <c r="H2110">
        <v>1</v>
      </c>
      <c r="I2110" t="s">
        <v>19</v>
      </c>
      <c r="J2110">
        <v>322</v>
      </c>
      <c r="K2110" t="s">
        <v>143</v>
      </c>
      <c r="L2110" s="13">
        <v>43860</v>
      </c>
      <c r="M2110" t="s">
        <v>1099</v>
      </c>
      <c r="N2110" t="s">
        <v>1069</v>
      </c>
      <c r="O2110">
        <v>511.57</v>
      </c>
      <c r="P2110" t="s">
        <v>34</v>
      </c>
    </row>
    <row r="2111" spans="1:16" ht="15" customHeight="1" x14ac:dyDescent="0.4">
      <c r="A2111" t="s">
        <v>15</v>
      </c>
      <c r="B2111" t="s">
        <v>16</v>
      </c>
      <c r="C2111" s="13">
        <v>43831</v>
      </c>
      <c r="D2111" s="13">
        <v>44196</v>
      </c>
      <c r="E2111" t="s">
        <v>17</v>
      </c>
      <c r="F2111">
        <v>0</v>
      </c>
      <c r="G2111" t="s">
        <v>18</v>
      </c>
      <c r="H2111">
        <v>1</v>
      </c>
      <c r="I2111" t="s">
        <v>19</v>
      </c>
      <c r="J2111">
        <v>322</v>
      </c>
      <c r="K2111" t="s">
        <v>143</v>
      </c>
      <c r="L2111" s="13">
        <v>43865</v>
      </c>
      <c r="M2111" t="s">
        <v>1100</v>
      </c>
      <c r="N2111" t="s">
        <v>1101</v>
      </c>
      <c r="O2111">
        <v>-0.43</v>
      </c>
      <c r="P2111" t="s">
        <v>146</v>
      </c>
    </row>
    <row r="2112" spans="1:16" ht="15" customHeight="1" x14ac:dyDescent="0.4">
      <c r="A2112" t="s">
        <v>15</v>
      </c>
      <c r="B2112" t="s">
        <v>16</v>
      </c>
      <c r="C2112" s="13">
        <v>43831</v>
      </c>
      <c r="D2112" s="13">
        <v>44196</v>
      </c>
      <c r="E2112" t="s">
        <v>17</v>
      </c>
      <c r="F2112">
        <v>0</v>
      </c>
      <c r="G2112" t="s">
        <v>18</v>
      </c>
      <c r="H2112">
        <v>1</v>
      </c>
      <c r="I2112" t="s">
        <v>19</v>
      </c>
      <c r="J2112">
        <v>322</v>
      </c>
      <c r="K2112" t="s">
        <v>143</v>
      </c>
      <c r="L2112" s="13">
        <v>43888</v>
      </c>
      <c r="M2112" t="s">
        <v>1102</v>
      </c>
      <c r="N2112" t="s">
        <v>1071</v>
      </c>
      <c r="O2112">
        <v>533.4</v>
      </c>
      <c r="P2112" t="s">
        <v>34</v>
      </c>
    </row>
    <row r="2113" spans="1:16" ht="15" customHeight="1" x14ac:dyDescent="0.4">
      <c r="A2113" t="s">
        <v>15</v>
      </c>
      <c r="B2113" t="s">
        <v>16</v>
      </c>
      <c r="C2113" s="13">
        <v>43831</v>
      </c>
      <c r="D2113" s="13">
        <v>44196</v>
      </c>
      <c r="E2113" t="s">
        <v>17</v>
      </c>
      <c r="F2113">
        <v>0</v>
      </c>
      <c r="G2113" t="s">
        <v>18</v>
      </c>
      <c r="H2113">
        <v>1</v>
      </c>
      <c r="I2113" t="s">
        <v>19</v>
      </c>
      <c r="J2113">
        <v>322</v>
      </c>
      <c r="K2113" t="s">
        <v>143</v>
      </c>
      <c r="L2113" s="13">
        <v>43895</v>
      </c>
      <c r="M2113" t="s">
        <v>1103</v>
      </c>
      <c r="N2113" t="s">
        <v>1104</v>
      </c>
      <c r="O2113">
        <v>-1.74</v>
      </c>
      <c r="P2113" t="s">
        <v>146</v>
      </c>
    </row>
    <row r="2114" spans="1:16" ht="15" customHeight="1" x14ac:dyDescent="0.4">
      <c r="A2114" t="s">
        <v>15</v>
      </c>
      <c r="B2114" t="s">
        <v>16</v>
      </c>
      <c r="C2114" s="13">
        <v>43831</v>
      </c>
      <c r="D2114" s="13">
        <v>44196</v>
      </c>
      <c r="E2114" t="s">
        <v>17</v>
      </c>
      <c r="F2114">
        <v>0</v>
      </c>
      <c r="G2114" t="s">
        <v>18</v>
      </c>
      <c r="H2114">
        <v>1</v>
      </c>
      <c r="I2114" t="s">
        <v>19</v>
      </c>
      <c r="J2114">
        <v>322</v>
      </c>
      <c r="K2114" t="s">
        <v>143</v>
      </c>
      <c r="L2114" s="13">
        <v>43915</v>
      </c>
      <c r="M2114" t="s">
        <v>1105</v>
      </c>
      <c r="N2114" t="s">
        <v>1073</v>
      </c>
      <c r="O2114">
        <v>511.58</v>
      </c>
      <c r="P2114" t="s">
        <v>34</v>
      </c>
    </row>
    <row r="2115" spans="1:16" ht="15" customHeight="1" x14ac:dyDescent="0.4">
      <c r="A2115" t="s">
        <v>15</v>
      </c>
      <c r="B2115" t="s">
        <v>16</v>
      </c>
      <c r="C2115" s="13">
        <v>43831</v>
      </c>
      <c r="D2115" s="13">
        <v>44196</v>
      </c>
      <c r="E2115" t="s">
        <v>17</v>
      </c>
      <c r="F2115">
        <v>0</v>
      </c>
      <c r="G2115" t="s">
        <v>18</v>
      </c>
      <c r="H2115">
        <v>1</v>
      </c>
      <c r="I2115" t="s">
        <v>19</v>
      </c>
      <c r="J2115">
        <v>322</v>
      </c>
      <c r="K2115" t="s">
        <v>143</v>
      </c>
      <c r="L2115" s="13">
        <v>43917</v>
      </c>
      <c r="M2115" t="s">
        <v>1106</v>
      </c>
      <c r="N2115" t="s">
        <v>1107</v>
      </c>
      <c r="O2115">
        <v>-0.44</v>
      </c>
      <c r="P2115" t="s">
        <v>146</v>
      </c>
    </row>
    <row r="2116" spans="1:16" ht="15" customHeight="1" x14ac:dyDescent="0.4">
      <c r="A2116" t="s">
        <v>15</v>
      </c>
      <c r="B2116" t="s">
        <v>16</v>
      </c>
      <c r="C2116" s="13">
        <v>43831</v>
      </c>
      <c r="D2116" s="13">
        <v>44196</v>
      </c>
      <c r="E2116" t="s">
        <v>17</v>
      </c>
      <c r="F2116">
        <v>0</v>
      </c>
      <c r="G2116" t="s">
        <v>18</v>
      </c>
      <c r="H2116">
        <v>1</v>
      </c>
      <c r="I2116" t="s">
        <v>19</v>
      </c>
      <c r="J2116">
        <v>322</v>
      </c>
      <c r="K2116" t="s">
        <v>143</v>
      </c>
      <c r="L2116" s="13">
        <v>43950</v>
      </c>
      <c r="M2116" t="s">
        <v>1108</v>
      </c>
      <c r="N2116" t="s">
        <v>1075</v>
      </c>
      <c r="O2116">
        <v>511.57</v>
      </c>
      <c r="P2116" t="s">
        <v>34</v>
      </c>
    </row>
    <row r="2117" spans="1:16" ht="15" customHeight="1" x14ac:dyDescent="0.4">
      <c r="A2117" t="s">
        <v>15</v>
      </c>
      <c r="B2117" t="s">
        <v>16</v>
      </c>
      <c r="C2117" s="13">
        <v>43831</v>
      </c>
      <c r="D2117" s="13">
        <v>44196</v>
      </c>
      <c r="E2117" t="s">
        <v>17</v>
      </c>
      <c r="F2117">
        <v>0</v>
      </c>
      <c r="G2117" t="s">
        <v>18</v>
      </c>
      <c r="H2117">
        <v>1</v>
      </c>
      <c r="I2117" t="s">
        <v>19</v>
      </c>
      <c r="J2117">
        <v>322</v>
      </c>
      <c r="K2117" t="s">
        <v>143</v>
      </c>
      <c r="L2117" s="13">
        <v>43955</v>
      </c>
      <c r="M2117" t="s">
        <v>1109</v>
      </c>
      <c r="N2117" t="s">
        <v>1110</v>
      </c>
      <c r="O2117">
        <v>-0.43</v>
      </c>
      <c r="P2117" t="s">
        <v>146</v>
      </c>
    </row>
    <row r="2118" spans="1:16" ht="15" customHeight="1" x14ac:dyDescent="0.4">
      <c r="A2118" t="s">
        <v>15</v>
      </c>
      <c r="B2118" t="s">
        <v>16</v>
      </c>
      <c r="C2118" s="13">
        <v>43831</v>
      </c>
      <c r="D2118" s="13">
        <v>44196</v>
      </c>
      <c r="E2118" t="s">
        <v>17</v>
      </c>
      <c r="F2118">
        <v>0</v>
      </c>
      <c r="G2118" t="s">
        <v>18</v>
      </c>
      <c r="H2118">
        <v>1</v>
      </c>
      <c r="I2118" t="s">
        <v>19</v>
      </c>
      <c r="J2118">
        <v>322</v>
      </c>
      <c r="K2118" t="s">
        <v>143</v>
      </c>
      <c r="L2118" s="13">
        <v>43978</v>
      </c>
      <c r="M2118" t="s">
        <v>1111</v>
      </c>
      <c r="N2118" t="s">
        <v>1077</v>
      </c>
      <c r="O2118">
        <v>511.57</v>
      </c>
      <c r="P2118" t="s">
        <v>34</v>
      </c>
    </row>
    <row r="2119" spans="1:16" ht="15" customHeight="1" x14ac:dyDescent="0.4">
      <c r="A2119" t="s">
        <v>15</v>
      </c>
      <c r="B2119" t="s">
        <v>16</v>
      </c>
      <c r="C2119" s="13">
        <v>43831</v>
      </c>
      <c r="D2119" s="13">
        <v>44196</v>
      </c>
      <c r="E2119" t="s">
        <v>17</v>
      </c>
      <c r="F2119">
        <v>0</v>
      </c>
      <c r="G2119" t="s">
        <v>18</v>
      </c>
      <c r="H2119">
        <v>1</v>
      </c>
      <c r="I2119" t="s">
        <v>19</v>
      </c>
      <c r="J2119">
        <v>322</v>
      </c>
      <c r="K2119" t="s">
        <v>143</v>
      </c>
      <c r="L2119" s="13">
        <v>43987</v>
      </c>
      <c r="M2119" t="s">
        <v>1112</v>
      </c>
      <c r="N2119" t="s">
        <v>1113</v>
      </c>
      <c r="O2119">
        <v>-0.43</v>
      </c>
      <c r="P2119" t="s">
        <v>146</v>
      </c>
    </row>
    <row r="2120" spans="1:16" ht="15" customHeight="1" x14ac:dyDescent="0.4">
      <c r="A2120" t="s">
        <v>15</v>
      </c>
      <c r="B2120" t="s">
        <v>16</v>
      </c>
      <c r="C2120" s="13">
        <v>43831</v>
      </c>
      <c r="D2120" s="13">
        <v>44196</v>
      </c>
      <c r="E2120" t="s">
        <v>17</v>
      </c>
      <c r="F2120">
        <v>0</v>
      </c>
      <c r="G2120" t="s">
        <v>18</v>
      </c>
      <c r="H2120">
        <v>1</v>
      </c>
      <c r="I2120" t="s">
        <v>19</v>
      </c>
      <c r="J2120">
        <v>322</v>
      </c>
      <c r="K2120" t="s">
        <v>143</v>
      </c>
      <c r="L2120" s="13">
        <v>44012</v>
      </c>
      <c r="M2120" t="s">
        <v>1114</v>
      </c>
      <c r="N2120" t="s">
        <v>1079</v>
      </c>
      <c r="O2120">
        <v>511.57</v>
      </c>
      <c r="P2120" t="s">
        <v>34</v>
      </c>
    </row>
    <row r="2121" spans="1:16" ht="15" customHeight="1" x14ac:dyDescent="0.4">
      <c r="A2121" t="s">
        <v>15</v>
      </c>
      <c r="B2121" t="s">
        <v>16</v>
      </c>
      <c r="C2121" s="13">
        <v>43831</v>
      </c>
      <c r="D2121" s="13">
        <v>44196</v>
      </c>
      <c r="E2121" t="s">
        <v>17</v>
      </c>
      <c r="F2121">
        <v>0</v>
      </c>
      <c r="G2121" t="s">
        <v>18</v>
      </c>
      <c r="H2121">
        <v>1</v>
      </c>
      <c r="I2121" t="s">
        <v>19</v>
      </c>
      <c r="J2121">
        <v>322</v>
      </c>
      <c r="K2121" t="s">
        <v>143</v>
      </c>
      <c r="L2121" s="13">
        <v>44013</v>
      </c>
      <c r="M2121" t="s">
        <v>1115</v>
      </c>
      <c r="N2121" t="s">
        <v>1116</v>
      </c>
      <c r="O2121">
        <v>-0.43</v>
      </c>
      <c r="P2121" t="s">
        <v>146</v>
      </c>
    </row>
    <row r="2122" spans="1:16" ht="15" customHeight="1" x14ac:dyDescent="0.4">
      <c r="A2122" t="s">
        <v>15</v>
      </c>
      <c r="B2122" t="s">
        <v>16</v>
      </c>
      <c r="C2122" s="13">
        <v>43831</v>
      </c>
      <c r="D2122" s="13">
        <v>44196</v>
      </c>
      <c r="E2122" t="s">
        <v>17</v>
      </c>
      <c r="F2122">
        <v>0</v>
      </c>
      <c r="G2122" t="s">
        <v>18</v>
      </c>
      <c r="H2122">
        <v>1</v>
      </c>
      <c r="I2122" t="s">
        <v>19</v>
      </c>
      <c r="J2122">
        <v>322</v>
      </c>
      <c r="K2122" t="s">
        <v>143</v>
      </c>
      <c r="L2122" s="13">
        <v>44041</v>
      </c>
      <c r="M2122" t="s">
        <v>1117</v>
      </c>
      <c r="N2122" t="s">
        <v>1081</v>
      </c>
      <c r="O2122">
        <v>511.58</v>
      </c>
      <c r="P2122" t="s">
        <v>34</v>
      </c>
    </row>
    <row r="2123" spans="1:16" ht="15" customHeight="1" x14ac:dyDescent="0.4">
      <c r="A2123" t="s">
        <v>15</v>
      </c>
      <c r="B2123" t="s">
        <v>16</v>
      </c>
      <c r="C2123" s="13">
        <v>43831</v>
      </c>
      <c r="D2123" s="13">
        <v>44196</v>
      </c>
      <c r="E2123" t="s">
        <v>17</v>
      </c>
      <c r="F2123">
        <v>0</v>
      </c>
      <c r="G2123" t="s">
        <v>18</v>
      </c>
      <c r="H2123">
        <v>1</v>
      </c>
      <c r="I2123" t="s">
        <v>19</v>
      </c>
      <c r="J2123">
        <v>322</v>
      </c>
      <c r="K2123" t="s">
        <v>143</v>
      </c>
      <c r="L2123" s="13">
        <v>44042</v>
      </c>
      <c r="M2123" t="s">
        <v>1118</v>
      </c>
      <c r="N2123" t="s">
        <v>1119</v>
      </c>
      <c r="O2123">
        <v>-0.44</v>
      </c>
      <c r="P2123" t="s">
        <v>146</v>
      </c>
    </row>
    <row r="2124" spans="1:16" ht="15" customHeight="1" x14ac:dyDescent="0.4">
      <c r="A2124" t="s">
        <v>15</v>
      </c>
      <c r="B2124" t="s">
        <v>16</v>
      </c>
      <c r="C2124" s="13">
        <v>43831</v>
      </c>
      <c r="D2124" s="13">
        <v>44196</v>
      </c>
      <c r="E2124" t="s">
        <v>17</v>
      </c>
      <c r="F2124">
        <v>0</v>
      </c>
      <c r="G2124" t="s">
        <v>18</v>
      </c>
      <c r="H2124">
        <v>1</v>
      </c>
      <c r="I2124" t="s">
        <v>19</v>
      </c>
      <c r="J2124">
        <v>322</v>
      </c>
      <c r="K2124" t="s">
        <v>143</v>
      </c>
      <c r="L2124" s="13">
        <v>44071</v>
      </c>
      <c r="M2124" t="s">
        <v>1120</v>
      </c>
      <c r="N2124" t="s">
        <v>1083</v>
      </c>
      <c r="O2124">
        <v>530.76</v>
      </c>
      <c r="P2124" t="s">
        <v>34</v>
      </c>
    </row>
    <row r="2125" spans="1:16" ht="15" customHeight="1" x14ac:dyDescent="0.4">
      <c r="A2125" t="s">
        <v>15</v>
      </c>
      <c r="B2125" t="s">
        <v>16</v>
      </c>
      <c r="C2125" s="13">
        <v>43831</v>
      </c>
      <c r="D2125" s="13">
        <v>44196</v>
      </c>
      <c r="E2125" t="s">
        <v>17</v>
      </c>
      <c r="F2125">
        <v>0</v>
      </c>
      <c r="G2125" t="s">
        <v>18</v>
      </c>
      <c r="H2125">
        <v>1</v>
      </c>
      <c r="I2125" t="s">
        <v>19</v>
      </c>
      <c r="J2125">
        <v>322</v>
      </c>
      <c r="K2125" t="s">
        <v>143</v>
      </c>
      <c r="L2125" s="13">
        <v>44081</v>
      </c>
      <c r="M2125" t="s">
        <v>1121</v>
      </c>
      <c r="N2125" t="s">
        <v>1122</v>
      </c>
      <c r="O2125">
        <v>-1.1200000000000001</v>
      </c>
      <c r="P2125" t="s">
        <v>146</v>
      </c>
    </row>
    <row r="2126" spans="1:16" ht="15" customHeight="1" x14ac:dyDescent="0.4">
      <c r="A2126" t="s">
        <v>15</v>
      </c>
      <c r="B2126" t="s">
        <v>16</v>
      </c>
      <c r="C2126" s="13">
        <v>43831</v>
      </c>
      <c r="D2126" s="13">
        <v>44196</v>
      </c>
      <c r="E2126" t="s">
        <v>17</v>
      </c>
      <c r="F2126">
        <v>0</v>
      </c>
      <c r="G2126" t="s">
        <v>18</v>
      </c>
      <c r="H2126">
        <v>1</v>
      </c>
      <c r="I2126" t="s">
        <v>19</v>
      </c>
      <c r="J2126">
        <v>322</v>
      </c>
      <c r="K2126" t="s">
        <v>143</v>
      </c>
      <c r="L2126" s="13">
        <v>44104</v>
      </c>
      <c r="M2126" t="s">
        <v>1123</v>
      </c>
      <c r="N2126" t="s">
        <v>1086</v>
      </c>
      <c r="O2126">
        <v>597.35</v>
      </c>
      <c r="P2126" t="s">
        <v>34</v>
      </c>
    </row>
    <row r="2127" spans="1:16" ht="15" customHeight="1" x14ac:dyDescent="0.4">
      <c r="A2127" t="s">
        <v>15</v>
      </c>
      <c r="B2127" t="s">
        <v>16</v>
      </c>
      <c r="C2127" s="13">
        <v>43831</v>
      </c>
      <c r="D2127" s="13">
        <v>44196</v>
      </c>
      <c r="E2127" t="s">
        <v>17</v>
      </c>
      <c r="F2127">
        <v>0</v>
      </c>
      <c r="G2127" t="s">
        <v>18</v>
      </c>
      <c r="H2127">
        <v>1</v>
      </c>
      <c r="I2127" t="s">
        <v>19</v>
      </c>
      <c r="J2127">
        <v>322</v>
      </c>
      <c r="K2127" t="s">
        <v>143</v>
      </c>
      <c r="L2127" s="13">
        <v>44113</v>
      </c>
      <c r="M2127" t="s">
        <v>1124</v>
      </c>
      <c r="N2127" t="s">
        <v>1125</v>
      </c>
      <c r="O2127">
        <v>-0.34</v>
      </c>
      <c r="P2127" t="s">
        <v>146</v>
      </c>
    </row>
    <row r="2128" spans="1:16" ht="15" customHeight="1" x14ac:dyDescent="0.4">
      <c r="A2128" t="s">
        <v>15</v>
      </c>
      <c r="B2128" t="s">
        <v>16</v>
      </c>
      <c r="C2128" s="13">
        <v>43831</v>
      </c>
      <c r="D2128" s="13">
        <v>44196</v>
      </c>
      <c r="E2128" t="s">
        <v>17</v>
      </c>
      <c r="F2128">
        <v>0</v>
      </c>
      <c r="G2128" t="s">
        <v>18</v>
      </c>
      <c r="H2128">
        <v>1</v>
      </c>
      <c r="I2128" t="s">
        <v>19</v>
      </c>
      <c r="J2128">
        <v>322</v>
      </c>
      <c r="K2128" t="s">
        <v>143</v>
      </c>
      <c r="L2128" s="13">
        <v>44131</v>
      </c>
      <c r="M2128" t="s">
        <v>1126</v>
      </c>
      <c r="N2128" t="s">
        <v>1089</v>
      </c>
      <c r="O2128">
        <v>527.74</v>
      </c>
      <c r="P2128" t="s">
        <v>34</v>
      </c>
    </row>
    <row r="2129" spans="1:16" ht="15" customHeight="1" x14ac:dyDescent="0.4">
      <c r="A2129" t="s">
        <v>15</v>
      </c>
      <c r="B2129" t="s">
        <v>16</v>
      </c>
      <c r="C2129" s="13">
        <v>43831</v>
      </c>
      <c r="D2129" s="13">
        <v>44196</v>
      </c>
      <c r="E2129" t="s">
        <v>17</v>
      </c>
      <c r="F2129">
        <v>0</v>
      </c>
      <c r="G2129" t="s">
        <v>18</v>
      </c>
      <c r="H2129">
        <v>1</v>
      </c>
      <c r="I2129" t="s">
        <v>19</v>
      </c>
      <c r="J2129">
        <v>322</v>
      </c>
      <c r="K2129" t="s">
        <v>143</v>
      </c>
      <c r="L2129" s="13">
        <v>44134</v>
      </c>
      <c r="M2129" t="s">
        <v>1127</v>
      </c>
      <c r="N2129" t="s">
        <v>1128</v>
      </c>
      <c r="O2129">
        <v>0.62</v>
      </c>
      <c r="P2129" t="s">
        <v>146</v>
      </c>
    </row>
    <row r="2130" spans="1:16" ht="15" customHeight="1" x14ac:dyDescent="0.4">
      <c r="A2130" t="s">
        <v>15</v>
      </c>
      <c r="B2130" t="s">
        <v>16</v>
      </c>
      <c r="C2130" s="13">
        <v>43831</v>
      </c>
      <c r="D2130" s="13">
        <v>44196</v>
      </c>
      <c r="E2130" t="s">
        <v>17</v>
      </c>
      <c r="F2130">
        <v>0</v>
      </c>
      <c r="G2130" t="s">
        <v>18</v>
      </c>
      <c r="H2130">
        <v>1</v>
      </c>
      <c r="I2130" t="s">
        <v>19</v>
      </c>
      <c r="J2130">
        <v>322</v>
      </c>
      <c r="K2130" t="s">
        <v>143</v>
      </c>
      <c r="L2130" s="13">
        <v>44162</v>
      </c>
      <c r="M2130" t="s">
        <v>1129</v>
      </c>
      <c r="N2130" t="s">
        <v>1092</v>
      </c>
      <c r="O2130">
        <v>527.74</v>
      </c>
      <c r="P2130" t="s">
        <v>34</v>
      </c>
    </row>
    <row r="2131" spans="1:16" ht="15" customHeight="1" x14ac:dyDescent="0.4">
      <c r="A2131" t="s">
        <v>15</v>
      </c>
      <c r="B2131" t="s">
        <v>16</v>
      </c>
      <c r="C2131" s="13">
        <v>43831</v>
      </c>
      <c r="D2131" s="13">
        <v>44196</v>
      </c>
      <c r="E2131" t="s">
        <v>17</v>
      </c>
      <c r="F2131">
        <v>0</v>
      </c>
      <c r="G2131" t="s">
        <v>18</v>
      </c>
      <c r="H2131">
        <v>1</v>
      </c>
      <c r="I2131" t="s">
        <v>19</v>
      </c>
      <c r="J2131">
        <v>322</v>
      </c>
      <c r="K2131" t="s">
        <v>143</v>
      </c>
      <c r="L2131" s="13">
        <v>44166</v>
      </c>
      <c r="M2131" t="s">
        <v>1130</v>
      </c>
      <c r="N2131" t="s">
        <v>1131</v>
      </c>
      <c r="O2131">
        <v>0.62</v>
      </c>
      <c r="P2131" t="s">
        <v>146</v>
      </c>
    </row>
    <row r="2132" spans="1:16" ht="15" customHeight="1" x14ac:dyDescent="0.4">
      <c r="A2132" t="s">
        <v>15</v>
      </c>
      <c r="B2132" t="s">
        <v>16</v>
      </c>
      <c r="C2132" s="13">
        <v>43831</v>
      </c>
      <c r="D2132" s="13">
        <v>44196</v>
      </c>
      <c r="E2132" t="s">
        <v>17</v>
      </c>
      <c r="F2132">
        <v>0</v>
      </c>
      <c r="G2132" t="s">
        <v>18</v>
      </c>
      <c r="H2132">
        <v>1</v>
      </c>
      <c r="I2132" t="s">
        <v>19</v>
      </c>
      <c r="J2132">
        <v>322</v>
      </c>
      <c r="K2132" t="s">
        <v>143</v>
      </c>
      <c r="L2132" s="13">
        <v>44183</v>
      </c>
      <c r="M2132" t="s">
        <v>1132</v>
      </c>
      <c r="N2132" t="s">
        <v>1095</v>
      </c>
      <c r="O2132">
        <v>2037.33</v>
      </c>
      <c r="P2132" t="s">
        <v>34</v>
      </c>
    </row>
    <row r="2133" spans="1:16" ht="15" customHeight="1" x14ac:dyDescent="0.4">
      <c r="A2133" t="s">
        <v>15</v>
      </c>
      <c r="B2133" t="s">
        <v>16</v>
      </c>
      <c r="C2133" s="13">
        <v>43831</v>
      </c>
      <c r="D2133" s="13">
        <v>44196</v>
      </c>
      <c r="E2133" t="s">
        <v>17</v>
      </c>
      <c r="F2133">
        <v>0</v>
      </c>
      <c r="G2133" t="s">
        <v>18</v>
      </c>
      <c r="H2133">
        <v>1</v>
      </c>
      <c r="I2133" t="s">
        <v>19</v>
      </c>
      <c r="J2133">
        <v>322</v>
      </c>
      <c r="K2133" t="s">
        <v>143</v>
      </c>
      <c r="L2133" s="13">
        <v>44196</v>
      </c>
      <c r="M2133" t="s">
        <v>1133</v>
      </c>
      <c r="N2133" t="s">
        <v>1134</v>
      </c>
      <c r="O2133">
        <v>-0.23</v>
      </c>
      <c r="P2133" t="s">
        <v>146</v>
      </c>
    </row>
    <row r="2134" spans="1:16" ht="15" customHeight="1" x14ac:dyDescent="0.4">
      <c r="A2134" t="s">
        <v>15</v>
      </c>
      <c r="B2134" t="s">
        <v>16</v>
      </c>
      <c r="C2134" s="13">
        <v>43831</v>
      </c>
      <c r="D2134" s="13">
        <v>44196</v>
      </c>
      <c r="E2134" t="s">
        <v>17</v>
      </c>
      <c r="F2134">
        <v>0</v>
      </c>
      <c r="G2134" t="s">
        <v>18</v>
      </c>
      <c r="H2134">
        <v>1</v>
      </c>
      <c r="I2134" t="s">
        <v>19</v>
      </c>
      <c r="J2134">
        <v>323</v>
      </c>
      <c r="K2134" t="s">
        <v>181</v>
      </c>
      <c r="L2134" s="13">
        <v>43845</v>
      </c>
      <c r="M2134" t="s">
        <v>1135</v>
      </c>
      <c r="N2134" t="s">
        <v>731</v>
      </c>
      <c r="O2134">
        <v>0.01</v>
      </c>
      <c r="P2134" t="s">
        <v>184</v>
      </c>
    </row>
    <row r="2135" spans="1:16" ht="15" customHeight="1" x14ac:dyDescent="0.4">
      <c r="A2135" t="s">
        <v>15</v>
      </c>
      <c r="B2135" t="s">
        <v>16</v>
      </c>
      <c r="C2135" s="13">
        <v>43831</v>
      </c>
      <c r="D2135" s="13">
        <v>44196</v>
      </c>
      <c r="E2135" t="s">
        <v>17</v>
      </c>
      <c r="F2135">
        <v>0</v>
      </c>
      <c r="G2135" t="s">
        <v>18</v>
      </c>
      <c r="H2135">
        <v>1</v>
      </c>
      <c r="I2135" t="s">
        <v>19</v>
      </c>
      <c r="J2135">
        <v>323</v>
      </c>
      <c r="K2135" t="s">
        <v>181</v>
      </c>
      <c r="L2135" s="13">
        <v>43860</v>
      </c>
      <c r="M2135" t="s">
        <v>1136</v>
      </c>
      <c r="N2135" t="s">
        <v>1069</v>
      </c>
      <c r="O2135">
        <v>124.37</v>
      </c>
      <c r="P2135" t="s">
        <v>34</v>
      </c>
    </row>
    <row r="2136" spans="1:16" ht="15" customHeight="1" x14ac:dyDescent="0.4">
      <c r="A2136" t="s">
        <v>15</v>
      </c>
      <c r="B2136" t="s">
        <v>16</v>
      </c>
      <c r="C2136" s="13">
        <v>43831</v>
      </c>
      <c r="D2136" s="13">
        <v>44196</v>
      </c>
      <c r="E2136" t="s">
        <v>17</v>
      </c>
      <c r="F2136">
        <v>0</v>
      </c>
      <c r="G2136" t="s">
        <v>18</v>
      </c>
      <c r="H2136">
        <v>1</v>
      </c>
      <c r="I2136" t="s">
        <v>19</v>
      </c>
      <c r="J2136">
        <v>323</v>
      </c>
      <c r="K2136" t="s">
        <v>181</v>
      </c>
      <c r="L2136" s="13">
        <v>43888</v>
      </c>
      <c r="M2136" t="s">
        <v>1137</v>
      </c>
      <c r="N2136" t="s">
        <v>1071</v>
      </c>
      <c r="O2136">
        <v>130</v>
      </c>
      <c r="P2136" t="s">
        <v>34</v>
      </c>
    </row>
    <row r="2137" spans="1:16" ht="15" customHeight="1" x14ac:dyDescent="0.4">
      <c r="A2137" t="s">
        <v>15</v>
      </c>
      <c r="B2137" t="s">
        <v>16</v>
      </c>
      <c r="C2137" s="13">
        <v>43831</v>
      </c>
      <c r="D2137" s="13">
        <v>44196</v>
      </c>
      <c r="E2137" t="s">
        <v>17</v>
      </c>
      <c r="F2137">
        <v>0</v>
      </c>
      <c r="G2137" t="s">
        <v>18</v>
      </c>
      <c r="H2137">
        <v>1</v>
      </c>
      <c r="I2137" t="s">
        <v>19</v>
      </c>
      <c r="J2137">
        <v>323</v>
      </c>
      <c r="K2137" t="s">
        <v>181</v>
      </c>
      <c r="L2137" s="13">
        <v>43915</v>
      </c>
      <c r="M2137" t="s">
        <v>1138</v>
      </c>
      <c r="N2137" t="s">
        <v>1073</v>
      </c>
      <c r="O2137">
        <v>124.37</v>
      </c>
      <c r="P2137" t="s">
        <v>34</v>
      </c>
    </row>
    <row r="2138" spans="1:16" ht="15" customHeight="1" x14ac:dyDescent="0.4">
      <c r="A2138" t="s">
        <v>15</v>
      </c>
      <c r="B2138" t="s">
        <v>16</v>
      </c>
      <c r="C2138" s="13">
        <v>43831</v>
      </c>
      <c r="D2138" s="13">
        <v>44196</v>
      </c>
      <c r="E2138" t="s">
        <v>17</v>
      </c>
      <c r="F2138">
        <v>0</v>
      </c>
      <c r="G2138" t="s">
        <v>18</v>
      </c>
      <c r="H2138">
        <v>1</v>
      </c>
      <c r="I2138" t="s">
        <v>19</v>
      </c>
      <c r="J2138">
        <v>323</v>
      </c>
      <c r="K2138" t="s">
        <v>181</v>
      </c>
      <c r="L2138" s="13">
        <v>43950</v>
      </c>
      <c r="M2138" t="s">
        <v>1139</v>
      </c>
      <c r="N2138" t="s">
        <v>1075</v>
      </c>
      <c r="O2138">
        <v>124.37</v>
      </c>
      <c r="P2138" t="s">
        <v>34</v>
      </c>
    </row>
    <row r="2139" spans="1:16" ht="15" customHeight="1" x14ac:dyDescent="0.4">
      <c r="A2139" t="s">
        <v>15</v>
      </c>
      <c r="B2139" t="s">
        <v>16</v>
      </c>
      <c r="C2139" s="13">
        <v>43831</v>
      </c>
      <c r="D2139" s="13">
        <v>44196</v>
      </c>
      <c r="E2139" t="s">
        <v>17</v>
      </c>
      <c r="F2139">
        <v>0</v>
      </c>
      <c r="G2139" t="s">
        <v>18</v>
      </c>
      <c r="H2139">
        <v>1</v>
      </c>
      <c r="I2139" t="s">
        <v>19</v>
      </c>
      <c r="J2139">
        <v>323</v>
      </c>
      <c r="K2139" t="s">
        <v>181</v>
      </c>
      <c r="L2139" s="13">
        <v>43978</v>
      </c>
      <c r="M2139" t="s">
        <v>1140</v>
      </c>
      <c r="N2139" t="s">
        <v>1077</v>
      </c>
      <c r="O2139">
        <v>124.37</v>
      </c>
      <c r="P2139" t="s">
        <v>34</v>
      </c>
    </row>
    <row r="2140" spans="1:16" ht="15" customHeight="1" x14ac:dyDescent="0.4">
      <c r="A2140" t="s">
        <v>15</v>
      </c>
      <c r="B2140" t="s">
        <v>16</v>
      </c>
      <c r="C2140" s="13">
        <v>43831</v>
      </c>
      <c r="D2140" s="13">
        <v>44196</v>
      </c>
      <c r="E2140" t="s">
        <v>17</v>
      </c>
      <c r="F2140">
        <v>0</v>
      </c>
      <c r="G2140" t="s">
        <v>18</v>
      </c>
      <c r="H2140">
        <v>1</v>
      </c>
      <c r="I2140" t="s">
        <v>19</v>
      </c>
      <c r="J2140">
        <v>323</v>
      </c>
      <c r="K2140" t="s">
        <v>181</v>
      </c>
      <c r="L2140" s="13">
        <v>44012</v>
      </c>
      <c r="M2140" t="s">
        <v>1141</v>
      </c>
      <c r="N2140" t="s">
        <v>1079</v>
      </c>
      <c r="O2140">
        <v>124.37</v>
      </c>
      <c r="P2140" t="s">
        <v>34</v>
      </c>
    </row>
    <row r="2141" spans="1:16" ht="15" customHeight="1" x14ac:dyDescent="0.4">
      <c r="A2141" t="s">
        <v>15</v>
      </c>
      <c r="B2141" t="s">
        <v>16</v>
      </c>
      <c r="C2141" s="13">
        <v>43831</v>
      </c>
      <c r="D2141" s="13">
        <v>44196</v>
      </c>
      <c r="E2141" t="s">
        <v>17</v>
      </c>
      <c r="F2141">
        <v>0</v>
      </c>
      <c r="G2141" t="s">
        <v>18</v>
      </c>
      <c r="H2141">
        <v>1</v>
      </c>
      <c r="I2141" t="s">
        <v>19</v>
      </c>
      <c r="J2141">
        <v>323</v>
      </c>
      <c r="K2141" t="s">
        <v>181</v>
      </c>
      <c r="L2141" s="13">
        <v>44041</v>
      </c>
      <c r="M2141" t="s">
        <v>1142</v>
      </c>
      <c r="N2141" t="s">
        <v>1081</v>
      </c>
      <c r="O2141">
        <v>124.37</v>
      </c>
      <c r="P2141" t="s">
        <v>34</v>
      </c>
    </row>
    <row r="2142" spans="1:16" ht="15" customHeight="1" x14ac:dyDescent="0.4">
      <c r="A2142" t="s">
        <v>15</v>
      </c>
      <c r="B2142" t="s">
        <v>16</v>
      </c>
      <c r="C2142" s="13">
        <v>43831</v>
      </c>
      <c r="D2142" s="13">
        <v>44196</v>
      </c>
      <c r="E2142" t="s">
        <v>17</v>
      </c>
      <c r="F2142">
        <v>0</v>
      </c>
      <c r="G2142" t="s">
        <v>18</v>
      </c>
      <c r="H2142">
        <v>1</v>
      </c>
      <c r="I2142" t="s">
        <v>19</v>
      </c>
      <c r="J2142">
        <v>323</v>
      </c>
      <c r="K2142" t="s">
        <v>181</v>
      </c>
      <c r="L2142" s="13">
        <v>44071</v>
      </c>
      <c r="M2142" t="s">
        <v>1143</v>
      </c>
      <c r="N2142" t="s">
        <v>1083</v>
      </c>
      <c r="O2142">
        <v>128.88</v>
      </c>
      <c r="P2142" t="s">
        <v>34</v>
      </c>
    </row>
    <row r="2143" spans="1:16" ht="15" customHeight="1" x14ac:dyDescent="0.4">
      <c r="A2143" t="s">
        <v>15</v>
      </c>
      <c r="B2143" t="s">
        <v>16</v>
      </c>
      <c r="C2143" s="13">
        <v>43831</v>
      </c>
      <c r="D2143" s="13">
        <v>44196</v>
      </c>
      <c r="E2143" t="s">
        <v>17</v>
      </c>
      <c r="F2143">
        <v>0</v>
      </c>
      <c r="G2143" t="s">
        <v>18</v>
      </c>
      <c r="H2143">
        <v>1</v>
      </c>
      <c r="I2143" t="s">
        <v>19</v>
      </c>
      <c r="J2143">
        <v>323</v>
      </c>
      <c r="K2143" t="s">
        <v>181</v>
      </c>
      <c r="L2143" s="13">
        <v>44081</v>
      </c>
      <c r="M2143" t="s">
        <v>1144</v>
      </c>
      <c r="N2143" t="s">
        <v>731</v>
      </c>
      <c r="O2143">
        <v>-0.01</v>
      </c>
      <c r="P2143" t="s">
        <v>184</v>
      </c>
    </row>
    <row r="2144" spans="1:16" ht="15" customHeight="1" x14ac:dyDescent="0.4">
      <c r="A2144" t="s">
        <v>15</v>
      </c>
      <c r="B2144" t="s">
        <v>16</v>
      </c>
      <c r="C2144" s="13">
        <v>43831</v>
      </c>
      <c r="D2144" s="13">
        <v>44196</v>
      </c>
      <c r="E2144" t="s">
        <v>17</v>
      </c>
      <c r="F2144">
        <v>0</v>
      </c>
      <c r="G2144" t="s">
        <v>18</v>
      </c>
      <c r="H2144">
        <v>1</v>
      </c>
      <c r="I2144" t="s">
        <v>19</v>
      </c>
      <c r="J2144">
        <v>323</v>
      </c>
      <c r="K2144" t="s">
        <v>181</v>
      </c>
      <c r="L2144" s="13">
        <v>44104</v>
      </c>
      <c r="M2144" t="s">
        <v>1145</v>
      </c>
      <c r="N2144" t="s">
        <v>1086</v>
      </c>
      <c r="O2144">
        <v>144.51</v>
      </c>
      <c r="P2144" t="s">
        <v>34</v>
      </c>
    </row>
    <row r="2145" spans="1:16" ht="15" customHeight="1" x14ac:dyDescent="0.4">
      <c r="A2145" t="s">
        <v>15</v>
      </c>
      <c r="B2145" t="s">
        <v>16</v>
      </c>
      <c r="C2145" s="13">
        <v>43831</v>
      </c>
      <c r="D2145" s="13">
        <v>44196</v>
      </c>
      <c r="E2145" t="s">
        <v>17</v>
      </c>
      <c r="F2145">
        <v>0</v>
      </c>
      <c r="G2145" t="s">
        <v>18</v>
      </c>
      <c r="H2145">
        <v>1</v>
      </c>
      <c r="I2145" t="s">
        <v>19</v>
      </c>
      <c r="J2145">
        <v>323</v>
      </c>
      <c r="K2145" t="s">
        <v>181</v>
      </c>
      <c r="L2145" s="13">
        <v>44131</v>
      </c>
      <c r="M2145" t="s">
        <v>1146</v>
      </c>
      <c r="N2145" t="s">
        <v>1089</v>
      </c>
      <c r="O2145">
        <v>128.16999999999999</v>
      </c>
      <c r="P2145" t="s">
        <v>34</v>
      </c>
    </row>
    <row r="2146" spans="1:16" ht="15" customHeight="1" x14ac:dyDescent="0.4">
      <c r="A2146" t="s">
        <v>15</v>
      </c>
      <c r="B2146" t="s">
        <v>16</v>
      </c>
      <c r="C2146" s="13">
        <v>43831</v>
      </c>
      <c r="D2146" s="13">
        <v>44196</v>
      </c>
      <c r="E2146" t="s">
        <v>17</v>
      </c>
      <c r="F2146">
        <v>0</v>
      </c>
      <c r="G2146" t="s">
        <v>18</v>
      </c>
      <c r="H2146">
        <v>1</v>
      </c>
      <c r="I2146" t="s">
        <v>19</v>
      </c>
      <c r="J2146">
        <v>323</v>
      </c>
      <c r="K2146" t="s">
        <v>181</v>
      </c>
      <c r="L2146" s="13">
        <v>44134</v>
      </c>
      <c r="M2146" t="s">
        <v>1147</v>
      </c>
      <c r="N2146" t="s">
        <v>731</v>
      </c>
      <c r="O2146">
        <v>-0.01</v>
      </c>
      <c r="P2146" t="s">
        <v>184</v>
      </c>
    </row>
    <row r="2147" spans="1:16" ht="15" customHeight="1" x14ac:dyDescent="0.4">
      <c r="A2147" t="s">
        <v>15</v>
      </c>
      <c r="B2147" t="s">
        <v>16</v>
      </c>
      <c r="C2147" s="13">
        <v>43831</v>
      </c>
      <c r="D2147" s="13">
        <v>44196</v>
      </c>
      <c r="E2147" t="s">
        <v>17</v>
      </c>
      <c r="F2147">
        <v>0</v>
      </c>
      <c r="G2147" t="s">
        <v>18</v>
      </c>
      <c r="H2147">
        <v>1</v>
      </c>
      <c r="I2147" t="s">
        <v>19</v>
      </c>
      <c r="J2147">
        <v>323</v>
      </c>
      <c r="K2147" t="s">
        <v>181</v>
      </c>
      <c r="L2147" s="13">
        <v>44162</v>
      </c>
      <c r="M2147" t="s">
        <v>1148</v>
      </c>
      <c r="N2147" t="s">
        <v>1092</v>
      </c>
      <c r="O2147">
        <v>128.16999999999999</v>
      </c>
      <c r="P2147" t="s">
        <v>34</v>
      </c>
    </row>
    <row r="2148" spans="1:16" ht="15" customHeight="1" x14ac:dyDescent="0.4">
      <c r="A2148" t="s">
        <v>15</v>
      </c>
      <c r="B2148" t="s">
        <v>16</v>
      </c>
      <c r="C2148" s="13">
        <v>43831</v>
      </c>
      <c r="D2148" s="13">
        <v>44196</v>
      </c>
      <c r="E2148" t="s">
        <v>17</v>
      </c>
      <c r="F2148">
        <v>0</v>
      </c>
      <c r="G2148" t="s">
        <v>18</v>
      </c>
      <c r="H2148">
        <v>1</v>
      </c>
      <c r="I2148" t="s">
        <v>19</v>
      </c>
      <c r="J2148">
        <v>323</v>
      </c>
      <c r="K2148" t="s">
        <v>181</v>
      </c>
      <c r="L2148" s="13">
        <v>44166</v>
      </c>
      <c r="M2148" t="s">
        <v>1149</v>
      </c>
      <c r="N2148" t="s">
        <v>731</v>
      </c>
      <c r="O2148">
        <v>-0.01</v>
      </c>
      <c r="P2148" t="s">
        <v>184</v>
      </c>
    </row>
    <row r="2149" spans="1:16" ht="15" customHeight="1" x14ac:dyDescent="0.4">
      <c r="A2149" t="s">
        <v>15</v>
      </c>
      <c r="B2149" t="s">
        <v>16</v>
      </c>
      <c r="C2149" s="13">
        <v>43831</v>
      </c>
      <c r="D2149" s="13">
        <v>44196</v>
      </c>
      <c r="E2149" t="s">
        <v>17</v>
      </c>
      <c r="F2149">
        <v>0</v>
      </c>
      <c r="G2149" t="s">
        <v>18</v>
      </c>
      <c r="H2149">
        <v>1</v>
      </c>
      <c r="I2149" t="s">
        <v>19</v>
      </c>
      <c r="J2149">
        <v>323</v>
      </c>
      <c r="K2149" t="s">
        <v>181</v>
      </c>
      <c r="L2149" s="13">
        <v>44183</v>
      </c>
      <c r="M2149" t="s">
        <v>1150</v>
      </c>
      <c r="N2149" t="s">
        <v>1095</v>
      </c>
      <c r="O2149">
        <v>482.6</v>
      </c>
      <c r="P2149" t="s">
        <v>34</v>
      </c>
    </row>
    <row r="2150" spans="1:16" ht="15" customHeight="1" x14ac:dyDescent="0.4">
      <c r="A2150" t="s">
        <v>15</v>
      </c>
      <c r="B2150" t="s">
        <v>16</v>
      </c>
      <c r="C2150" s="13">
        <v>43831</v>
      </c>
      <c r="D2150" s="13">
        <v>44196</v>
      </c>
      <c r="E2150" t="s">
        <v>17</v>
      </c>
      <c r="F2150">
        <v>0</v>
      </c>
      <c r="G2150" t="s">
        <v>18</v>
      </c>
      <c r="H2150">
        <v>1</v>
      </c>
      <c r="I2150" t="s">
        <v>19</v>
      </c>
      <c r="J2150">
        <v>323</v>
      </c>
      <c r="K2150" t="s">
        <v>181</v>
      </c>
      <c r="L2150" s="13">
        <v>44196</v>
      </c>
      <c r="M2150" t="s">
        <v>1151</v>
      </c>
      <c r="N2150" t="s">
        <v>731</v>
      </c>
      <c r="O2150">
        <v>-0.01</v>
      </c>
      <c r="P2150" t="s">
        <v>184</v>
      </c>
    </row>
    <row r="2151" spans="1:16" ht="15" customHeight="1" x14ac:dyDescent="0.4">
      <c r="A2151" t="s">
        <v>15</v>
      </c>
      <c r="B2151" t="s">
        <v>16</v>
      </c>
      <c r="C2151" s="13">
        <v>43831</v>
      </c>
      <c r="D2151" s="13">
        <v>44196</v>
      </c>
      <c r="E2151" t="s">
        <v>17</v>
      </c>
      <c r="F2151">
        <v>0</v>
      </c>
      <c r="G2151" t="s">
        <v>18</v>
      </c>
      <c r="H2151">
        <v>1</v>
      </c>
      <c r="I2151" t="s">
        <v>19</v>
      </c>
      <c r="J2151">
        <v>326</v>
      </c>
      <c r="K2151" t="s">
        <v>199</v>
      </c>
      <c r="L2151" s="13">
        <v>44196</v>
      </c>
      <c r="M2151" t="s">
        <v>1152</v>
      </c>
      <c r="N2151" t="s">
        <v>753</v>
      </c>
      <c r="O2151">
        <v>2820</v>
      </c>
      <c r="P2151" t="s">
        <v>202</v>
      </c>
    </row>
    <row r="2152" spans="1:16" ht="15" customHeight="1" x14ac:dyDescent="0.4">
      <c r="A2152" t="s">
        <v>15</v>
      </c>
      <c r="B2152" t="s">
        <v>16</v>
      </c>
      <c r="C2152" s="13">
        <v>43831</v>
      </c>
      <c r="D2152" s="13">
        <v>44196</v>
      </c>
      <c r="E2152" t="s">
        <v>17</v>
      </c>
      <c r="F2152">
        <v>0</v>
      </c>
      <c r="G2152" t="s">
        <v>18</v>
      </c>
      <c r="H2152">
        <v>1</v>
      </c>
      <c r="I2152" t="s">
        <v>19</v>
      </c>
      <c r="J2152">
        <v>327</v>
      </c>
      <c r="K2152" t="s">
        <v>754</v>
      </c>
      <c r="L2152" s="13">
        <v>44196</v>
      </c>
      <c r="M2152" t="s">
        <v>1153</v>
      </c>
      <c r="N2152" t="s">
        <v>106</v>
      </c>
      <c r="O2152">
        <v>200.89</v>
      </c>
      <c r="P2152" t="s">
        <v>756</v>
      </c>
    </row>
    <row r="2153" spans="1:16" ht="15" customHeight="1" x14ac:dyDescent="0.4">
      <c r="A2153" t="s">
        <v>15</v>
      </c>
      <c r="B2153" t="s">
        <v>16</v>
      </c>
      <c r="C2153" s="13">
        <v>43831</v>
      </c>
      <c r="D2153" s="13">
        <v>44196</v>
      </c>
      <c r="E2153" t="s">
        <v>17</v>
      </c>
      <c r="F2153">
        <v>0</v>
      </c>
      <c r="G2153" t="s">
        <v>18</v>
      </c>
      <c r="H2153">
        <v>1</v>
      </c>
      <c r="I2153" t="s">
        <v>19</v>
      </c>
      <c r="J2153">
        <v>328</v>
      </c>
      <c r="K2153" t="s">
        <v>1154</v>
      </c>
      <c r="L2153" s="13">
        <v>44083</v>
      </c>
      <c r="M2153" t="s">
        <v>1155</v>
      </c>
      <c r="N2153" t="s">
        <v>1156</v>
      </c>
      <c r="O2153">
        <v>192</v>
      </c>
      <c r="P2153" t="s">
        <v>1157</v>
      </c>
    </row>
    <row r="2154" spans="1:16" ht="15" customHeight="1" x14ac:dyDescent="0.4">
      <c r="A2154" t="s">
        <v>15</v>
      </c>
      <c r="B2154" t="s">
        <v>16</v>
      </c>
      <c r="C2154" s="13">
        <v>43831</v>
      </c>
      <c r="D2154" s="13">
        <v>44196</v>
      </c>
      <c r="E2154" t="s">
        <v>17</v>
      </c>
      <c r="F2154">
        <v>0</v>
      </c>
      <c r="G2154" t="s">
        <v>18</v>
      </c>
      <c r="H2154">
        <v>1</v>
      </c>
      <c r="I2154" t="s">
        <v>19</v>
      </c>
      <c r="J2154">
        <v>337</v>
      </c>
      <c r="K2154" t="s">
        <v>203</v>
      </c>
      <c r="L2154" s="13">
        <v>43845</v>
      </c>
      <c r="M2154" t="s">
        <v>1158</v>
      </c>
      <c r="N2154" t="s">
        <v>1159</v>
      </c>
      <c r="O2154">
        <v>0.01</v>
      </c>
      <c r="P2154" t="s">
        <v>1160</v>
      </c>
    </row>
    <row r="2155" spans="1:16" ht="15" customHeight="1" x14ac:dyDescent="0.4">
      <c r="A2155" t="s">
        <v>15</v>
      </c>
      <c r="B2155" t="s">
        <v>16</v>
      </c>
      <c r="C2155" s="13">
        <v>43831</v>
      </c>
      <c r="D2155" s="13">
        <v>44196</v>
      </c>
      <c r="E2155" t="s">
        <v>17</v>
      </c>
      <c r="F2155">
        <v>0</v>
      </c>
      <c r="G2155" t="s">
        <v>18</v>
      </c>
      <c r="H2155">
        <v>1</v>
      </c>
      <c r="I2155" t="s">
        <v>19</v>
      </c>
      <c r="J2155">
        <v>337</v>
      </c>
      <c r="K2155" t="s">
        <v>203</v>
      </c>
      <c r="L2155" s="13">
        <v>43860</v>
      </c>
      <c r="M2155" t="s">
        <v>1161</v>
      </c>
      <c r="N2155" t="s">
        <v>1069</v>
      </c>
      <c r="O2155">
        <v>12.96</v>
      </c>
      <c r="P2155" t="s">
        <v>34</v>
      </c>
    </row>
    <row r="2156" spans="1:16" ht="15" customHeight="1" x14ac:dyDescent="0.4">
      <c r="A2156" t="s">
        <v>15</v>
      </c>
      <c r="B2156" t="s">
        <v>16</v>
      </c>
      <c r="C2156" s="13">
        <v>43831</v>
      </c>
      <c r="D2156" s="13">
        <v>44196</v>
      </c>
      <c r="E2156" t="s">
        <v>17</v>
      </c>
      <c r="F2156">
        <v>0</v>
      </c>
      <c r="G2156" t="s">
        <v>18</v>
      </c>
      <c r="H2156">
        <v>1</v>
      </c>
      <c r="I2156" t="s">
        <v>19</v>
      </c>
      <c r="J2156">
        <v>337</v>
      </c>
      <c r="K2156" t="s">
        <v>203</v>
      </c>
      <c r="L2156" s="13">
        <v>43860</v>
      </c>
      <c r="M2156" t="s">
        <v>1162</v>
      </c>
      <c r="N2156" t="s">
        <v>1069</v>
      </c>
      <c r="O2156">
        <v>30.58</v>
      </c>
      <c r="P2156" t="s">
        <v>34</v>
      </c>
    </row>
    <row r="2157" spans="1:16" ht="15" customHeight="1" x14ac:dyDescent="0.4">
      <c r="A2157" t="s">
        <v>15</v>
      </c>
      <c r="B2157" t="s">
        <v>16</v>
      </c>
      <c r="C2157" s="13">
        <v>43831</v>
      </c>
      <c r="D2157" s="13">
        <v>44196</v>
      </c>
      <c r="E2157" t="s">
        <v>17</v>
      </c>
      <c r="F2157">
        <v>0</v>
      </c>
      <c r="G2157" t="s">
        <v>18</v>
      </c>
      <c r="H2157">
        <v>1</v>
      </c>
      <c r="I2157" t="s">
        <v>19</v>
      </c>
      <c r="J2157">
        <v>337</v>
      </c>
      <c r="K2157" t="s">
        <v>203</v>
      </c>
      <c r="L2157" s="13">
        <v>43888</v>
      </c>
      <c r="M2157" t="s">
        <v>1164</v>
      </c>
      <c r="N2157" t="s">
        <v>1071</v>
      </c>
      <c r="O2157">
        <v>13.12</v>
      </c>
      <c r="P2157" t="s">
        <v>34</v>
      </c>
    </row>
    <row r="2158" spans="1:16" ht="15" customHeight="1" x14ac:dyDescent="0.4">
      <c r="A2158" t="s">
        <v>15</v>
      </c>
      <c r="B2158" t="s">
        <v>16</v>
      </c>
      <c r="C2158" s="13">
        <v>43831</v>
      </c>
      <c r="D2158" s="13">
        <v>44196</v>
      </c>
      <c r="E2158" t="s">
        <v>17</v>
      </c>
      <c r="F2158">
        <v>0</v>
      </c>
      <c r="G2158" t="s">
        <v>18</v>
      </c>
      <c r="H2158">
        <v>1</v>
      </c>
      <c r="I2158" t="s">
        <v>19</v>
      </c>
      <c r="J2158">
        <v>337</v>
      </c>
      <c r="K2158" t="s">
        <v>203</v>
      </c>
      <c r="L2158" s="13">
        <v>43888</v>
      </c>
      <c r="M2158" t="s">
        <v>1163</v>
      </c>
      <c r="N2158" t="s">
        <v>1071</v>
      </c>
      <c r="O2158">
        <v>30.58</v>
      </c>
      <c r="P2158" t="s">
        <v>34</v>
      </c>
    </row>
    <row r="2159" spans="1:16" ht="15" customHeight="1" x14ac:dyDescent="0.4">
      <c r="A2159" t="s">
        <v>15</v>
      </c>
      <c r="B2159" t="s">
        <v>16</v>
      </c>
      <c r="C2159" s="13">
        <v>43831</v>
      </c>
      <c r="D2159" s="13">
        <v>44196</v>
      </c>
      <c r="E2159" t="s">
        <v>17</v>
      </c>
      <c r="F2159">
        <v>0</v>
      </c>
      <c r="G2159" t="s">
        <v>18</v>
      </c>
      <c r="H2159">
        <v>1</v>
      </c>
      <c r="I2159" t="s">
        <v>19</v>
      </c>
      <c r="J2159">
        <v>337</v>
      </c>
      <c r="K2159" t="s">
        <v>203</v>
      </c>
      <c r="L2159" s="13">
        <v>43895</v>
      </c>
      <c r="M2159" t="s">
        <v>1165</v>
      </c>
      <c r="N2159" t="s">
        <v>760</v>
      </c>
      <c r="O2159">
        <v>0.02</v>
      </c>
      <c r="P2159" t="s">
        <v>205</v>
      </c>
    </row>
    <row r="2160" spans="1:16" ht="15" customHeight="1" x14ac:dyDescent="0.4">
      <c r="A2160" t="s">
        <v>15</v>
      </c>
      <c r="B2160" t="s">
        <v>16</v>
      </c>
      <c r="C2160" s="13">
        <v>43831</v>
      </c>
      <c r="D2160" s="13">
        <v>44196</v>
      </c>
      <c r="E2160" t="s">
        <v>17</v>
      </c>
      <c r="F2160">
        <v>0</v>
      </c>
      <c r="G2160" t="s">
        <v>18</v>
      </c>
      <c r="H2160">
        <v>1</v>
      </c>
      <c r="I2160" t="s">
        <v>19</v>
      </c>
      <c r="J2160">
        <v>337</v>
      </c>
      <c r="K2160" t="s">
        <v>203</v>
      </c>
      <c r="L2160" s="13">
        <v>43915</v>
      </c>
      <c r="M2160" t="s">
        <v>1166</v>
      </c>
      <c r="N2160" t="s">
        <v>1073</v>
      </c>
      <c r="O2160">
        <v>12.96</v>
      </c>
      <c r="P2160" t="s">
        <v>34</v>
      </c>
    </row>
    <row r="2161" spans="1:16" ht="15" customHeight="1" x14ac:dyDescent="0.4">
      <c r="A2161" t="s">
        <v>15</v>
      </c>
      <c r="B2161" t="s">
        <v>16</v>
      </c>
      <c r="C2161" s="13">
        <v>43831</v>
      </c>
      <c r="D2161" s="13">
        <v>44196</v>
      </c>
      <c r="E2161" t="s">
        <v>17</v>
      </c>
      <c r="F2161">
        <v>0</v>
      </c>
      <c r="G2161" t="s">
        <v>18</v>
      </c>
      <c r="H2161">
        <v>1</v>
      </c>
      <c r="I2161" t="s">
        <v>19</v>
      </c>
      <c r="J2161">
        <v>337</v>
      </c>
      <c r="K2161" t="s">
        <v>203</v>
      </c>
      <c r="L2161" s="13">
        <v>43915</v>
      </c>
      <c r="M2161" t="s">
        <v>1167</v>
      </c>
      <c r="N2161" t="s">
        <v>1073</v>
      </c>
      <c r="O2161">
        <v>30.58</v>
      </c>
      <c r="P2161" t="s">
        <v>34</v>
      </c>
    </row>
    <row r="2162" spans="1:16" ht="15" customHeight="1" x14ac:dyDescent="0.4">
      <c r="A2162" t="s">
        <v>15</v>
      </c>
      <c r="B2162" t="s">
        <v>16</v>
      </c>
      <c r="C2162" s="13">
        <v>43831</v>
      </c>
      <c r="D2162" s="13">
        <v>44196</v>
      </c>
      <c r="E2162" t="s">
        <v>17</v>
      </c>
      <c r="F2162">
        <v>0</v>
      </c>
      <c r="G2162" t="s">
        <v>18</v>
      </c>
      <c r="H2162">
        <v>1</v>
      </c>
      <c r="I2162" t="s">
        <v>19</v>
      </c>
      <c r="J2162">
        <v>337</v>
      </c>
      <c r="K2162" t="s">
        <v>203</v>
      </c>
      <c r="L2162" s="13">
        <v>43950</v>
      </c>
      <c r="M2162" t="s">
        <v>1169</v>
      </c>
      <c r="N2162" t="s">
        <v>1075</v>
      </c>
      <c r="O2162">
        <v>30.58</v>
      </c>
      <c r="P2162" t="s">
        <v>34</v>
      </c>
    </row>
    <row r="2163" spans="1:16" ht="15" customHeight="1" x14ac:dyDescent="0.4">
      <c r="A2163" t="s">
        <v>15</v>
      </c>
      <c r="B2163" t="s">
        <v>16</v>
      </c>
      <c r="C2163" s="13">
        <v>43831</v>
      </c>
      <c r="D2163" s="13">
        <v>44196</v>
      </c>
      <c r="E2163" t="s">
        <v>17</v>
      </c>
      <c r="F2163">
        <v>0</v>
      </c>
      <c r="G2163" t="s">
        <v>18</v>
      </c>
      <c r="H2163">
        <v>1</v>
      </c>
      <c r="I2163" t="s">
        <v>19</v>
      </c>
      <c r="J2163">
        <v>337</v>
      </c>
      <c r="K2163" t="s">
        <v>203</v>
      </c>
      <c r="L2163" s="13">
        <v>43950</v>
      </c>
      <c r="M2163" t="s">
        <v>1168</v>
      </c>
      <c r="N2163" t="s">
        <v>1075</v>
      </c>
      <c r="O2163">
        <v>12.96</v>
      </c>
      <c r="P2163" t="s">
        <v>34</v>
      </c>
    </row>
    <row r="2164" spans="1:16" ht="15" customHeight="1" x14ac:dyDescent="0.4">
      <c r="A2164" t="s">
        <v>15</v>
      </c>
      <c r="B2164" t="s">
        <v>16</v>
      </c>
      <c r="C2164" s="13">
        <v>43831</v>
      </c>
      <c r="D2164" s="13">
        <v>44196</v>
      </c>
      <c r="E2164" t="s">
        <v>17</v>
      </c>
      <c r="F2164">
        <v>0</v>
      </c>
      <c r="G2164" t="s">
        <v>18</v>
      </c>
      <c r="H2164">
        <v>1</v>
      </c>
      <c r="I2164" t="s">
        <v>19</v>
      </c>
      <c r="J2164">
        <v>337</v>
      </c>
      <c r="K2164" t="s">
        <v>203</v>
      </c>
      <c r="L2164" s="13">
        <v>43978</v>
      </c>
      <c r="M2164" t="s">
        <v>1170</v>
      </c>
      <c r="N2164" t="s">
        <v>1077</v>
      </c>
      <c r="O2164">
        <v>12.96</v>
      </c>
      <c r="P2164" t="s">
        <v>34</v>
      </c>
    </row>
    <row r="2165" spans="1:16" ht="15" customHeight="1" x14ac:dyDescent="0.4">
      <c r="A2165" t="s">
        <v>15</v>
      </c>
      <c r="B2165" t="s">
        <v>16</v>
      </c>
      <c r="C2165" s="13">
        <v>43831</v>
      </c>
      <c r="D2165" s="13">
        <v>44196</v>
      </c>
      <c r="E2165" t="s">
        <v>17</v>
      </c>
      <c r="F2165">
        <v>0</v>
      </c>
      <c r="G2165" t="s">
        <v>18</v>
      </c>
      <c r="H2165">
        <v>1</v>
      </c>
      <c r="I2165" t="s">
        <v>19</v>
      </c>
      <c r="J2165">
        <v>337</v>
      </c>
      <c r="K2165" t="s">
        <v>203</v>
      </c>
      <c r="L2165" s="13">
        <v>43978</v>
      </c>
      <c r="M2165" t="s">
        <v>1171</v>
      </c>
      <c r="N2165" t="s">
        <v>1077</v>
      </c>
      <c r="O2165">
        <v>30.58</v>
      </c>
      <c r="P2165" t="s">
        <v>34</v>
      </c>
    </row>
    <row r="2166" spans="1:16" ht="15" customHeight="1" x14ac:dyDescent="0.4">
      <c r="A2166" t="s">
        <v>15</v>
      </c>
      <c r="B2166" t="s">
        <v>16</v>
      </c>
      <c r="C2166" s="13">
        <v>43831</v>
      </c>
      <c r="D2166" s="13">
        <v>44196</v>
      </c>
      <c r="E2166" t="s">
        <v>17</v>
      </c>
      <c r="F2166">
        <v>0</v>
      </c>
      <c r="G2166" t="s">
        <v>18</v>
      </c>
      <c r="H2166">
        <v>1</v>
      </c>
      <c r="I2166" t="s">
        <v>19</v>
      </c>
      <c r="J2166">
        <v>337</v>
      </c>
      <c r="K2166" t="s">
        <v>203</v>
      </c>
      <c r="L2166" s="13">
        <v>44012</v>
      </c>
      <c r="M2166" t="s">
        <v>1172</v>
      </c>
      <c r="N2166" t="s">
        <v>1079</v>
      </c>
      <c r="O2166">
        <v>12.96</v>
      </c>
      <c r="P2166" t="s">
        <v>34</v>
      </c>
    </row>
    <row r="2167" spans="1:16" ht="15" customHeight="1" x14ac:dyDescent="0.4">
      <c r="A2167" t="s">
        <v>15</v>
      </c>
      <c r="B2167" t="s">
        <v>16</v>
      </c>
      <c r="C2167" s="13">
        <v>43831</v>
      </c>
      <c r="D2167" s="13">
        <v>44196</v>
      </c>
      <c r="E2167" t="s">
        <v>17</v>
      </c>
      <c r="F2167">
        <v>0</v>
      </c>
      <c r="G2167" t="s">
        <v>18</v>
      </c>
      <c r="H2167">
        <v>1</v>
      </c>
      <c r="I2167" t="s">
        <v>19</v>
      </c>
      <c r="J2167">
        <v>337</v>
      </c>
      <c r="K2167" t="s">
        <v>203</v>
      </c>
      <c r="L2167" s="13">
        <v>44012</v>
      </c>
      <c r="M2167" t="s">
        <v>1173</v>
      </c>
      <c r="N2167" t="s">
        <v>1079</v>
      </c>
      <c r="O2167">
        <v>30.58</v>
      </c>
      <c r="P2167" t="s">
        <v>34</v>
      </c>
    </row>
    <row r="2168" spans="1:16" ht="15" customHeight="1" x14ac:dyDescent="0.4">
      <c r="A2168" t="s">
        <v>15</v>
      </c>
      <c r="B2168" t="s">
        <v>16</v>
      </c>
      <c r="C2168" s="13">
        <v>43831</v>
      </c>
      <c r="D2168" s="13">
        <v>44196</v>
      </c>
      <c r="E2168" t="s">
        <v>17</v>
      </c>
      <c r="F2168">
        <v>0</v>
      </c>
      <c r="G2168" t="s">
        <v>18</v>
      </c>
      <c r="H2168">
        <v>1</v>
      </c>
      <c r="I2168" t="s">
        <v>19</v>
      </c>
      <c r="J2168">
        <v>337</v>
      </c>
      <c r="K2168" t="s">
        <v>203</v>
      </c>
      <c r="L2168" s="13">
        <v>44041</v>
      </c>
      <c r="M2168" t="s">
        <v>1175</v>
      </c>
      <c r="N2168" t="s">
        <v>1081</v>
      </c>
      <c r="O2168">
        <v>30.58</v>
      </c>
      <c r="P2168" t="s">
        <v>34</v>
      </c>
    </row>
    <row r="2169" spans="1:16" ht="15" customHeight="1" x14ac:dyDescent="0.4">
      <c r="A2169" t="s">
        <v>15</v>
      </c>
      <c r="B2169" t="s">
        <v>16</v>
      </c>
      <c r="C2169" s="13">
        <v>43831</v>
      </c>
      <c r="D2169" s="13">
        <v>44196</v>
      </c>
      <c r="E2169" t="s">
        <v>17</v>
      </c>
      <c r="F2169">
        <v>0</v>
      </c>
      <c r="G2169" t="s">
        <v>18</v>
      </c>
      <c r="H2169">
        <v>1</v>
      </c>
      <c r="I2169" t="s">
        <v>19</v>
      </c>
      <c r="J2169">
        <v>337</v>
      </c>
      <c r="K2169" t="s">
        <v>203</v>
      </c>
      <c r="L2169" s="13">
        <v>44041</v>
      </c>
      <c r="M2169" t="s">
        <v>1174</v>
      </c>
      <c r="N2169" t="s">
        <v>1081</v>
      </c>
      <c r="O2169">
        <v>12.96</v>
      </c>
      <c r="P2169" t="s">
        <v>34</v>
      </c>
    </row>
    <row r="2170" spans="1:16" ht="15" customHeight="1" x14ac:dyDescent="0.4">
      <c r="A2170" t="s">
        <v>15</v>
      </c>
      <c r="B2170" t="s">
        <v>16</v>
      </c>
      <c r="C2170" s="13">
        <v>43831</v>
      </c>
      <c r="D2170" s="13">
        <v>44196</v>
      </c>
      <c r="E2170" t="s">
        <v>17</v>
      </c>
      <c r="F2170">
        <v>0</v>
      </c>
      <c r="G2170" t="s">
        <v>18</v>
      </c>
      <c r="H2170">
        <v>1</v>
      </c>
      <c r="I2170" t="s">
        <v>19</v>
      </c>
      <c r="J2170">
        <v>337</v>
      </c>
      <c r="K2170" t="s">
        <v>203</v>
      </c>
      <c r="L2170" s="13">
        <v>44071</v>
      </c>
      <c r="M2170" t="s">
        <v>1177</v>
      </c>
      <c r="N2170" t="s">
        <v>1083</v>
      </c>
      <c r="O2170">
        <v>13.12</v>
      </c>
      <c r="P2170" t="s">
        <v>34</v>
      </c>
    </row>
    <row r="2171" spans="1:16" ht="15" customHeight="1" x14ac:dyDescent="0.4">
      <c r="A2171" t="s">
        <v>15</v>
      </c>
      <c r="B2171" t="s">
        <v>16</v>
      </c>
      <c r="C2171" s="13">
        <v>43831</v>
      </c>
      <c r="D2171" s="13">
        <v>44196</v>
      </c>
      <c r="E2171" t="s">
        <v>17</v>
      </c>
      <c r="F2171">
        <v>0</v>
      </c>
      <c r="G2171" t="s">
        <v>18</v>
      </c>
      <c r="H2171">
        <v>1</v>
      </c>
      <c r="I2171" t="s">
        <v>19</v>
      </c>
      <c r="J2171">
        <v>337</v>
      </c>
      <c r="K2171" t="s">
        <v>203</v>
      </c>
      <c r="L2171" s="13">
        <v>44071</v>
      </c>
      <c r="M2171" t="s">
        <v>1176</v>
      </c>
      <c r="N2171" t="s">
        <v>1083</v>
      </c>
      <c r="O2171">
        <v>30.58</v>
      </c>
      <c r="P2171" t="s">
        <v>34</v>
      </c>
    </row>
    <row r="2172" spans="1:16" ht="15" customHeight="1" x14ac:dyDescent="0.4">
      <c r="A2172" t="s">
        <v>15</v>
      </c>
      <c r="B2172" t="s">
        <v>16</v>
      </c>
      <c r="C2172" s="13">
        <v>43831</v>
      </c>
      <c r="D2172" s="13">
        <v>44196</v>
      </c>
      <c r="E2172" t="s">
        <v>17</v>
      </c>
      <c r="F2172">
        <v>0</v>
      </c>
      <c r="G2172" t="s">
        <v>18</v>
      </c>
      <c r="H2172">
        <v>1</v>
      </c>
      <c r="I2172" t="s">
        <v>19</v>
      </c>
      <c r="J2172">
        <v>337</v>
      </c>
      <c r="K2172" t="s">
        <v>203</v>
      </c>
      <c r="L2172" s="13">
        <v>44081</v>
      </c>
      <c r="M2172" t="s">
        <v>1178</v>
      </c>
      <c r="N2172" t="s">
        <v>760</v>
      </c>
      <c r="O2172">
        <v>-0.01</v>
      </c>
      <c r="P2172" t="s">
        <v>205</v>
      </c>
    </row>
    <row r="2173" spans="1:16" ht="15" customHeight="1" x14ac:dyDescent="0.4">
      <c r="A2173" t="s">
        <v>15</v>
      </c>
      <c r="B2173" t="s">
        <v>16</v>
      </c>
      <c r="C2173" s="13">
        <v>43831</v>
      </c>
      <c r="D2173" s="13">
        <v>44196</v>
      </c>
      <c r="E2173" t="s">
        <v>17</v>
      </c>
      <c r="F2173">
        <v>0</v>
      </c>
      <c r="G2173" t="s">
        <v>18</v>
      </c>
      <c r="H2173">
        <v>1</v>
      </c>
      <c r="I2173" t="s">
        <v>19</v>
      </c>
      <c r="J2173">
        <v>337</v>
      </c>
      <c r="K2173" t="s">
        <v>203</v>
      </c>
      <c r="L2173" s="13">
        <v>44104</v>
      </c>
      <c r="M2173" t="s">
        <v>1180</v>
      </c>
      <c r="N2173" t="s">
        <v>1086</v>
      </c>
      <c r="O2173">
        <v>30.58</v>
      </c>
      <c r="P2173" t="s">
        <v>34</v>
      </c>
    </row>
    <row r="2174" spans="1:16" ht="15" customHeight="1" x14ac:dyDescent="0.4">
      <c r="A2174" t="s">
        <v>15</v>
      </c>
      <c r="B2174" t="s">
        <v>16</v>
      </c>
      <c r="C2174" s="13">
        <v>43831</v>
      </c>
      <c r="D2174" s="13">
        <v>44196</v>
      </c>
      <c r="E2174" t="s">
        <v>17</v>
      </c>
      <c r="F2174">
        <v>0</v>
      </c>
      <c r="G2174" t="s">
        <v>18</v>
      </c>
      <c r="H2174">
        <v>1</v>
      </c>
      <c r="I2174" t="s">
        <v>19</v>
      </c>
      <c r="J2174">
        <v>337</v>
      </c>
      <c r="K2174" t="s">
        <v>203</v>
      </c>
      <c r="L2174" s="13">
        <v>44104</v>
      </c>
      <c r="M2174" t="s">
        <v>1179</v>
      </c>
      <c r="N2174" t="s">
        <v>1086</v>
      </c>
      <c r="O2174">
        <v>13.66</v>
      </c>
      <c r="P2174" t="s">
        <v>34</v>
      </c>
    </row>
    <row r="2175" spans="1:16" ht="15" customHeight="1" x14ac:dyDescent="0.4">
      <c r="A2175" t="s">
        <v>15</v>
      </c>
      <c r="B2175" t="s">
        <v>16</v>
      </c>
      <c r="C2175" s="13">
        <v>43831</v>
      </c>
      <c r="D2175" s="13">
        <v>44196</v>
      </c>
      <c r="E2175" t="s">
        <v>17</v>
      </c>
      <c r="F2175">
        <v>0</v>
      </c>
      <c r="G2175" t="s">
        <v>18</v>
      </c>
      <c r="H2175">
        <v>1</v>
      </c>
      <c r="I2175" t="s">
        <v>19</v>
      </c>
      <c r="J2175">
        <v>337</v>
      </c>
      <c r="K2175" t="s">
        <v>203</v>
      </c>
      <c r="L2175" s="13">
        <v>44131</v>
      </c>
      <c r="M2175" t="s">
        <v>1182</v>
      </c>
      <c r="N2175" t="s">
        <v>1089</v>
      </c>
      <c r="O2175">
        <v>30.58</v>
      </c>
      <c r="P2175" t="s">
        <v>34</v>
      </c>
    </row>
    <row r="2176" spans="1:16" ht="15" customHeight="1" x14ac:dyDescent="0.4">
      <c r="A2176" t="s">
        <v>15</v>
      </c>
      <c r="B2176" t="s">
        <v>16</v>
      </c>
      <c r="C2176" s="13">
        <v>43831</v>
      </c>
      <c r="D2176" s="13">
        <v>44196</v>
      </c>
      <c r="E2176" t="s">
        <v>17</v>
      </c>
      <c r="F2176">
        <v>0</v>
      </c>
      <c r="G2176" t="s">
        <v>18</v>
      </c>
      <c r="H2176">
        <v>1</v>
      </c>
      <c r="I2176" t="s">
        <v>19</v>
      </c>
      <c r="J2176">
        <v>337</v>
      </c>
      <c r="K2176" t="s">
        <v>203</v>
      </c>
      <c r="L2176" s="13">
        <v>44131</v>
      </c>
      <c r="M2176" t="s">
        <v>1181</v>
      </c>
      <c r="N2176" t="s">
        <v>1089</v>
      </c>
      <c r="O2176">
        <v>13.09</v>
      </c>
      <c r="P2176" t="s">
        <v>34</v>
      </c>
    </row>
    <row r="2177" spans="1:16" ht="15" customHeight="1" x14ac:dyDescent="0.4">
      <c r="A2177" t="s">
        <v>15</v>
      </c>
      <c r="B2177" t="s">
        <v>16</v>
      </c>
      <c r="C2177" s="13">
        <v>43831</v>
      </c>
      <c r="D2177" s="13">
        <v>44196</v>
      </c>
      <c r="E2177" t="s">
        <v>17</v>
      </c>
      <c r="F2177">
        <v>0</v>
      </c>
      <c r="G2177" t="s">
        <v>18</v>
      </c>
      <c r="H2177">
        <v>1</v>
      </c>
      <c r="I2177" t="s">
        <v>19</v>
      </c>
      <c r="J2177">
        <v>337</v>
      </c>
      <c r="K2177" t="s">
        <v>203</v>
      </c>
      <c r="L2177" s="13">
        <v>44162</v>
      </c>
      <c r="M2177" t="s">
        <v>1184</v>
      </c>
      <c r="N2177" t="s">
        <v>1092</v>
      </c>
      <c r="O2177">
        <v>30.58</v>
      </c>
      <c r="P2177" t="s">
        <v>34</v>
      </c>
    </row>
    <row r="2178" spans="1:16" ht="15" customHeight="1" x14ac:dyDescent="0.4">
      <c r="A2178" t="s">
        <v>15</v>
      </c>
      <c r="B2178" t="s">
        <v>16</v>
      </c>
      <c r="C2178" s="13">
        <v>43831</v>
      </c>
      <c r="D2178" s="13">
        <v>44196</v>
      </c>
      <c r="E2178" t="s">
        <v>17</v>
      </c>
      <c r="F2178">
        <v>0</v>
      </c>
      <c r="G2178" t="s">
        <v>18</v>
      </c>
      <c r="H2178">
        <v>1</v>
      </c>
      <c r="I2178" t="s">
        <v>19</v>
      </c>
      <c r="J2178">
        <v>337</v>
      </c>
      <c r="K2178" t="s">
        <v>203</v>
      </c>
      <c r="L2178" s="13">
        <v>44162</v>
      </c>
      <c r="M2178" t="s">
        <v>1183</v>
      </c>
      <c r="N2178" t="s">
        <v>1092</v>
      </c>
      <c r="O2178">
        <v>13.09</v>
      </c>
      <c r="P2178" t="s">
        <v>34</v>
      </c>
    </row>
    <row r="2179" spans="1:16" ht="15" customHeight="1" x14ac:dyDescent="0.4">
      <c r="A2179" t="s">
        <v>15</v>
      </c>
      <c r="B2179" t="s">
        <v>16</v>
      </c>
      <c r="C2179" s="13">
        <v>43831</v>
      </c>
      <c r="D2179" s="13">
        <v>44196</v>
      </c>
      <c r="E2179" t="s">
        <v>17</v>
      </c>
      <c r="F2179">
        <v>0</v>
      </c>
      <c r="G2179" t="s">
        <v>18</v>
      </c>
      <c r="H2179">
        <v>1</v>
      </c>
      <c r="I2179" t="s">
        <v>19</v>
      </c>
      <c r="J2179">
        <v>337</v>
      </c>
      <c r="K2179" t="s">
        <v>203</v>
      </c>
      <c r="L2179" s="13">
        <v>44183</v>
      </c>
      <c r="M2179" t="s">
        <v>1186</v>
      </c>
      <c r="N2179" t="s">
        <v>1095</v>
      </c>
      <c r="O2179">
        <v>25.47</v>
      </c>
      <c r="P2179" t="s">
        <v>34</v>
      </c>
    </row>
    <row r="2180" spans="1:16" ht="15" customHeight="1" x14ac:dyDescent="0.4">
      <c r="A2180" t="s">
        <v>15</v>
      </c>
      <c r="B2180" t="s">
        <v>16</v>
      </c>
      <c r="C2180" s="13">
        <v>43831</v>
      </c>
      <c r="D2180" s="13">
        <v>44196</v>
      </c>
      <c r="E2180" t="s">
        <v>17</v>
      </c>
      <c r="F2180">
        <v>0</v>
      </c>
      <c r="G2180" t="s">
        <v>18</v>
      </c>
      <c r="H2180">
        <v>1</v>
      </c>
      <c r="I2180" t="s">
        <v>19</v>
      </c>
      <c r="J2180">
        <v>337</v>
      </c>
      <c r="K2180" t="s">
        <v>203</v>
      </c>
      <c r="L2180" s="13">
        <v>44183</v>
      </c>
      <c r="M2180" t="s">
        <v>1185</v>
      </c>
      <c r="N2180" t="s">
        <v>1095</v>
      </c>
      <c r="O2180">
        <v>30.58</v>
      </c>
      <c r="P2180" t="s">
        <v>34</v>
      </c>
    </row>
    <row r="2181" spans="1:16" ht="15" customHeight="1" x14ac:dyDescent="0.4">
      <c r="A2181" t="s">
        <v>15</v>
      </c>
      <c r="B2181" t="s">
        <v>16</v>
      </c>
      <c r="C2181" s="13">
        <v>43831</v>
      </c>
      <c r="D2181" s="13">
        <v>44196</v>
      </c>
      <c r="E2181" t="s">
        <v>17</v>
      </c>
      <c r="F2181">
        <v>0</v>
      </c>
      <c r="G2181" t="s">
        <v>18</v>
      </c>
      <c r="H2181">
        <v>1</v>
      </c>
      <c r="I2181" t="s">
        <v>19</v>
      </c>
      <c r="J2181">
        <v>337</v>
      </c>
      <c r="K2181" t="s">
        <v>203</v>
      </c>
      <c r="L2181" s="13">
        <v>44196</v>
      </c>
      <c r="M2181" t="s">
        <v>1187</v>
      </c>
      <c r="N2181" t="s">
        <v>760</v>
      </c>
      <c r="O2181">
        <v>-0.01</v>
      </c>
      <c r="P2181" t="s">
        <v>205</v>
      </c>
    </row>
    <row r="2182" spans="1:16" ht="15" customHeight="1" x14ac:dyDescent="0.4">
      <c r="A2182" t="s">
        <v>15</v>
      </c>
      <c r="B2182" t="s">
        <v>16</v>
      </c>
      <c r="C2182" s="13">
        <v>43831</v>
      </c>
      <c r="D2182" s="13">
        <v>44196</v>
      </c>
      <c r="E2182" t="s">
        <v>17</v>
      </c>
      <c r="F2182">
        <v>0</v>
      </c>
      <c r="G2182" t="s">
        <v>18</v>
      </c>
      <c r="H2182">
        <v>1</v>
      </c>
      <c r="I2182" t="s">
        <v>19</v>
      </c>
      <c r="J2182">
        <v>349</v>
      </c>
      <c r="K2182" t="s">
        <v>236</v>
      </c>
      <c r="L2182" s="13">
        <v>43852</v>
      </c>
      <c r="M2182" t="s">
        <v>351</v>
      </c>
      <c r="N2182" t="s">
        <v>1188</v>
      </c>
      <c r="O2182">
        <v>18.03</v>
      </c>
      <c r="P2182" t="s">
        <v>239</v>
      </c>
    </row>
    <row r="2183" spans="1:16" ht="15" customHeight="1" x14ac:dyDescent="0.4">
      <c r="A2183" t="s">
        <v>15</v>
      </c>
      <c r="B2183" t="s">
        <v>16</v>
      </c>
      <c r="C2183" s="13">
        <v>43831</v>
      </c>
      <c r="D2183" s="13">
        <v>44196</v>
      </c>
      <c r="E2183" t="s">
        <v>17</v>
      </c>
      <c r="F2183">
        <v>0</v>
      </c>
      <c r="G2183" t="s">
        <v>18</v>
      </c>
      <c r="H2183">
        <v>1</v>
      </c>
      <c r="I2183" t="s">
        <v>19</v>
      </c>
      <c r="J2183">
        <v>349</v>
      </c>
      <c r="K2183" t="s">
        <v>236</v>
      </c>
      <c r="L2183" s="13">
        <v>43912</v>
      </c>
      <c r="M2183" t="s">
        <v>351</v>
      </c>
      <c r="N2183" t="s">
        <v>1189</v>
      </c>
      <c r="O2183">
        <v>17.41</v>
      </c>
      <c r="P2183" t="s">
        <v>239</v>
      </c>
    </row>
    <row r="2184" spans="1:16" ht="15" customHeight="1" x14ac:dyDescent="0.4">
      <c r="A2184" t="s">
        <v>15</v>
      </c>
      <c r="B2184" t="s">
        <v>16</v>
      </c>
      <c r="C2184" s="13">
        <v>43831</v>
      </c>
      <c r="D2184" s="13">
        <v>44196</v>
      </c>
      <c r="E2184" t="s">
        <v>17</v>
      </c>
      <c r="F2184">
        <v>0</v>
      </c>
      <c r="G2184" t="s">
        <v>18</v>
      </c>
      <c r="H2184">
        <v>1</v>
      </c>
      <c r="I2184" t="s">
        <v>19</v>
      </c>
      <c r="J2184">
        <v>349</v>
      </c>
      <c r="K2184" t="s">
        <v>236</v>
      </c>
      <c r="L2184" s="13">
        <v>43973</v>
      </c>
      <c r="M2184" t="s">
        <v>351</v>
      </c>
      <c r="N2184" t="s">
        <v>1190</v>
      </c>
      <c r="O2184">
        <v>18.91</v>
      </c>
      <c r="P2184" t="s">
        <v>239</v>
      </c>
    </row>
    <row r="2185" spans="1:16" ht="15" customHeight="1" x14ac:dyDescent="0.4">
      <c r="A2185" t="s">
        <v>15</v>
      </c>
      <c r="B2185" t="s">
        <v>16</v>
      </c>
      <c r="C2185" s="13">
        <v>43831</v>
      </c>
      <c r="D2185" s="13">
        <v>44196</v>
      </c>
      <c r="E2185" t="s">
        <v>17</v>
      </c>
      <c r="F2185">
        <v>0</v>
      </c>
      <c r="G2185" t="s">
        <v>18</v>
      </c>
      <c r="H2185">
        <v>1</v>
      </c>
      <c r="I2185" t="s">
        <v>19</v>
      </c>
      <c r="J2185">
        <v>349</v>
      </c>
      <c r="K2185" t="s">
        <v>236</v>
      </c>
      <c r="L2185" s="13">
        <v>44034</v>
      </c>
      <c r="M2185" t="s">
        <v>351</v>
      </c>
      <c r="N2185" t="s">
        <v>1191</v>
      </c>
      <c r="O2185">
        <v>16.899999999999999</v>
      </c>
      <c r="P2185" t="s">
        <v>239</v>
      </c>
    </row>
    <row r="2186" spans="1:16" ht="15" customHeight="1" x14ac:dyDescent="0.4">
      <c r="A2186" t="s">
        <v>15</v>
      </c>
      <c r="B2186" t="s">
        <v>16</v>
      </c>
      <c r="C2186" s="13">
        <v>43831</v>
      </c>
      <c r="D2186" s="13">
        <v>44196</v>
      </c>
      <c r="E2186" t="s">
        <v>17</v>
      </c>
      <c r="F2186">
        <v>0</v>
      </c>
      <c r="G2186" t="s">
        <v>18</v>
      </c>
      <c r="H2186">
        <v>1</v>
      </c>
      <c r="I2186" t="s">
        <v>19</v>
      </c>
      <c r="J2186">
        <v>349</v>
      </c>
      <c r="K2186" t="s">
        <v>236</v>
      </c>
      <c r="L2186" s="13">
        <v>44096</v>
      </c>
      <c r="M2186" t="s">
        <v>351</v>
      </c>
      <c r="N2186" t="s">
        <v>1192</v>
      </c>
      <c r="O2186">
        <v>18.079999999999998</v>
      </c>
      <c r="P2186" t="s">
        <v>239</v>
      </c>
    </row>
    <row r="2187" spans="1:16" ht="15" customHeight="1" x14ac:dyDescent="0.4">
      <c r="A2187" t="s">
        <v>15</v>
      </c>
      <c r="B2187" t="s">
        <v>16</v>
      </c>
      <c r="C2187" s="13">
        <v>43831</v>
      </c>
      <c r="D2187" s="13">
        <v>44196</v>
      </c>
      <c r="E2187" t="s">
        <v>17</v>
      </c>
      <c r="F2187">
        <v>0</v>
      </c>
      <c r="G2187" t="s">
        <v>18</v>
      </c>
      <c r="H2187">
        <v>1</v>
      </c>
      <c r="I2187" t="s">
        <v>19</v>
      </c>
      <c r="J2187">
        <v>349</v>
      </c>
      <c r="K2187" t="s">
        <v>236</v>
      </c>
      <c r="L2187" s="13">
        <v>44158</v>
      </c>
      <c r="M2187" t="s">
        <v>351</v>
      </c>
      <c r="N2187" t="s">
        <v>1193</v>
      </c>
      <c r="O2187">
        <v>17.25</v>
      </c>
      <c r="P2187" t="s">
        <v>239</v>
      </c>
    </row>
    <row r="2188" spans="1:16" ht="15" customHeight="1" x14ac:dyDescent="0.4">
      <c r="A2188" t="s">
        <v>15</v>
      </c>
      <c r="B2188" t="s">
        <v>16</v>
      </c>
      <c r="C2188" s="13">
        <v>43831</v>
      </c>
      <c r="D2188" s="13">
        <v>44196</v>
      </c>
      <c r="E2188" t="s">
        <v>17</v>
      </c>
      <c r="F2188">
        <v>0</v>
      </c>
      <c r="G2188" t="s">
        <v>18</v>
      </c>
      <c r="H2188">
        <v>1</v>
      </c>
      <c r="I2188" t="s">
        <v>19</v>
      </c>
      <c r="J2188">
        <v>355</v>
      </c>
      <c r="K2188" t="s">
        <v>250</v>
      </c>
      <c r="L2188" s="13">
        <v>43921</v>
      </c>
      <c r="M2188" t="s">
        <v>251</v>
      </c>
      <c r="N2188" t="s">
        <v>46</v>
      </c>
      <c r="O2188">
        <v>24.48</v>
      </c>
      <c r="P2188" t="s">
        <v>46</v>
      </c>
    </row>
    <row r="2189" spans="1:16" ht="15" customHeight="1" x14ac:dyDescent="0.4">
      <c r="A2189" t="s">
        <v>15</v>
      </c>
      <c r="B2189" t="s">
        <v>16</v>
      </c>
      <c r="C2189" s="13">
        <v>43831</v>
      </c>
      <c r="D2189" s="13">
        <v>44196</v>
      </c>
      <c r="E2189" t="s">
        <v>17</v>
      </c>
      <c r="F2189">
        <v>0</v>
      </c>
      <c r="G2189" t="s">
        <v>18</v>
      </c>
      <c r="H2189">
        <v>1</v>
      </c>
      <c r="I2189" t="s">
        <v>19</v>
      </c>
      <c r="J2189">
        <v>355</v>
      </c>
      <c r="K2189" t="s">
        <v>250</v>
      </c>
      <c r="L2189" s="13">
        <v>44012</v>
      </c>
      <c r="M2189" t="s">
        <v>251</v>
      </c>
      <c r="N2189" t="s">
        <v>46</v>
      </c>
      <c r="O2189">
        <v>24.48</v>
      </c>
      <c r="P2189" t="s">
        <v>46</v>
      </c>
    </row>
    <row r="2190" spans="1:16" ht="15" customHeight="1" x14ac:dyDescent="0.4">
      <c r="A2190" t="s">
        <v>15</v>
      </c>
      <c r="B2190" t="s">
        <v>16</v>
      </c>
      <c r="C2190" s="13">
        <v>43831</v>
      </c>
      <c r="D2190" s="13">
        <v>44196</v>
      </c>
      <c r="E2190" t="s">
        <v>17</v>
      </c>
      <c r="F2190">
        <v>0</v>
      </c>
      <c r="G2190" t="s">
        <v>18</v>
      </c>
      <c r="H2190">
        <v>1</v>
      </c>
      <c r="I2190" t="s">
        <v>19</v>
      </c>
      <c r="J2190">
        <v>355</v>
      </c>
      <c r="K2190" t="s">
        <v>250</v>
      </c>
      <c r="L2190" s="13">
        <v>44104</v>
      </c>
      <c r="M2190" t="s">
        <v>251</v>
      </c>
      <c r="N2190" t="s">
        <v>46</v>
      </c>
      <c r="O2190">
        <v>24.48</v>
      </c>
      <c r="P2190" t="s">
        <v>46</v>
      </c>
    </row>
    <row r="2191" spans="1:16" ht="15" customHeight="1" x14ac:dyDescent="0.4">
      <c r="A2191" t="s">
        <v>15</v>
      </c>
      <c r="B2191" t="s">
        <v>16</v>
      </c>
      <c r="C2191" s="13">
        <v>43831</v>
      </c>
      <c r="D2191" s="13">
        <v>44196</v>
      </c>
      <c r="E2191" t="s">
        <v>17</v>
      </c>
      <c r="F2191">
        <v>0</v>
      </c>
      <c r="G2191" t="s">
        <v>18</v>
      </c>
      <c r="H2191">
        <v>1</v>
      </c>
      <c r="I2191" t="s">
        <v>19</v>
      </c>
      <c r="J2191">
        <v>355</v>
      </c>
      <c r="K2191" t="s">
        <v>250</v>
      </c>
      <c r="L2191" s="13">
        <v>44196</v>
      </c>
      <c r="M2191" t="s">
        <v>251</v>
      </c>
      <c r="N2191" t="s">
        <v>46</v>
      </c>
      <c r="O2191">
        <v>24.48</v>
      </c>
      <c r="P2191" t="s">
        <v>46</v>
      </c>
    </row>
    <row r="2192" spans="1:16" ht="15" customHeight="1" x14ac:dyDescent="0.4">
      <c r="A2192" t="s">
        <v>15</v>
      </c>
      <c r="B2192" t="s">
        <v>16</v>
      </c>
      <c r="C2192" s="13">
        <v>43831</v>
      </c>
      <c r="D2192" s="13">
        <v>44196</v>
      </c>
      <c r="E2192" t="s">
        <v>17</v>
      </c>
      <c r="F2192">
        <v>0</v>
      </c>
      <c r="G2192" t="s">
        <v>18</v>
      </c>
      <c r="H2192">
        <v>1</v>
      </c>
      <c r="I2192" t="s">
        <v>19</v>
      </c>
      <c r="J2192">
        <v>382</v>
      </c>
      <c r="K2192" t="s">
        <v>253</v>
      </c>
      <c r="L2192" s="13">
        <v>43900</v>
      </c>
      <c r="M2192" t="s">
        <v>1194</v>
      </c>
      <c r="N2192" t="s">
        <v>1195</v>
      </c>
      <c r="O2192">
        <v>1200</v>
      </c>
      <c r="P2192" t="s">
        <v>256</v>
      </c>
    </row>
    <row r="2193" spans="1:16" ht="15" customHeight="1" x14ac:dyDescent="0.4">
      <c r="A2193" t="s">
        <v>15</v>
      </c>
      <c r="B2193" t="s">
        <v>16</v>
      </c>
      <c r="C2193" s="13">
        <v>43831</v>
      </c>
      <c r="D2193" s="13">
        <v>44196</v>
      </c>
      <c r="E2193" t="s">
        <v>30</v>
      </c>
      <c r="F2193">
        <v>0</v>
      </c>
      <c r="G2193" t="s">
        <v>18</v>
      </c>
      <c r="H2193">
        <v>1</v>
      </c>
      <c r="I2193" t="s">
        <v>19</v>
      </c>
      <c r="J2193">
        <v>403</v>
      </c>
      <c r="K2193" t="s">
        <v>261</v>
      </c>
      <c r="L2193" s="13">
        <v>43913</v>
      </c>
      <c r="M2193" t="s">
        <v>1197</v>
      </c>
      <c r="N2193" t="s">
        <v>1198</v>
      </c>
      <c r="O2193">
        <v>160</v>
      </c>
      <c r="P2193" t="s">
        <v>267</v>
      </c>
    </row>
    <row r="2194" spans="1:16" ht="15" customHeight="1" x14ac:dyDescent="0.4">
      <c r="A2194" t="s">
        <v>15</v>
      </c>
      <c r="B2194" t="s">
        <v>16</v>
      </c>
      <c r="C2194" s="13">
        <v>43831</v>
      </c>
      <c r="D2194" s="13">
        <v>44196</v>
      </c>
      <c r="E2194" t="s">
        <v>30</v>
      </c>
      <c r="F2194">
        <v>0</v>
      </c>
      <c r="G2194" t="s">
        <v>18</v>
      </c>
      <c r="H2194">
        <v>1</v>
      </c>
      <c r="I2194" t="s">
        <v>19</v>
      </c>
      <c r="J2194">
        <v>403</v>
      </c>
      <c r="K2194" t="s">
        <v>261</v>
      </c>
      <c r="L2194" s="13">
        <v>43913</v>
      </c>
      <c r="M2194" t="s">
        <v>265</v>
      </c>
      <c r="N2194" t="s">
        <v>1196</v>
      </c>
      <c r="O2194">
        <v>192</v>
      </c>
      <c r="P2194" t="s">
        <v>267</v>
      </c>
    </row>
    <row r="2195" spans="1:16" ht="15" customHeight="1" x14ac:dyDescent="0.4">
      <c r="A2195" t="s">
        <v>15</v>
      </c>
      <c r="B2195" t="s">
        <v>16</v>
      </c>
      <c r="C2195" s="13">
        <v>43831</v>
      </c>
      <c r="D2195" s="13">
        <v>44196</v>
      </c>
      <c r="E2195" t="s">
        <v>30</v>
      </c>
      <c r="F2195">
        <v>0</v>
      </c>
      <c r="G2195" t="s">
        <v>18</v>
      </c>
      <c r="H2195">
        <v>1</v>
      </c>
      <c r="I2195" t="s">
        <v>19</v>
      </c>
      <c r="J2195">
        <v>403</v>
      </c>
      <c r="K2195" t="s">
        <v>261</v>
      </c>
      <c r="L2195" s="13">
        <v>43962</v>
      </c>
      <c r="M2195" t="s">
        <v>1199</v>
      </c>
      <c r="N2195" t="s">
        <v>1200</v>
      </c>
      <c r="O2195">
        <v>288</v>
      </c>
      <c r="P2195" t="s">
        <v>808</v>
      </c>
    </row>
    <row r="2196" spans="1:16" ht="15" customHeight="1" x14ac:dyDescent="0.4">
      <c r="A2196" t="s">
        <v>15</v>
      </c>
      <c r="B2196" t="s">
        <v>16</v>
      </c>
      <c r="C2196" s="13">
        <v>43831</v>
      </c>
      <c r="D2196" s="13">
        <v>44196</v>
      </c>
      <c r="E2196" t="s">
        <v>30</v>
      </c>
      <c r="F2196">
        <v>0</v>
      </c>
      <c r="G2196" t="s">
        <v>18</v>
      </c>
      <c r="H2196">
        <v>1</v>
      </c>
      <c r="I2196" t="s">
        <v>19</v>
      </c>
      <c r="J2196">
        <v>403</v>
      </c>
      <c r="K2196" t="s">
        <v>261</v>
      </c>
      <c r="L2196" s="13">
        <v>44196</v>
      </c>
      <c r="M2196" t="s">
        <v>265</v>
      </c>
      <c r="N2196" t="s">
        <v>1203</v>
      </c>
      <c r="O2196">
        <v>192</v>
      </c>
      <c r="P2196" t="s">
        <v>267</v>
      </c>
    </row>
    <row r="2197" spans="1:16" ht="15" customHeight="1" x14ac:dyDescent="0.4">
      <c r="A2197" t="s">
        <v>15</v>
      </c>
      <c r="B2197" t="s">
        <v>16</v>
      </c>
      <c r="C2197" s="13">
        <v>43831</v>
      </c>
      <c r="D2197" s="13">
        <v>44196</v>
      </c>
      <c r="E2197" t="s">
        <v>30</v>
      </c>
      <c r="F2197">
        <v>0</v>
      </c>
      <c r="G2197" t="s">
        <v>18</v>
      </c>
      <c r="H2197">
        <v>1</v>
      </c>
      <c r="I2197" t="s">
        <v>19</v>
      </c>
      <c r="J2197">
        <v>403</v>
      </c>
      <c r="K2197" t="s">
        <v>261</v>
      </c>
      <c r="L2197" s="13">
        <v>44196</v>
      </c>
      <c r="M2197" t="s">
        <v>1201</v>
      </c>
      <c r="N2197" t="s">
        <v>1202</v>
      </c>
      <c r="O2197">
        <v>160</v>
      </c>
      <c r="P2197" t="s">
        <v>267</v>
      </c>
    </row>
    <row r="2198" spans="1:16" ht="15" customHeight="1" x14ac:dyDescent="0.4">
      <c r="A2198" t="s">
        <v>15</v>
      </c>
      <c r="B2198" t="s">
        <v>16</v>
      </c>
      <c r="C2198" s="13">
        <v>43831</v>
      </c>
      <c r="D2198" s="13">
        <v>44196</v>
      </c>
      <c r="E2198" t="s">
        <v>17</v>
      </c>
      <c r="F2198">
        <v>0</v>
      </c>
      <c r="G2198" t="s">
        <v>18</v>
      </c>
      <c r="H2198">
        <v>1</v>
      </c>
      <c r="I2198" t="s">
        <v>19</v>
      </c>
      <c r="J2198">
        <v>441</v>
      </c>
      <c r="K2198" t="s">
        <v>268</v>
      </c>
      <c r="L2198" s="13">
        <v>43831</v>
      </c>
      <c r="M2198" t="s">
        <v>1204</v>
      </c>
      <c r="N2198" t="s">
        <v>801</v>
      </c>
      <c r="O2198">
        <v>8642.32</v>
      </c>
      <c r="P2198" t="s">
        <v>271</v>
      </c>
    </row>
    <row r="2199" spans="1:16" ht="15" customHeight="1" x14ac:dyDescent="0.4">
      <c r="A2199" t="s">
        <v>15</v>
      </c>
      <c r="B2199" t="s">
        <v>16</v>
      </c>
      <c r="C2199" s="13">
        <v>43831</v>
      </c>
      <c r="D2199" s="13">
        <v>44196</v>
      </c>
      <c r="E2199" t="s">
        <v>17</v>
      </c>
      <c r="F2199">
        <v>0</v>
      </c>
      <c r="G2199" t="s">
        <v>18</v>
      </c>
      <c r="H2199">
        <v>1</v>
      </c>
      <c r="I2199" t="s">
        <v>19</v>
      </c>
      <c r="J2199">
        <v>461</v>
      </c>
      <c r="K2199" t="s">
        <v>272</v>
      </c>
      <c r="L2199" s="13">
        <v>43900</v>
      </c>
      <c r="M2199" t="s">
        <v>1205</v>
      </c>
      <c r="N2199" t="s">
        <v>1206</v>
      </c>
      <c r="O2199">
        <v>1170.4000000000001</v>
      </c>
      <c r="P2199" t="s">
        <v>1034</v>
      </c>
    </row>
    <row r="2200" spans="1:16" ht="15" customHeight="1" x14ac:dyDescent="0.4">
      <c r="A2200" t="s">
        <v>15</v>
      </c>
      <c r="B2200" t="s">
        <v>16</v>
      </c>
      <c r="C2200" s="13">
        <v>43831</v>
      </c>
      <c r="D2200" s="13">
        <v>44196</v>
      </c>
      <c r="E2200" t="s">
        <v>17</v>
      </c>
      <c r="F2200">
        <v>0</v>
      </c>
      <c r="G2200" t="s">
        <v>18</v>
      </c>
      <c r="H2200">
        <v>1</v>
      </c>
      <c r="I2200" t="s">
        <v>19</v>
      </c>
      <c r="J2200">
        <v>461</v>
      </c>
      <c r="K2200" t="s">
        <v>272</v>
      </c>
      <c r="L2200" s="13">
        <v>43900</v>
      </c>
      <c r="M2200" t="s">
        <v>1205</v>
      </c>
      <c r="N2200" t="s">
        <v>1207</v>
      </c>
      <c r="O2200">
        <v>1170.4000000000001</v>
      </c>
      <c r="P2200" t="s">
        <v>1034</v>
      </c>
    </row>
    <row r="2201" spans="1:16" ht="15" customHeight="1" x14ac:dyDescent="0.4">
      <c r="A2201" t="s">
        <v>15</v>
      </c>
      <c r="B2201" t="s">
        <v>16</v>
      </c>
      <c r="C2201" s="13">
        <v>43831</v>
      </c>
      <c r="D2201" s="13">
        <v>44196</v>
      </c>
      <c r="E2201" t="s">
        <v>17</v>
      </c>
      <c r="F2201">
        <v>0</v>
      </c>
      <c r="G2201" t="s">
        <v>18</v>
      </c>
      <c r="H2201">
        <v>1</v>
      </c>
      <c r="I2201" t="s">
        <v>19</v>
      </c>
      <c r="J2201">
        <v>461</v>
      </c>
      <c r="K2201" t="s">
        <v>272</v>
      </c>
      <c r="L2201" s="13">
        <v>43988</v>
      </c>
      <c r="M2201" t="s">
        <v>1208</v>
      </c>
      <c r="N2201" t="s">
        <v>1210</v>
      </c>
      <c r="O2201">
        <v>1170.4000000000001</v>
      </c>
      <c r="P2201" t="s">
        <v>1034</v>
      </c>
    </row>
    <row r="2202" spans="1:16" ht="15" customHeight="1" x14ac:dyDescent="0.4">
      <c r="A2202" t="s">
        <v>15</v>
      </c>
      <c r="B2202" t="s">
        <v>16</v>
      </c>
      <c r="C2202" s="13">
        <v>43831</v>
      </c>
      <c r="D2202" s="13">
        <v>44196</v>
      </c>
      <c r="E2202" t="s">
        <v>17</v>
      </c>
      <c r="F2202">
        <v>0</v>
      </c>
      <c r="G2202" t="s">
        <v>18</v>
      </c>
      <c r="H2202">
        <v>1</v>
      </c>
      <c r="I2202" t="s">
        <v>19</v>
      </c>
      <c r="J2202">
        <v>461</v>
      </c>
      <c r="K2202" t="s">
        <v>272</v>
      </c>
      <c r="L2202" s="13">
        <v>43988</v>
      </c>
      <c r="M2202" t="s">
        <v>1208</v>
      </c>
      <c r="N2202" t="s">
        <v>1209</v>
      </c>
      <c r="O2202">
        <v>1170.4000000000001</v>
      </c>
      <c r="P2202" t="s">
        <v>1034</v>
      </c>
    </row>
    <row r="2203" spans="1:16" ht="15" customHeight="1" x14ac:dyDescent="0.4">
      <c r="A2203" t="s">
        <v>15</v>
      </c>
      <c r="B2203" t="s">
        <v>16</v>
      </c>
      <c r="C2203" s="13">
        <v>43831</v>
      </c>
      <c r="D2203" s="13">
        <v>44196</v>
      </c>
      <c r="E2203" t="s">
        <v>17</v>
      </c>
      <c r="F2203">
        <v>0</v>
      </c>
      <c r="G2203" t="s">
        <v>18</v>
      </c>
      <c r="H2203">
        <v>1</v>
      </c>
      <c r="I2203" t="s">
        <v>19</v>
      </c>
      <c r="J2203">
        <v>461</v>
      </c>
      <c r="K2203" t="s">
        <v>272</v>
      </c>
      <c r="L2203" s="13">
        <v>43998</v>
      </c>
      <c r="M2203" t="s">
        <v>1208</v>
      </c>
      <c r="N2203" t="s">
        <v>1211</v>
      </c>
      <c r="O2203">
        <v>585.20000000000005</v>
      </c>
      <c r="P2203" t="s">
        <v>1034</v>
      </c>
    </row>
    <row r="2204" spans="1:16" ht="15" customHeight="1" x14ac:dyDescent="0.4">
      <c r="A2204" t="s">
        <v>15</v>
      </c>
      <c r="B2204" t="s">
        <v>16</v>
      </c>
      <c r="C2204" s="13">
        <v>43831</v>
      </c>
      <c r="D2204" s="13">
        <v>44196</v>
      </c>
      <c r="E2204" t="s">
        <v>17</v>
      </c>
      <c r="F2204">
        <v>0</v>
      </c>
      <c r="G2204" t="s">
        <v>18</v>
      </c>
      <c r="H2204">
        <v>1</v>
      </c>
      <c r="I2204" t="s">
        <v>19</v>
      </c>
      <c r="J2204">
        <v>461</v>
      </c>
      <c r="K2204" t="s">
        <v>272</v>
      </c>
      <c r="L2204" s="13">
        <v>43998</v>
      </c>
      <c r="M2204" t="s">
        <v>1208</v>
      </c>
      <c r="N2204" t="s">
        <v>1212</v>
      </c>
      <c r="O2204">
        <v>585.20000000000005</v>
      </c>
      <c r="P2204" t="s">
        <v>1034</v>
      </c>
    </row>
    <row r="2205" spans="1:16" ht="15" customHeight="1" x14ac:dyDescent="0.4">
      <c r="A2205" t="s">
        <v>15</v>
      </c>
      <c r="B2205" t="s">
        <v>16</v>
      </c>
      <c r="C2205" s="13">
        <v>43831</v>
      </c>
      <c r="D2205" s="13">
        <v>44196</v>
      </c>
      <c r="E2205" t="s">
        <v>17</v>
      </c>
      <c r="F2205">
        <v>0</v>
      </c>
      <c r="G2205" t="s">
        <v>18</v>
      </c>
      <c r="H2205">
        <v>1</v>
      </c>
      <c r="I2205" t="s">
        <v>19</v>
      </c>
      <c r="J2205">
        <v>702</v>
      </c>
      <c r="K2205" t="s">
        <v>275</v>
      </c>
      <c r="L2205" s="13">
        <v>44196</v>
      </c>
      <c r="M2205" t="s">
        <v>1213</v>
      </c>
      <c r="N2205" t="s">
        <v>46</v>
      </c>
      <c r="O2205">
        <v>40.19</v>
      </c>
      <c r="P2205" t="s">
        <v>46</v>
      </c>
    </row>
    <row r="2206" spans="1:16" ht="15" customHeight="1" x14ac:dyDescent="0.4">
      <c r="A2206" t="s">
        <v>15</v>
      </c>
      <c r="B2206" t="s">
        <v>16</v>
      </c>
      <c r="C2206" s="13">
        <v>43831</v>
      </c>
      <c r="D2206" s="13">
        <v>44196</v>
      </c>
      <c r="E2206" t="s">
        <v>17</v>
      </c>
      <c r="F2206">
        <v>0</v>
      </c>
      <c r="G2206" t="s">
        <v>18</v>
      </c>
      <c r="H2206">
        <v>1</v>
      </c>
      <c r="I2206" t="s">
        <v>19</v>
      </c>
      <c r="J2206">
        <v>706</v>
      </c>
      <c r="K2206" t="s">
        <v>365</v>
      </c>
      <c r="L2206" s="13">
        <v>44196</v>
      </c>
      <c r="M2206" t="s">
        <v>1214</v>
      </c>
      <c r="N2206" t="s">
        <v>1215</v>
      </c>
      <c r="O2206">
        <v>140.4</v>
      </c>
      <c r="P2206" t="s">
        <v>368</v>
      </c>
    </row>
    <row r="2207" spans="1:16" ht="15" customHeight="1" x14ac:dyDescent="0.4">
      <c r="A2207" t="s">
        <v>15</v>
      </c>
      <c r="B2207" t="s">
        <v>16</v>
      </c>
      <c r="C2207" s="13">
        <v>43831</v>
      </c>
      <c r="D2207" s="13">
        <v>44196</v>
      </c>
      <c r="E2207" t="s">
        <v>30</v>
      </c>
      <c r="F2207">
        <v>0</v>
      </c>
      <c r="G2207" t="s">
        <v>18</v>
      </c>
      <c r="H2207">
        <v>1</v>
      </c>
      <c r="I2207" t="s">
        <v>19</v>
      </c>
      <c r="J2207">
        <v>787</v>
      </c>
      <c r="K2207" t="s">
        <v>1216</v>
      </c>
      <c r="L2207" s="13">
        <v>43965</v>
      </c>
      <c r="M2207" t="s">
        <v>1217</v>
      </c>
      <c r="N2207" t="s">
        <v>1218</v>
      </c>
      <c r="O2207">
        <v>48</v>
      </c>
      <c r="P2207" t="s">
        <v>472</v>
      </c>
    </row>
    <row r="2208" spans="1:16" ht="15" customHeight="1" x14ac:dyDescent="0.4">
      <c r="A2208" t="s">
        <v>15</v>
      </c>
      <c r="B2208" t="s">
        <v>16</v>
      </c>
      <c r="C2208" s="13">
        <v>43831</v>
      </c>
      <c r="D2208" s="13">
        <v>44196</v>
      </c>
      <c r="E2208" t="s">
        <v>30</v>
      </c>
      <c r="F2208">
        <v>0</v>
      </c>
      <c r="G2208" t="s">
        <v>18</v>
      </c>
      <c r="H2208">
        <v>1</v>
      </c>
      <c r="I2208" t="s">
        <v>19</v>
      </c>
      <c r="J2208">
        <v>787</v>
      </c>
      <c r="K2208" t="s">
        <v>1216</v>
      </c>
      <c r="L2208" s="13">
        <v>44083</v>
      </c>
      <c r="M2208" t="s">
        <v>1219</v>
      </c>
      <c r="N2208" t="s">
        <v>1220</v>
      </c>
      <c r="O2208">
        <v>16.399999999999999</v>
      </c>
      <c r="P2208" t="s">
        <v>472</v>
      </c>
    </row>
    <row r="2209" spans="1:16" ht="15" customHeight="1" x14ac:dyDescent="0.4">
      <c r="A2209" t="s">
        <v>15</v>
      </c>
      <c r="B2209" t="s">
        <v>16</v>
      </c>
      <c r="C2209" s="13">
        <v>43831</v>
      </c>
      <c r="D2209" s="13">
        <v>44196</v>
      </c>
      <c r="E2209" t="s">
        <v>17</v>
      </c>
      <c r="F2209">
        <v>0</v>
      </c>
      <c r="G2209" t="s">
        <v>18</v>
      </c>
      <c r="H2209">
        <v>1</v>
      </c>
      <c r="I2209" t="s">
        <v>19</v>
      </c>
      <c r="J2209">
        <v>791</v>
      </c>
      <c r="K2209" t="s">
        <v>277</v>
      </c>
      <c r="L2209" s="13">
        <v>43831</v>
      </c>
      <c r="M2209" t="s">
        <v>1221</v>
      </c>
      <c r="N2209" t="s">
        <v>1222</v>
      </c>
      <c r="O2209">
        <v>304.85000000000002</v>
      </c>
      <c r="P2209" t="s">
        <v>280</v>
      </c>
    </row>
    <row r="2210" spans="1:16" ht="15" customHeight="1" x14ac:dyDescent="0.4">
      <c r="A2210" t="s">
        <v>15</v>
      </c>
      <c r="B2210" t="s">
        <v>16</v>
      </c>
      <c r="C2210" s="13">
        <v>43831</v>
      </c>
      <c r="D2210" s="13">
        <v>44196</v>
      </c>
      <c r="E2210" t="s">
        <v>17</v>
      </c>
      <c r="F2210">
        <v>0</v>
      </c>
      <c r="G2210" t="s">
        <v>18</v>
      </c>
      <c r="H2210">
        <v>1</v>
      </c>
      <c r="I2210" t="s">
        <v>19</v>
      </c>
      <c r="J2210">
        <v>791</v>
      </c>
      <c r="K2210" t="s">
        <v>277</v>
      </c>
      <c r="L2210" s="13">
        <v>43893</v>
      </c>
      <c r="M2210" t="s">
        <v>1223</v>
      </c>
      <c r="N2210" t="s">
        <v>1224</v>
      </c>
      <c r="O2210">
        <v>304.85000000000002</v>
      </c>
      <c r="P2210" t="s">
        <v>280</v>
      </c>
    </row>
    <row r="2211" spans="1:16" ht="15" customHeight="1" x14ac:dyDescent="0.4">
      <c r="A2211" t="s">
        <v>15</v>
      </c>
      <c r="B2211" t="s">
        <v>16</v>
      </c>
      <c r="C2211" s="13">
        <v>43831</v>
      </c>
      <c r="D2211" s="13">
        <v>44196</v>
      </c>
      <c r="E2211" t="s">
        <v>17</v>
      </c>
      <c r="F2211">
        <v>0</v>
      </c>
      <c r="G2211" t="s">
        <v>18</v>
      </c>
      <c r="H2211">
        <v>1</v>
      </c>
      <c r="I2211" t="s">
        <v>19</v>
      </c>
      <c r="J2211">
        <v>791</v>
      </c>
      <c r="K2211" t="s">
        <v>277</v>
      </c>
      <c r="L2211" s="13">
        <v>43984</v>
      </c>
      <c r="M2211" t="s">
        <v>1225</v>
      </c>
      <c r="N2211" t="s">
        <v>1226</v>
      </c>
      <c r="O2211">
        <v>304.85000000000002</v>
      </c>
      <c r="P2211" t="s">
        <v>280</v>
      </c>
    </row>
    <row r="2212" spans="1:16" ht="15" customHeight="1" x14ac:dyDescent="0.4">
      <c r="A2212" t="s">
        <v>15</v>
      </c>
      <c r="B2212" t="s">
        <v>16</v>
      </c>
      <c r="C2212" s="13">
        <v>43831</v>
      </c>
      <c r="D2212" s="13">
        <v>44196</v>
      </c>
      <c r="E2212" t="s">
        <v>17</v>
      </c>
      <c r="F2212">
        <v>0</v>
      </c>
      <c r="G2212" t="s">
        <v>18</v>
      </c>
      <c r="H2212">
        <v>1</v>
      </c>
      <c r="I2212" t="s">
        <v>19</v>
      </c>
      <c r="J2212">
        <v>791</v>
      </c>
      <c r="K2212" t="s">
        <v>277</v>
      </c>
      <c r="L2212" s="13">
        <v>44076</v>
      </c>
      <c r="M2212" t="s">
        <v>1227</v>
      </c>
      <c r="N2212" t="s">
        <v>1228</v>
      </c>
      <c r="O2212">
        <v>304.85000000000002</v>
      </c>
      <c r="P2212" t="s">
        <v>280</v>
      </c>
    </row>
    <row r="2213" spans="1:16" ht="15" customHeight="1" x14ac:dyDescent="0.4">
      <c r="A2213" t="s">
        <v>15</v>
      </c>
      <c r="B2213" t="s">
        <v>16</v>
      </c>
      <c r="C2213" s="13">
        <v>43831</v>
      </c>
      <c r="D2213" s="13">
        <v>44196</v>
      </c>
      <c r="E2213" t="s">
        <v>17</v>
      </c>
      <c r="F2213">
        <v>0</v>
      </c>
      <c r="G2213" t="s">
        <v>18</v>
      </c>
      <c r="H2213">
        <v>1</v>
      </c>
      <c r="I2213" t="s">
        <v>19</v>
      </c>
      <c r="J2213">
        <v>791</v>
      </c>
      <c r="K2213" t="s">
        <v>277</v>
      </c>
      <c r="L2213" s="13">
        <v>44196</v>
      </c>
      <c r="M2213" t="s">
        <v>287</v>
      </c>
      <c r="N2213" t="s">
        <v>288</v>
      </c>
      <c r="O2213">
        <v>-406.43</v>
      </c>
      <c r="P2213" t="s">
        <v>46</v>
      </c>
    </row>
    <row r="2214" spans="1:16" ht="15" customHeight="1" x14ac:dyDescent="0.4">
      <c r="A2214" t="s">
        <v>15</v>
      </c>
      <c r="B2214" t="s">
        <v>16</v>
      </c>
      <c r="C2214" s="13">
        <v>43831</v>
      </c>
      <c r="D2214" s="13">
        <v>44196</v>
      </c>
      <c r="E2214" t="s">
        <v>17</v>
      </c>
      <c r="F2214">
        <v>0</v>
      </c>
      <c r="G2214" t="s">
        <v>18</v>
      </c>
      <c r="H2214">
        <v>1</v>
      </c>
      <c r="I2214" t="s">
        <v>19</v>
      </c>
      <c r="J2214">
        <v>841</v>
      </c>
      <c r="K2214" t="s">
        <v>289</v>
      </c>
      <c r="L2214" s="13">
        <v>43936</v>
      </c>
      <c r="M2214" t="s">
        <v>1229</v>
      </c>
      <c r="N2214" t="s">
        <v>1230</v>
      </c>
      <c r="O2214">
        <v>792</v>
      </c>
      <c r="P2214" t="s">
        <v>292</v>
      </c>
    </row>
    <row r="2215" spans="1:16" ht="15" customHeight="1" x14ac:dyDescent="0.4">
      <c r="A2215" t="s">
        <v>15</v>
      </c>
      <c r="B2215" t="s">
        <v>16</v>
      </c>
      <c r="C2215" s="13">
        <v>43831</v>
      </c>
      <c r="D2215" s="13">
        <v>44196</v>
      </c>
      <c r="E2215" t="s">
        <v>17</v>
      </c>
      <c r="F2215">
        <v>0</v>
      </c>
      <c r="G2215" t="s">
        <v>18</v>
      </c>
      <c r="H2215">
        <v>1</v>
      </c>
      <c r="I2215" t="s">
        <v>19</v>
      </c>
      <c r="J2215">
        <v>841</v>
      </c>
      <c r="K2215" t="s">
        <v>289</v>
      </c>
      <c r="L2215" s="13">
        <v>43966</v>
      </c>
      <c r="M2215" t="s">
        <v>1231</v>
      </c>
      <c r="N2215" t="s">
        <v>1232</v>
      </c>
      <c r="O2215">
        <v>792</v>
      </c>
      <c r="P2215" t="s">
        <v>292</v>
      </c>
    </row>
    <row r="2216" spans="1:16" ht="15" customHeight="1" x14ac:dyDescent="0.4">
      <c r="A2216" t="s">
        <v>15</v>
      </c>
      <c r="B2216" t="s">
        <v>16</v>
      </c>
      <c r="C2216" s="13">
        <v>43831</v>
      </c>
      <c r="D2216" s="13">
        <v>44196</v>
      </c>
      <c r="E2216" t="s">
        <v>17</v>
      </c>
      <c r="F2216">
        <v>0</v>
      </c>
      <c r="G2216" t="s">
        <v>18</v>
      </c>
      <c r="H2216">
        <v>1</v>
      </c>
      <c r="I2216" t="s">
        <v>19</v>
      </c>
      <c r="J2216">
        <v>841</v>
      </c>
      <c r="K2216" t="s">
        <v>289</v>
      </c>
      <c r="L2216" s="13">
        <v>43997</v>
      </c>
      <c r="M2216" t="s">
        <v>1233</v>
      </c>
      <c r="N2216" t="s">
        <v>1234</v>
      </c>
      <c r="O2216">
        <v>792</v>
      </c>
      <c r="P2216" t="s">
        <v>292</v>
      </c>
    </row>
    <row r="2217" spans="1:16" ht="15" customHeight="1" x14ac:dyDescent="0.4">
      <c r="A2217" t="s">
        <v>15</v>
      </c>
      <c r="B2217" t="s">
        <v>16</v>
      </c>
      <c r="C2217" s="13">
        <v>43831</v>
      </c>
      <c r="D2217" s="13">
        <v>44196</v>
      </c>
      <c r="E2217" t="s">
        <v>17</v>
      </c>
      <c r="F2217">
        <v>0</v>
      </c>
      <c r="G2217" t="s">
        <v>18</v>
      </c>
      <c r="H2217">
        <v>1</v>
      </c>
      <c r="I2217" t="s">
        <v>19</v>
      </c>
      <c r="J2217">
        <v>841</v>
      </c>
      <c r="K2217" t="s">
        <v>289</v>
      </c>
      <c r="L2217" s="13">
        <v>44027</v>
      </c>
      <c r="M2217" t="s">
        <v>1235</v>
      </c>
      <c r="N2217" t="s">
        <v>1236</v>
      </c>
      <c r="O2217">
        <v>792</v>
      </c>
      <c r="P2217" t="s">
        <v>292</v>
      </c>
    </row>
    <row r="2218" spans="1:16" ht="15" customHeight="1" x14ac:dyDescent="0.4">
      <c r="A2218" t="s">
        <v>15</v>
      </c>
      <c r="B2218" t="s">
        <v>16</v>
      </c>
      <c r="C2218" s="13">
        <v>43831</v>
      </c>
      <c r="D2218" s="13">
        <v>44196</v>
      </c>
      <c r="E2218" t="s">
        <v>17</v>
      </c>
      <c r="F2218">
        <v>0</v>
      </c>
      <c r="G2218" t="s">
        <v>18</v>
      </c>
      <c r="H2218">
        <v>1</v>
      </c>
      <c r="I2218" t="s">
        <v>19</v>
      </c>
      <c r="J2218">
        <v>841</v>
      </c>
      <c r="K2218" t="s">
        <v>289</v>
      </c>
      <c r="L2218" s="13">
        <v>44089</v>
      </c>
      <c r="M2218" t="s">
        <v>1237</v>
      </c>
      <c r="N2218" t="s">
        <v>1238</v>
      </c>
      <c r="O2218">
        <v>792</v>
      </c>
      <c r="P2218" t="s">
        <v>292</v>
      </c>
    </row>
    <row r="2219" spans="1:16" ht="15" customHeight="1" x14ac:dyDescent="0.4">
      <c r="A2219" t="s">
        <v>15</v>
      </c>
      <c r="B2219" t="s">
        <v>16</v>
      </c>
      <c r="C2219" s="13">
        <v>43831</v>
      </c>
      <c r="D2219" s="13">
        <v>44196</v>
      </c>
      <c r="E2219" t="s">
        <v>17</v>
      </c>
      <c r="F2219">
        <v>0</v>
      </c>
      <c r="G2219" t="s">
        <v>18</v>
      </c>
      <c r="H2219">
        <v>1</v>
      </c>
      <c r="I2219" t="s">
        <v>19</v>
      </c>
      <c r="J2219">
        <v>841</v>
      </c>
      <c r="K2219" t="s">
        <v>289</v>
      </c>
      <c r="L2219" s="13">
        <v>44146</v>
      </c>
      <c r="M2219" t="s">
        <v>1239</v>
      </c>
      <c r="N2219" t="s">
        <v>1240</v>
      </c>
      <c r="O2219">
        <v>792</v>
      </c>
      <c r="P2219" t="s">
        <v>292</v>
      </c>
    </row>
    <row r="2220" spans="1:16" ht="15" customHeight="1" x14ac:dyDescent="0.4">
      <c r="A2220" t="s">
        <v>15</v>
      </c>
      <c r="B2220" t="s">
        <v>16</v>
      </c>
      <c r="C2220" s="13">
        <v>43831</v>
      </c>
      <c r="D2220" s="13">
        <v>44196</v>
      </c>
      <c r="E2220" t="s">
        <v>17</v>
      </c>
      <c r="F2220">
        <v>0</v>
      </c>
      <c r="G2220" t="s">
        <v>18</v>
      </c>
      <c r="H2220">
        <v>1</v>
      </c>
      <c r="I2220" t="s">
        <v>19</v>
      </c>
      <c r="J2220">
        <v>841</v>
      </c>
      <c r="K2220" t="s">
        <v>289</v>
      </c>
      <c r="L2220" s="13">
        <v>44180</v>
      </c>
      <c r="M2220" t="s">
        <v>1241</v>
      </c>
      <c r="N2220" t="s">
        <v>1242</v>
      </c>
      <c r="O2220">
        <v>792</v>
      </c>
      <c r="P2220" t="s">
        <v>292</v>
      </c>
    </row>
    <row r="2221" spans="1:16" ht="15" customHeight="1" x14ac:dyDescent="0.4">
      <c r="A2221" t="s">
        <v>15</v>
      </c>
      <c r="B2221" t="s">
        <v>16</v>
      </c>
      <c r="C2221" s="13">
        <v>43831</v>
      </c>
      <c r="D2221" s="13">
        <v>44196</v>
      </c>
      <c r="E2221" t="s">
        <v>17</v>
      </c>
      <c r="F2221">
        <v>0</v>
      </c>
      <c r="G2221" t="s">
        <v>18</v>
      </c>
      <c r="H2221">
        <v>1</v>
      </c>
      <c r="I2221" t="s">
        <v>19</v>
      </c>
      <c r="J2221">
        <v>881</v>
      </c>
      <c r="K2221" t="s">
        <v>327</v>
      </c>
      <c r="L2221" s="13">
        <v>44196</v>
      </c>
      <c r="M2221" t="s">
        <v>328</v>
      </c>
      <c r="N2221" t="s">
        <v>329</v>
      </c>
      <c r="O2221">
        <v>29.12</v>
      </c>
      <c r="P2221" t="s">
        <v>46</v>
      </c>
    </row>
    <row r="2222" spans="1:16" ht="15" customHeight="1" x14ac:dyDescent="0.4">
      <c r="A2222" t="s">
        <v>15</v>
      </c>
      <c r="B2222" t="s">
        <v>16</v>
      </c>
      <c r="C2222" s="13">
        <v>43831</v>
      </c>
      <c r="D2222" s="13">
        <v>44196</v>
      </c>
      <c r="E2222" t="s">
        <v>17</v>
      </c>
      <c r="F2222">
        <v>0</v>
      </c>
      <c r="G2222" t="s">
        <v>18</v>
      </c>
      <c r="H2222">
        <v>1</v>
      </c>
      <c r="I2222" t="s">
        <v>19</v>
      </c>
      <c r="J2222">
        <v>883</v>
      </c>
      <c r="K2222" t="s">
        <v>330</v>
      </c>
      <c r="L2222" s="13">
        <v>43878</v>
      </c>
      <c r="M2222" t="s">
        <v>1243</v>
      </c>
      <c r="N2222" t="s">
        <v>1244</v>
      </c>
      <c r="O2222">
        <v>119.94</v>
      </c>
      <c r="P2222" t="s">
        <v>333</v>
      </c>
    </row>
    <row r="2223" spans="1:16" ht="15" customHeight="1" x14ac:dyDescent="0.4">
      <c r="A2223" t="s">
        <v>15</v>
      </c>
      <c r="B2223" t="s">
        <v>16</v>
      </c>
      <c r="C2223" s="13">
        <v>43831</v>
      </c>
      <c r="D2223" s="13">
        <v>44196</v>
      </c>
      <c r="E2223" t="s">
        <v>17</v>
      </c>
      <c r="F2223">
        <v>0</v>
      </c>
      <c r="G2223" t="s">
        <v>18</v>
      </c>
      <c r="H2223">
        <v>1</v>
      </c>
      <c r="I2223" t="s">
        <v>19</v>
      </c>
      <c r="J2223">
        <v>909</v>
      </c>
      <c r="K2223" t="s">
        <v>334</v>
      </c>
      <c r="L2223" s="13">
        <v>44196</v>
      </c>
      <c r="M2223" t="s">
        <v>1245</v>
      </c>
      <c r="N2223" t="s">
        <v>46</v>
      </c>
      <c r="O2223">
        <v>-45578.97</v>
      </c>
      <c r="P2223" t="s">
        <v>46</v>
      </c>
    </row>
    <row r="2224" spans="1:16" ht="15" customHeight="1" x14ac:dyDescent="0.4">
      <c r="A2224" t="s">
        <v>15</v>
      </c>
      <c r="B2224" t="s">
        <v>16</v>
      </c>
      <c r="C2224" s="13">
        <v>43831</v>
      </c>
      <c r="D2224" s="13">
        <v>44196</v>
      </c>
      <c r="E2224" t="s">
        <v>17</v>
      </c>
      <c r="F2224">
        <v>0</v>
      </c>
      <c r="G2224" t="s">
        <v>18</v>
      </c>
      <c r="H2224">
        <v>1</v>
      </c>
      <c r="I2224" t="s">
        <v>19</v>
      </c>
      <c r="J2224">
        <v>952</v>
      </c>
      <c r="K2224" t="s">
        <v>336</v>
      </c>
      <c r="L2224" s="13">
        <v>43962</v>
      </c>
      <c r="M2224" t="s">
        <v>1246</v>
      </c>
      <c r="N2224" t="s">
        <v>1247</v>
      </c>
      <c r="O2224">
        <v>-3950</v>
      </c>
      <c r="P2224" t="s">
        <v>46</v>
      </c>
    </row>
    <row r="2225" spans="1:16" ht="15" customHeight="1" x14ac:dyDescent="0.4">
      <c r="A2225" t="s">
        <v>15</v>
      </c>
      <c r="B2225" t="s">
        <v>16</v>
      </c>
      <c r="C2225" s="13">
        <v>43831</v>
      </c>
      <c r="D2225" s="13">
        <v>44196</v>
      </c>
      <c r="E2225" t="s">
        <v>17</v>
      </c>
      <c r="F2225">
        <v>0</v>
      </c>
      <c r="G2225" t="s">
        <v>18</v>
      </c>
      <c r="H2225">
        <v>1</v>
      </c>
      <c r="I2225" t="s">
        <v>19</v>
      </c>
      <c r="J2225">
        <v>952</v>
      </c>
      <c r="K2225" t="s">
        <v>336</v>
      </c>
      <c r="L2225" s="13">
        <v>43992</v>
      </c>
      <c r="M2225" t="s">
        <v>1246</v>
      </c>
      <c r="N2225" t="s">
        <v>1248</v>
      </c>
      <c r="O2225">
        <v>-1317</v>
      </c>
      <c r="P2225" t="s">
        <v>46</v>
      </c>
    </row>
    <row r="2226" spans="1:16" ht="15" customHeight="1" x14ac:dyDescent="0.4">
      <c r="A2226" t="s">
        <v>15</v>
      </c>
      <c r="B2226" t="s">
        <v>16</v>
      </c>
      <c r="C2226" s="13">
        <v>43831</v>
      </c>
      <c r="D2226" s="13">
        <v>44196</v>
      </c>
      <c r="E2226" t="s">
        <v>17</v>
      </c>
      <c r="F2226">
        <v>0</v>
      </c>
      <c r="G2226" t="s">
        <v>18</v>
      </c>
      <c r="H2226">
        <v>1</v>
      </c>
      <c r="I2226" t="s">
        <v>19</v>
      </c>
      <c r="J2226">
        <v>988</v>
      </c>
      <c r="K2226" t="s">
        <v>339</v>
      </c>
      <c r="L2226" s="13">
        <v>43831</v>
      </c>
      <c r="M2226" t="s">
        <v>1249</v>
      </c>
      <c r="N2226" t="s">
        <v>341</v>
      </c>
      <c r="O2226">
        <v>-0.51</v>
      </c>
      <c r="P2226" t="s">
        <v>46</v>
      </c>
    </row>
    <row r="2227" spans="1:16" ht="15" customHeight="1" x14ac:dyDescent="0.4">
      <c r="A2227" t="s">
        <v>15</v>
      </c>
      <c r="B2227" t="s">
        <v>16</v>
      </c>
      <c r="C2227" s="13">
        <v>43831</v>
      </c>
      <c r="D2227" s="13">
        <v>44196</v>
      </c>
      <c r="E2227" t="s">
        <v>17</v>
      </c>
      <c r="F2227">
        <v>0</v>
      </c>
      <c r="G2227" t="s">
        <v>18</v>
      </c>
      <c r="H2227">
        <v>1</v>
      </c>
      <c r="I2227" t="s">
        <v>19</v>
      </c>
      <c r="J2227">
        <v>988</v>
      </c>
      <c r="K2227" t="s">
        <v>339</v>
      </c>
      <c r="L2227" s="13">
        <v>44196</v>
      </c>
      <c r="M2227" t="s">
        <v>1251</v>
      </c>
      <c r="N2227" t="s">
        <v>341</v>
      </c>
      <c r="O2227">
        <v>0.04</v>
      </c>
      <c r="P2227" t="s">
        <v>46</v>
      </c>
    </row>
    <row r="2228" spans="1:16" ht="15" customHeight="1" x14ac:dyDescent="0.4">
      <c r="A2228" t="s">
        <v>15</v>
      </c>
      <c r="B2228" t="s">
        <v>16</v>
      </c>
      <c r="C2228" s="13">
        <v>43831</v>
      </c>
      <c r="D2228" s="13">
        <v>44196</v>
      </c>
      <c r="E2228" t="s">
        <v>17</v>
      </c>
      <c r="F2228">
        <v>0</v>
      </c>
      <c r="G2228" t="s">
        <v>18</v>
      </c>
      <c r="H2228">
        <v>1</v>
      </c>
      <c r="I2228" t="s">
        <v>19</v>
      </c>
      <c r="J2228">
        <v>988</v>
      </c>
      <c r="K2228" t="s">
        <v>339</v>
      </c>
      <c r="L2228" s="13">
        <v>44196</v>
      </c>
      <c r="M2228" t="s">
        <v>1250</v>
      </c>
      <c r="N2228" t="s">
        <v>341</v>
      </c>
      <c r="O2228">
        <v>0.01</v>
      </c>
      <c r="P2228" t="s">
        <v>46</v>
      </c>
    </row>
    <row r="2229" spans="1:16" ht="15" customHeight="1" x14ac:dyDescent="0.4">
      <c r="A2229" t="s">
        <v>15</v>
      </c>
      <c r="B2229" t="s">
        <v>16</v>
      </c>
      <c r="C2229" s="13">
        <v>43831</v>
      </c>
      <c r="D2229" s="13">
        <v>44196</v>
      </c>
      <c r="E2229" t="s">
        <v>30</v>
      </c>
      <c r="F2229">
        <v>0</v>
      </c>
      <c r="G2229" t="s">
        <v>342</v>
      </c>
      <c r="H2229">
        <v>2</v>
      </c>
      <c r="I2229" t="s">
        <v>343</v>
      </c>
      <c r="J2229">
        <v>116</v>
      </c>
      <c r="K2229" t="s">
        <v>469</v>
      </c>
      <c r="L2229" s="13">
        <v>43865</v>
      </c>
      <c r="M2229" t="s">
        <v>1252</v>
      </c>
      <c r="N2229" t="s">
        <v>1253</v>
      </c>
      <c r="O2229">
        <v>358.32</v>
      </c>
      <c r="P2229" t="s">
        <v>472</v>
      </c>
    </row>
    <row r="2230" spans="1:16" ht="15" customHeight="1" x14ac:dyDescent="0.4">
      <c r="A2230" t="s">
        <v>15</v>
      </c>
      <c r="B2230" t="s">
        <v>16</v>
      </c>
      <c r="C2230" s="13">
        <v>43831</v>
      </c>
      <c r="D2230" s="13">
        <v>44196</v>
      </c>
      <c r="E2230" t="s">
        <v>17</v>
      </c>
      <c r="F2230">
        <v>0</v>
      </c>
      <c r="G2230" t="s">
        <v>342</v>
      </c>
      <c r="H2230">
        <v>2</v>
      </c>
      <c r="I2230" t="s">
        <v>343</v>
      </c>
      <c r="J2230">
        <v>242</v>
      </c>
      <c r="K2230" t="s">
        <v>348</v>
      </c>
      <c r="L2230" s="13">
        <v>44196</v>
      </c>
      <c r="M2230" t="s">
        <v>1254</v>
      </c>
      <c r="N2230" t="s">
        <v>45</v>
      </c>
      <c r="O2230">
        <v>446.64</v>
      </c>
      <c r="P2230" t="s">
        <v>46</v>
      </c>
    </row>
    <row r="2231" spans="1:16" ht="15" customHeight="1" x14ac:dyDescent="0.4">
      <c r="A2231" t="s">
        <v>15</v>
      </c>
      <c r="B2231" t="s">
        <v>16</v>
      </c>
      <c r="C2231" s="13">
        <v>43831</v>
      </c>
      <c r="D2231" s="13">
        <v>44196</v>
      </c>
      <c r="E2231" t="s">
        <v>17</v>
      </c>
      <c r="F2231">
        <v>0</v>
      </c>
      <c r="G2231" t="s">
        <v>342</v>
      </c>
      <c r="H2231">
        <v>2</v>
      </c>
      <c r="I2231" t="s">
        <v>343</v>
      </c>
      <c r="J2231">
        <v>269</v>
      </c>
      <c r="K2231" t="s">
        <v>3656</v>
      </c>
      <c r="L2231" s="13">
        <v>43852</v>
      </c>
      <c r="M2231" t="s">
        <v>351</v>
      </c>
      <c r="N2231" t="s">
        <v>1255</v>
      </c>
      <c r="O2231">
        <v>66.040000000000006</v>
      </c>
      <c r="P2231" t="s">
        <v>52</v>
      </c>
    </row>
    <row r="2232" spans="1:16" ht="15" customHeight="1" x14ac:dyDescent="0.4">
      <c r="A2232" t="s">
        <v>15</v>
      </c>
      <c r="B2232" t="s">
        <v>16</v>
      </c>
      <c r="C2232" s="13">
        <v>43831</v>
      </c>
      <c r="D2232" s="13">
        <v>44196</v>
      </c>
      <c r="E2232" t="s">
        <v>17</v>
      </c>
      <c r="F2232">
        <v>0</v>
      </c>
      <c r="G2232" t="s">
        <v>342</v>
      </c>
      <c r="H2232">
        <v>2</v>
      </c>
      <c r="I2232" t="s">
        <v>343</v>
      </c>
      <c r="J2232">
        <v>269</v>
      </c>
      <c r="K2232" t="s">
        <v>3656</v>
      </c>
      <c r="L2232" s="13">
        <v>43912</v>
      </c>
      <c r="M2232" t="s">
        <v>351</v>
      </c>
      <c r="N2232" t="s">
        <v>1256</v>
      </c>
      <c r="O2232">
        <v>39.869999999999997</v>
      </c>
      <c r="P2232" t="s">
        <v>52</v>
      </c>
    </row>
    <row r="2233" spans="1:16" ht="15" customHeight="1" x14ac:dyDescent="0.4">
      <c r="A2233" t="s">
        <v>15</v>
      </c>
      <c r="B2233" t="s">
        <v>16</v>
      </c>
      <c r="C2233" s="13">
        <v>43831</v>
      </c>
      <c r="D2233" s="13">
        <v>44196</v>
      </c>
      <c r="E2233" t="s">
        <v>17</v>
      </c>
      <c r="F2233">
        <v>0</v>
      </c>
      <c r="G2233" t="s">
        <v>342</v>
      </c>
      <c r="H2233">
        <v>2</v>
      </c>
      <c r="I2233" t="s">
        <v>343</v>
      </c>
      <c r="J2233">
        <v>269</v>
      </c>
      <c r="K2233" t="s">
        <v>3656</v>
      </c>
      <c r="L2233" s="13">
        <v>43973</v>
      </c>
      <c r="M2233" t="s">
        <v>351</v>
      </c>
      <c r="N2233" t="s">
        <v>1257</v>
      </c>
      <c r="O2233">
        <v>36.340000000000003</v>
      </c>
      <c r="P2233" t="s">
        <v>52</v>
      </c>
    </row>
    <row r="2234" spans="1:16" ht="15" customHeight="1" x14ac:dyDescent="0.4">
      <c r="A2234" t="s">
        <v>15</v>
      </c>
      <c r="B2234" t="s">
        <v>16</v>
      </c>
      <c r="C2234" s="13">
        <v>43831</v>
      </c>
      <c r="D2234" s="13">
        <v>44196</v>
      </c>
      <c r="E2234" t="s">
        <v>17</v>
      </c>
      <c r="F2234">
        <v>0</v>
      </c>
      <c r="G2234" t="s">
        <v>342</v>
      </c>
      <c r="H2234">
        <v>2</v>
      </c>
      <c r="I2234" t="s">
        <v>343</v>
      </c>
      <c r="J2234">
        <v>269</v>
      </c>
      <c r="K2234" t="s">
        <v>3656</v>
      </c>
      <c r="L2234" s="13">
        <v>44034</v>
      </c>
      <c r="M2234" t="s">
        <v>351</v>
      </c>
      <c r="N2234" t="s">
        <v>1258</v>
      </c>
      <c r="O2234">
        <v>35.96</v>
      </c>
      <c r="P2234" t="s">
        <v>52</v>
      </c>
    </row>
    <row r="2235" spans="1:16" ht="15" customHeight="1" x14ac:dyDescent="0.4">
      <c r="A2235" t="s">
        <v>15</v>
      </c>
      <c r="B2235" t="s">
        <v>16</v>
      </c>
      <c r="C2235" s="13">
        <v>43831</v>
      </c>
      <c r="D2235" s="13">
        <v>44196</v>
      </c>
      <c r="E2235" t="s">
        <v>17</v>
      </c>
      <c r="F2235">
        <v>0</v>
      </c>
      <c r="G2235" t="s">
        <v>342</v>
      </c>
      <c r="H2235">
        <v>2</v>
      </c>
      <c r="I2235" t="s">
        <v>343</v>
      </c>
      <c r="J2235">
        <v>269</v>
      </c>
      <c r="K2235" t="s">
        <v>3656</v>
      </c>
      <c r="L2235" s="13">
        <v>44098</v>
      </c>
      <c r="M2235" t="s">
        <v>351</v>
      </c>
      <c r="N2235" t="s">
        <v>1259</v>
      </c>
      <c r="O2235">
        <v>34.770000000000003</v>
      </c>
      <c r="P2235" t="s">
        <v>52</v>
      </c>
    </row>
    <row r="2236" spans="1:16" ht="15" customHeight="1" x14ac:dyDescent="0.4">
      <c r="A2236" t="s">
        <v>15</v>
      </c>
      <c r="B2236" t="s">
        <v>16</v>
      </c>
      <c r="C2236" s="13">
        <v>43831</v>
      </c>
      <c r="D2236" s="13">
        <v>44196</v>
      </c>
      <c r="E2236" t="s">
        <v>17</v>
      </c>
      <c r="F2236">
        <v>0</v>
      </c>
      <c r="G2236" t="s">
        <v>342</v>
      </c>
      <c r="H2236">
        <v>2</v>
      </c>
      <c r="I2236" t="s">
        <v>343</v>
      </c>
      <c r="J2236">
        <v>269</v>
      </c>
      <c r="K2236" t="s">
        <v>3656</v>
      </c>
      <c r="L2236" s="13">
        <v>44157</v>
      </c>
      <c r="M2236" t="s">
        <v>351</v>
      </c>
      <c r="N2236" t="s">
        <v>1260</v>
      </c>
      <c r="O2236">
        <v>32.909999999999997</v>
      </c>
      <c r="P2236" t="s">
        <v>52</v>
      </c>
    </row>
    <row r="2237" spans="1:16" ht="15" customHeight="1" x14ac:dyDescent="0.4">
      <c r="A2237" t="s">
        <v>15</v>
      </c>
      <c r="B2237" t="s">
        <v>16</v>
      </c>
      <c r="C2237" s="13">
        <v>43831</v>
      </c>
      <c r="D2237" s="13">
        <v>44196</v>
      </c>
      <c r="E2237" t="s">
        <v>17</v>
      </c>
      <c r="F2237">
        <v>0</v>
      </c>
      <c r="G2237" t="s">
        <v>342</v>
      </c>
      <c r="H2237">
        <v>2</v>
      </c>
      <c r="I2237" t="s">
        <v>343</v>
      </c>
      <c r="J2237">
        <v>702</v>
      </c>
      <c r="K2237" t="s">
        <v>275</v>
      </c>
      <c r="L2237" s="13">
        <v>44196</v>
      </c>
      <c r="M2237" t="s">
        <v>1261</v>
      </c>
      <c r="N2237" t="s">
        <v>46</v>
      </c>
      <c r="O2237">
        <v>120.56</v>
      </c>
      <c r="P2237" t="s">
        <v>46</v>
      </c>
    </row>
    <row r="2238" spans="1:16" ht="15" customHeight="1" x14ac:dyDescent="0.4">
      <c r="A2238" t="s">
        <v>15</v>
      </c>
      <c r="B2238" t="s">
        <v>16</v>
      </c>
      <c r="C2238" s="13">
        <v>43831</v>
      </c>
      <c r="D2238" s="13">
        <v>44196</v>
      </c>
      <c r="E2238" t="s">
        <v>17</v>
      </c>
      <c r="F2238">
        <v>0</v>
      </c>
      <c r="G2238" t="s">
        <v>342</v>
      </c>
      <c r="H2238">
        <v>2</v>
      </c>
      <c r="I2238" t="s">
        <v>343</v>
      </c>
      <c r="J2238">
        <v>706</v>
      </c>
      <c r="K2238" t="s">
        <v>365</v>
      </c>
      <c r="L2238" s="13">
        <v>44040</v>
      </c>
      <c r="M2238" t="s">
        <v>1262</v>
      </c>
      <c r="N2238" t="s">
        <v>1263</v>
      </c>
      <c r="O2238">
        <v>53.82</v>
      </c>
      <c r="P2238" t="s">
        <v>368</v>
      </c>
    </row>
    <row r="2239" spans="1:16" ht="15" customHeight="1" x14ac:dyDescent="0.4">
      <c r="A2239" t="s">
        <v>15</v>
      </c>
      <c r="B2239" t="s">
        <v>16</v>
      </c>
      <c r="C2239" s="13">
        <v>43831</v>
      </c>
      <c r="D2239" s="13">
        <v>44196</v>
      </c>
      <c r="E2239" t="s">
        <v>17</v>
      </c>
      <c r="F2239">
        <v>0</v>
      </c>
      <c r="G2239" t="s">
        <v>342</v>
      </c>
      <c r="H2239">
        <v>2</v>
      </c>
      <c r="I2239" t="s">
        <v>343</v>
      </c>
      <c r="J2239">
        <v>791</v>
      </c>
      <c r="K2239" t="s">
        <v>369</v>
      </c>
      <c r="L2239" s="13">
        <v>44196</v>
      </c>
      <c r="M2239" t="s">
        <v>370</v>
      </c>
      <c r="N2239" t="s">
        <v>288</v>
      </c>
      <c r="O2239">
        <v>406.43</v>
      </c>
      <c r="P2239" t="s">
        <v>46</v>
      </c>
    </row>
    <row r="2240" spans="1:16" ht="15" customHeight="1" x14ac:dyDescent="0.4">
      <c r="A2240" t="s">
        <v>15</v>
      </c>
      <c r="B2240" t="s">
        <v>16</v>
      </c>
      <c r="C2240" s="13">
        <v>43831</v>
      </c>
      <c r="D2240" s="13">
        <v>44196</v>
      </c>
      <c r="E2240" t="s">
        <v>17</v>
      </c>
      <c r="F2240">
        <v>0</v>
      </c>
      <c r="G2240" t="s">
        <v>342</v>
      </c>
      <c r="H2240">
        <v>2</v>
      </c>
      <c r="I2240" t="s">
        <v>343</v>
      </c>
      <c r="J2240">
        <v>883</v>
      </c>
      <c r="K2240" t="s">
        <v>371</v>
      </c>
      <c r="L2240" s="13">
        <v>43831</v>
      </c>
      <c r="M2240" t="s">
        <v>1264</v>
      </c>
      <c r="N2240" t="s">
        <v>1265</v>
      </c>
      <c r="O2240">
        <v>156.13999999999999</v>
      </c>
      <c r="P2240" t="s">
        <v>374</v>
      </c>
    </row>
    <row r="2241" spans="1:16" ht="15" customHeight="1" x14ac:dyDescent="0.4">
      <c r="A2241" t="s">
        <v>15</v>
      </c>
      <c r="B2241" t="s">
        <v>16</v>
      </c>
      <c r="C2241" s="13">
        <v>43831</v>
      </c>
      <c r="D2241" s="13">
        <v>44196</v>
      </c>
      <c r="E2241" t="s">
        <v>17</v>
      </c>
      <c r="F2241">
        <v>0</v>
      </c>
      <c r="G2241" t="s">
        <v>342</v>
      </c>
      <c r="H2241">
        <v>2</v>
      </c>
      <c r="I2241" t="s">
        <v>343</v>
      </c>
      <c r="J2241">
        <v>883</v>
      </c>
      <c r="K2241" t="s">
        <v>371</v>
      </c>
      <c r="L2241" s="13">
        <v>44196</v>
      </c>
      <c r="M2241" t="s">
        <v>375</v>
      </c>
      <c r="N2241" t="s">
        <v>376</v>
      </c>
      <c r="O2241">
        <v>-52.04</v>
      </c>
      <c r="P2241" t="s">
        <v>46</v>
      </c>
    </row>
    <row r="2242" spans="1:16" ht="15" customHeight="1" x14ac:dyDescent="0.4">
      <c r="A2242" t="s">
        <v>15</v>
      </c>
      <c r="B2242" t="s">
        <v>16</v>
      </c>
      <c r="C2242" s="13">
        <v>43831</v>
      </c>
      <c r="D2242" s="13">
        <v>44196</v>
      </c>
      <c r="E2242" t="s">
        <v>17</v>
      </c>
      <c r="F2242">
        <v>0</v>
      </c>
      <c r="G2242" t="s">
        <v>342</v>
      </c>
      <c r="H2242">
        <v>2</v>
      </c>
      <c r="I2242" t="s">
        <v>343</v>
      </c>
      <c r="J2242">
        <v>891</v>
      </c>
      <c r="K2242" t="s">
        <v>377</v>
      </c>
      <c r="L2242" s="13">
        <v>44196</v>
      </c>
      <c r="M2242" t="s">
        <v>1266</v>
      </c>
      <c r="N2242" t="s">
        <v>46</v>
      </c>
      <c r="O2242">
        <v>19765.14</v>
      </c>
      <c r="P2242" t="s">
        <v>46</v>
      </c>
    </row>
    <row r="2243" spans="1:16" ht="15" customHeight="1" x14ac:dyDescent="0.4">
      <c r="A2243" t="s">
        <v>15</v>
      </c>
      <c r="B2243" t="s">
        <v>16</v>
      </c>
      <c r="C2243" s="13">
        <v>43831</v>
      </c>
      <c r="D2243" s="13">
        <v>44196</v>
      </c>
      <c r="E2243" t="s">
        <v>30</v>
      </c>
      <c r="F2243">
        <v>0</v>
      </c>
      <c r="G2243" t="s">
        <v>379</v>
      </c>
      <c r="H2243">
        <v>3</v>
      </c>
      <c r="I2243" t="s">
        <v>380</v>
      </c>
      <c r="J2243">
        <v>231</v>
      </c>
      <c r="K2243" t="s">
        <v>381</v>
      </c>
      <c r="L2243" s="13">
        <v>43831</v>
      </c>
      <c r="M2243" t="s">
        <v>1267</v>
      </c>
      <c r="N2243" t="s">
        <v>46</v>
      </c>
      <c r="O2243">
        <v>255.96</v>
      </c>
      <c r="P2243" t="s">
        <v>46</v>
      </c>
    </row>
    <row r="2244" spans="1:16" ht="15" customHeight="1" x14ac:dyDescent="0.4">
      <c r="A2244" t="s">
        <v>15</v>
      </c>
      <c r="B2244" t="s">
        <v>16</v>
      </c>
      <c r="C2244" s="13">
        <v>43831</v>
      </c>
      <c r="D2244" s="13">
        <v>44196</v>
      </c>
      <c r="E2244" t="s">
        <v>17</v>
      </c>
      <c r="F2244">
        <v>0</v>
      </c>
      <c r="G2244" t="s">
        <v>379</v>
      </c>
      <c r="H2244">
        <v>3</v>
      </c>
      <c r="I2244" t="s">
        <v>380</v>
      </c>
      <c r="J2244">
        <v>352</v>
      </c>
      <c r="K2244" t="s">
        <v>389</v>
      </c>
      <c r="L2244" s="13">
        <v>43831</v>
      </c>
      <c r="M2244" t="s">
        <v>1268</v>
      </c>
      <c r="N2244" t="s">
        <v>46</v>
      </c>
      <c r="O2244">
        <v>37.68</v>
      </c>
      <c r="P2244" t="s">
        <v>46</v>
      </c>
    </row>
    <row r="2245" spans="1:16" ht="15" customHeight="1" x14ac:dyDescent="0.4">
      <c r="A2245" t="s">
        <v>15</v>
      </c>
      <c r="B2245" t="s">
        <v>16</v>
      </c>
      <c r="C2245" s="13">
        <v>43831</v>
      </c>
      <c r="D2245" s="13">
        <v>44196</v>
      </c>
      <c r="E2245" t="s">
        <v>17</v>
      </c>
      <c r="F2245">
        <v>0</v>
      </c>
      <c r="G2245" t="s">
        <v>379</v>
      </c>
      <c r="H2245">
        <v>3</v>
      </c>
      <c r="I2245" t="s">
        <v>380</v>
      </c>
      <c r="J2245">
        <v>352</v>
      </c>
      <c r="K2245" t="s">
        <v>389</v>
      </c>
      <c r="L2245" s="13">
        <v>43861</v>
      </c>
      <c r="M2245" t="s">
        <v>1269</v>
      </c>
      <c r="N2245" t="s">
        <v>1270</v>
      </c>
      <c r="O2245">
        <v>5.42</v>
      </c>
      <c r="P2245" t="s">
        <v>392</v>
      </c>
    </row>
    <row r="2246" spans="1:16" ht="15" customHeight="1" x14ac:dyDescent="0.4">
      <c r="A2246" t="s">
        <v>15</v>
      </c>
      <c r="B2246" t="s">
        <v>16</v>
      </c>
      <c r="C2246" s="13">
        <v>43831</v>
      </c>
      <c r="D2246" s="13">
        <v>44196</v>
      </c>
      <c r="E2246" t="s">
        <v>17</v>
      </c>
      <c r="F2246">
        <v>0</v>
      </c>
      <c r="G2246" t="s">
        <v>379</v>
      </c>
      <c r="H2246">
        <v>3</v>
      </c>
      <c r="I2246" t="s">
        <v>380</v>
      </c>
      <c r="J2246">
        <v>352</v>
      </c>
      <c r="K2246" t="s">
        <v>389</v>
      </c>
      <c r="L2246" s="13">
        <v>43894</v>
      </c>
      <c r="M2246" t="s">
        <v>1271</v>
      </c>
      <c r="N2246" t="s">
        <v>1272</v>
      </c>
      <c r="O2246">
        <v>1.1499999999999999</v>
      </c>
      <c r="P2246" t="s">
        <v>392</v>
      </c>
    </row>
    <row r="2247" spans="1:16" ht="15" customHeight="1" x14ac:dyDescent="0.4">
      <c r="A2247" t="s">
        <v>15</v>
      </c>
      <c r="B2247" t="s">
        <v>16</v>
      </c>
      <c r="C2247" s="13">
        <v>43831</v>
      </c>
      <c r="D2247" s="13">
        <v>44196</v>
      </c>
      <c r="E2247" t="s">
        <v>17</v>
      </c>
      <c r="F2247">
        <v>0</v>
      </c>
      <c r="G2247" t="s">
        <v>379</v>
      </c>
      <c r="H2247">
        <v>3</v>
      </c>
      <c r="I2247" t="s">
        <v>380</v>
      </c>
      <c r="J2247">
        <v>352</v>
      </c>
      <c r="K2247" t="s">
        <v>389</v>
      </c>
      <c r="L2247" s="13">
        <v>43910</v>
      </c>
      <c r="M2247" t="s">
        <v>1273</v>
      </c>
      <c r="N2247" t="s">
        <v>1274</v>
      </c>
      <c r="O2247">
        <v>50.6</v>
      </c>
      <c r="P2247" t="s">
        <v>392</v>
      </c>
    </row>
    <row r="2248" spans="1:16" ht="15" customHeight="1" x14ac:dyDescent="0.4">
      <c r="A2248" t="s">
        <v>15</v>
      </c>
      <c r="B2248" t="s">
        <v>16</v>
      </c>
      <c r="C2248" s="13">
        <v>43831</v>
      </c>
      <c r="D2248" s="13">
        <v>44196</v>
      </c>
      <c r="E2248" t="s">
        <v>17</v>
      </c>
      <c r="F2248">
        <v>0</v>
      </c>
      <c r="G2248" t="s">
        <v>379</v>
      </c>
      <c r="H2248">
        <v>3</v>
      </c>
      <c r="I2248" t="s">
        <v>380</v>
      </c>
      <c r="J2248">
        <v>352</v>
      </c>
      <c r="K2248" t="s">
        <v>389</v>
      </c>
      <c r="L2248" s="13">
        <v>43921</v>
      </c>
      <c r="M2248" t="s">
        <v>1275</v>
      </c>
      <c r="N2248" t="s">
        <v>1276</v>
      </c>
      <c r="O2248">
        <v>5.45</v>
      </c>
      <c r="P2248" t="s">
        <v>407</v>
      </c>
    </row>
    <row r="2249" spans="1:16" ht="15" customHeight="1" x14ac:dyDescent="0.4">
      <c r="A2249" t="s">
        <v>15</v>
      </c>
      <c r="B2249" t="s">
        <v>16</v>
      </c>
      <c r="C2249" s="13">
        <v>43831</v>
      </c>
      <c r="D2249" s="13">
        <v>44196</v>
      </c>
      <c r="E2249" t="s">
        <v>17</v>
      </c>
      <c r="F2249">
        <v>0</v>
      </c>
      <c r="G2249" t="s">
        <v>379</v>
      </c>
      <c r="H2249">
        <v>3</v>
      </c>
      <c r="I2249" t="s">
        <v>380</v>
      </c>
      <c r="J2249">
        <v>352</v>
      </c>
      <c r="K2249" t="s">
        <v>389</v>
      </c>
      <c r="L2249" s="13">
        <v>43922</v>
      </c>
      <c r="M2249" t="s">
        <v>1277</v>
      </c>
      <c r="N2249" t="s">
        <v>1278</v>
      </c>
      <c r="O2249">
        <v>19.440000000000001</v>
      </c>
      <c r="P2249" t="s">
        <v>392</v>
      </c>
    </row>
    <row r="2250" spans="1:16" ht="15" customHeight="1" x14ac:dyDescent="0.4">
      <c r="A2250" t="s">
        <v>15</v>
      </c>
      <c r="B2250" t="s">
        <v>16</v>
      </c>
      <c r="C2250" s="13">
        <v>43831</v>
      </c>
      <c r="D2250" s="13">
        <v>44196</v>
      </c>
      <c r="E2250" t="s">
        <v>17</v>
      </c>
      <c r="F2250">
        <v>0</v>
      </c>
      <c r="G2250" t="s">
        <v>379</v>
      </c>
      <c r="H2250">
        <v>3</v>
      </c>
      <c r="I2250" t="s">
        <v>380</v>
      </c>
      <c r="J2250">
        <v>352</v>
      </c>
      <c r="K2250" t="s">
        <v>389</v>
      </c>
      <c r="L2250" s="13">
        <v>43963</v>
      </c>
      <c r="M2250" t="s">
        <v>1279</v>
      </c>
      <c r="N2250" t="s">
        <v>1280</v>
      </c>
      <c r="O2250">
        <v>19.440000000000001</v>
      </c>
      <c r="P2250" t="s">
        <v>392</v>
      </c>
    </row>
    <row r="2251" spans="1:16" ht="15" customHeight="1" x14ac:dyDescent="0.4">
      <c r="A2251" t="s">
        <v>15</v>
      </c>
      <c r="B2251" t="s">
        <v>16</v>
      </c>
      <c r="C2251" s="13">
        <v>43831</v>
      </c>
      <c r="D2251" s="13">
        <v>44196</v>
      </c>
      <c r="E2251" t="s">
        <v>17</v>
      </c>
      <c r="F2251">
        <v>0</v>
      </c>
      <c r="G2251" t="s">
        <v>379</v>
      </c>
      <c r="H2251">
        <v>3</v>
      </c>
      <c r="I2251" t="s">
        <v>380</v>
      </c>
      <c r="J2251">
        <v>352</v>
      </c>
      <c r="K2251" t="s">
        <v>389</v>
      </c>
      <c r="L2251" s="13">
        <v>43984</v>
      </c>
      <c r="M2251" t="s">
        <v>1281</v>
      </c>
      <c r="N2251" t="s">
        <v>1282</v>
      </c>
      <c r="O2251">
        <v>5.2</v>
      </c>
      <c r="P2251" t="s">
        <v>392</v>
      </c>
    </row>
    <row r="2252" spans="1:16" ht="15" customHeight="1" x14ac:dyDescent="0.4">
      <c r="A2252" t="s">
        <v>15</v>
      </c>
      <c r="B2252" t="s">
        <v>16</v>
      </c>
      <c r="C2252" s="13">
        <v>43831</v>
      </c>
      <c r="D2252" s="13">
        <v>44196</v>
      </c>
      <c r="E2252" t="s">
        <v>17</v>
      </c>
      <c r="F2252">
        <v>0</v>
      </c>
      <c r="G2252" t="s">
        <v>379</v>
      </c>
      <c r="H2252">
        <v>3</v>
      </c>
      <c r="I2252" t="s">
        <v>380</v>
      </c>
      <c r="J2252">
        <v>352</v>
      </c>
      <c r="K2252" t="s">
        <v>389</v>
      </c>
      <c r="L2252" s="13">
        <v>44006</v>
      </c>
      <c r="M2252" t="s">
        <v>1283</v>
      </c>
      <c r="N2252" t="s">
        <v>1284</v>
      </c>
      <c r="O2252">
        <v>37.35</v>
      </c>
      <c r="P2252" t="s">
        <v>392</v>
      </c>
    </row>
    <row r="2253" spans="1:16" ht="15" customHeight="1" x14ac:dyDescent="0.4">
      <c r="A2253" t="s">
        <v>15</v>
      </c>
      <c r="B2253" t="s">
        <v>16</v>
      </c>
      <c r="C2253" s="13">
        <v>43831</v>
      </c>
      <c r="D2253" s="13">
        <v>44196</v>
      </c>
      <c r="E2253" t="s">
        <v>17</v>
      </c>
      <c r="F2253">
        <v>0</v>
      </c>
      <c r="G2253" t="s">
        <v>379</v>
      </c>
      <c r="H2253">
        <v>3</v>
      </c>
      <c r="I2253" t="s">
        <v>380</v>
      </c>
      <c r="J2253">
        <v>352</v>
      </c>
      <c r="K2253" t="s">
        <v>389</v>
      </c>
      <c r="L2253" s="13">
        <v>44012</v>
      </c>
      <c r="M2253" t="s">
        <v>1285</v>
      </c>
      <c r="N2253" t="s">
        <v>1286</v>
      </c>
      <c r="O2253">
        <v>16</v>
      </c>
      <c r="P2253" t="s">
        <v>407</v>
      </c>
    </row>
    <row r="2254" spans="1:16" ht="15" customHeight="1" x14ac:dyDescent="0.4">
      <c r="A2254" t="s">
        <v>15</v>
      </c>
      <c r="B2254" t="s">
        <v>16</v>
      </c>
      <c r="C2254" s="13">
        <v>43831</v>
      </c>
      <c r="D2254" s="13">
        <v>44196</v>
      </c>
      <c r="E2254" t="s">
        <v>17</v>
      </c>
      <c r="F2254">
        <v>0</v>
      </c>
      <c r="G2254" t="s">
        <v>379</v>
      </c>
      <c r="H2254">
        <v>3</v>
      </c>
      <c r="I2254" t="s">
        <v>380</v>
      </c>
      <c r="J2254">
        <v>352</v>
      </c>
      <c r="K2254" t="s">
        <v>389</v>
      </c>
      <c r="L2254" s="13">
        <v>44015</v>
      </c>
      <c r="M2254" t="s">
        <v>1287</v>
      </c>
      <c r="N2254" t="s">
        <v>1288</v>
      </c>
      <c r="O2254">
        <v>4.6100000000000003</v>
      </c>
      <c r="P2254" t="s">
        <v>392</v>
      </c>
    </row>
    <row r="2255" spans="1:16" ht="15" customHeight="1" x14ac:dyDescent="0.4">
      <c r="A2255" t="s">
        <v>15</v>
      </c>
      <c r="B2255" t="s">
        <v>16</v>
      </c>
      <c r="C2255" s="13">
        <v>43831</v>
      </c>
      <c r="D2255" s="13">
        <v>44196</v>
      </c>
      <c r="E2255" t="s">
        <v>17</v>
      </c>
      <c r="F2255">
        <v>0</v>
      </c>
      <c r="G2255" t="s">
        <v>379</v>
      </c>
      <c r="H2255">
        <v>3</v>
      </c>
      <c r="I2255" t="s">
        <v>380</v>
      </c>
      <c r="J2255">
        <v>352</v>
      </c>
      <c r="K2255" t="s">
        <v>389</v>
      </c>
      <c r="L2255" s="13">
        <v>44048</v>
      </c>
      <c r="M2255" t="s">
        <v>1289</v>
      </c>
      <c r="N2255" t="s">
        <v>1290</v>
      </c>
      <c r="O2255">
        <v>1.1599999999999999</v>
      </c>
      <c r="P2255" t="s">
        <v>392</v>
      </c>
    </row>
    <row r="2256" spans="1:16" ht="15" customHeight="1" x14ac:dyDescent="0.4">
      <c r="A2256" t="s">
        <v>15</v>
      </c>
      <c r="B2256" t="s">
        <v>16</v>
      </c>
      <c r="C2256" s="13">
        <v>43831</v>
      </c>
      <c r="D2256" s="13">
        <v>44196</v>
      </c>
      <c r="E2256" t="s">
        <v>17</v>
      </c>
      <c r="F2256">
        <v>0</v>
      </c>
      <c r="G2256" t="s">
        <v>379</v>
      </c>
      <c r="H2256">
        <v>3</v>
      </c>
      <c r="I2256" t="s">
        <v>380</v>
      </c>
      <c r="J2256">
        <v>352</v>
      </c>
      <c r="K2256" t="s">
        <v>389</v>
      </c>
      <c r="L2256" s="13">
        <v>44048</v>
      </c>
      <c r="M2256" t="s">
        <v>1291</v>
      </c>
      <c r="N2256" t="s">
        <v>46</v>
      </c>
      <c r="O2256">
        <v>0.57999999999999996</v>
      </c>
      <c r="P2256" t="s">
        <v>46</v>
      </c>
    </row>
    <row r="2257" spans="1:16" ht="15" customHeight="1" x14ac:dyDescent="0.4">
      <c r="A2257" t="s">
        <v>15</v>
      </c>
      <c r="B2257" t="s">
        <v>16</v>
      </c>
      <c r="C2257" s="13">
        <v>43831</v>
      </c>
      <c r="D2257" s="13">
        <v>44196</v>
      </c>
      <c r="E2257" t="s">
        <v>17</v>
      </c>
      <c r="F2257">
        <v>0</v>
      </c>
      <c r="G2257" t="s">
        <v>379</v>
      </c>
      <c r="H2257">
        <v>3</v>
      </c>
      <c r="I2257" t="s">
        <v>380</v>
      </c>
      <c r="J2257">
        <v>352</v>
      </c>
      <c r="K2257" t="s">
        <v>389</v>
      </c>
      <c r="L2257" s="13">
        <v>44076</v>
      </c>
      <c r="M2257" t="s">
        <v>1294</v>
      </c>
      <c r="N2257" t="s">
        <v>46</v>
      </c>
      <c r="O2257">
        <v>0.85</v>
      </c>
      <c r="P2257" t="s">
        <v>46</v>
      </c>
    </row>
    <row r="2258" spans="1:16" ht="15" customHeight="1" x14ac:dyDescent="0.4">
      <c r="A2258" t="s">
        <v>15</v>
      </c>
      <c r="B2258" t="s">
        <v>16</v>
      </c>
      <c r="C2258" s="13">
        <v>43831</v>
      </c>
      <c r="D2258" s="13">
        <v>44196</v>
      </c>
      <c r="E2258" t="s">
        <v>17</v>
      </c>
      <c r="F2258">
        <v>0</v>
      </c>
      <c r="G2258" t="s">
        <v>379</v>
      </c>
      <c r="H2258">
        <v>3</v>
      </c>
      <c r="I2258" t="s">
        <v>380</v>
      </c>
      <c r="J2258">
        <v>352</v>
      </c>
      <c r="K2258" t="s">
        <v>389</v>
      </c>
      <c r="L2258" s="13">
        <v>44076</v>
      </c>
      <c r="M2258" t="s">
        <v>1292</v>
      </c>
      <c r="N2258" t="s">
        <v>1293</v>
      </c>
      <c r="O2258">
        <v>3.4</v>
      </c>
      <c r="P2258" t="s">
        <v>392</v>
      </c>
    </row>
    <row r="2259" spans="1:16" ht="15" customHeight="1" x14ac:dyDescent="0.4">
      <c r="A2259" t="s">
        <v>15</v>
      </c>
      <c r="B2259" t="s">
        <v>16</v>
      </c>
      <c r="C2259" s="13">
        <v>43831</v>
      </c>
      <c r="D2259" s="13">
        <v>44196</v>
      </c>
      <c r="E2259" t="s">
        <v>17</v>
      </c>
      <c r="F2259">
        <v>0</v>
      </c>
      <c r="G2259" t="s">
        <v>379</v>
      </c>
      <c r="H2259">
        <v>3</v>
      </c>
      <c r="I2259" t="s">
        <v>380</v>
      </c>
      <c r="J2259">
        <v>352</v>
      </c>
      <c r="K2259" t="s">
        <v>389</v>
      </c>
      <c r="L2259" s="13">
        <v>44104</v>
      </c>
      <c r="M2259" t="s">
        <v>1299</v>
      </c>
      <c r="N2259" t="s">
        <v>1300</v>
      </c>
      <c r="O2259">
        <v>47.8</v>
      </c>
      <c r="P2259" t="s">
        <v>392</v>
      </c>
    </row>
    <row r="2260" spans="1:16" ht="15" customHeight="1" x14ac:dyDescent="0.4">
      <c r="A2260" t="s">
        <v>15</v>
      </c>
      <c r="B2260" t="s">
        <v>16</v>
      </c>
      <c r="C2260" s="13">
        <v>43831</v>
      </c>
      <c r="D2260" s="13">
        <v>44196</v>
      </c>
      <c r="E2260" t="s">
        <v>17</v>
      </c>
      <c r="F2260">
        <v>0</v>
      </c>
      <c r="G2260" t="s">
        <v>379</v>
      </c>
      <c r="H2260">
        <v>3</v>
      </c>
      <c r="I2260" t="s">
        <v>380</v>
      </c>
      <c r="J2260">
        <v>352</v>
      </c>
      <c r="K2260" t="s">
        <v>389</v>
      </c>
      <c r="L2260" s="13">
        <v>44104</v>
      </c>
      <c r="M2260" t="s">
        <v>1297</v>
      </c>
      <c r="N2260" t="s">
        <v>1298</v>
      </c>
      <c r="O2260">
        <v>247.12</v>
      </c>
      <c r="P2260" t="s">
        <v>392</v>
      </c>
    </row>
    <row r="2261" spans="1:16" ht="15" customHeight="1" x14ac:dyDescent="0.4">
      <c r="A2261" t="s">
        <v>15</v>
      </c>
      <c r="B2261" t="s">
        <v>16</v>
      </c>
      <c r="C2261" s="13">
        <v>43831</v>
      </c>
      <c r="D2261" s="13">
        <v>44196</v>
      </c>
      <c r="E2261" t="s">
        <v>17</v>
      </c>
      <c r="F2261">
        <v>0</v>
      </c>
      <c r="G2261" t="s">
        <v>379</v>
      </c>
      <c r="H2261">
        <v>3</v>
      </c>
      <c r="I2261" t="s">
        <v>380</v>
      </c>
      <c r="J2261">
        <v>352</v>
      </c>
      <c r="K2261" t="s">
        <v>389</v>
      </c>
      <c r="L2261" s="13">
        <v>44104</v>
      </c>
      <c r="M2261" t="s">
        <v>1295</v>
      </c>
      <c r="N2261" t="s">
        <v>1296</v>
      </c>
      <c r="O2261">
        <v>22.24</v>
      </c>
      <c r="P2261" t="s">
        <v>407</v>
      </c>
    </row>
    <row r="2262" spans="1:16" ht="15" customHeight="1" x14ac:dyDescent="0.4">
      <c r="A2262" t="s">
        <v>15</v>
      </c>
      <c r="B2262" t="s">
        <v>16</v>
      </c>
      <c r="C2262" s="13">
        <v>43831</v>
      </c>
      <c r="D2262" s="13">
        <v>44196</v>
      </c>
      <c r="E2262" t="s">
        <v>17</v>
      </c>
      <c r="F2262">
        <v>0</v>
      </c>
      <c r="G2262" t="s">
        <v>379</v>
      </c>
      <c r="H2262">
        <v>3</v>
      </c>
      <c r="I2262" t="s">
        <v>380</v>
      </c>
      <c r="J2262">
        <v>352</v>
      </c>
      <c r="K2262" t="s">
        <v>389</v>
      </c>
      <c r="L2262" s="13">
        <v>44106</v>
      </c>
      <c r="M2262" t="s">
        <v>1301</v>
      </c>
      <c r="N2262" t="s">
        <v>1302</v>
      </c>
      <c r="O2262">
        <v>0.6</v>
      </c>
      <c r="P2262" t="s">
        <v>392</v>
      </c>
    </row>
    <row r="2263" spans="1:16" ht="15" customHeight="1" x14ac:dyDescent="0.4">
      <c r="A2263" t="s">
        <v>15</v>
      </c>
      <c r="B2263" t="s">
        <v>16</v>
      </c>
      <c r="C2263" s="13">
        <v>43831</v>
      </c>
      <c r="D2263" s="13">
        <v>44196</v>
      </c>
      <c r="E2263" t="s">
        <v>17</v>
      </c>
      <c r="F2263">
        <v>0</v>
      </c>
      <c r="G2263" t="s">
        <v>379</v>
      </c>
      <c r="H2263">
        <v>3</v>
      </c>
      <c r="I2263" t="s">
        <v>380</v>
      </c>
      <c r="J2263">
        <v>352</v>
      </c>
      <c r="K2263" t="s">
        <v>389</v>
      </c>
      <c r="L2263" s="13">
        <v>44148</v>
      </c>
      <c r="M2263" t="s">
        <v>1303</v>
      </c>
      <c r="N2263" t="s">
        <v>1304</v>
      </c>
      <c r="O2263">
        <v>433.62</v>
      </c>
      <c r="P2263" t="s">
        <v>392</v>
      </c>
    </row>
    <row r="2264" spans="1:16" ht="15" customHeight="1" x14ac:dyDescent="0.4">
      <c r="A2264" t="s">
        <v>15</v>
      </c>
      <c r="B2264" t="s">
        <v>16</v>
      </c>
      <c r="C2264" s="13">
        <v>43831</v>
      </c>
      <c r="D2264" s="13">
        <v>44196</v>
      </c>
      <c r="E2264" t="s">
        <v>17</v>
      </c>
      <c r="F2264">
        <v>0</v>
      </c>
      <c r="G2264" t="s">
        <v>379</v>
      </c>
      <c r="H2264">
        <v>3</v>
      </c>
      <c r="I2264" t="s">
        <v>380</v>
      </c>
      <c r="J2264">
        <v>352</v>
      </c>
      <c r="K2264" t="s">
        <v>389</v>
      </c>
      <c r="L2264" s="13">
        <v>44187</v>
      </c>
      <c r="M2264" t="s">
        <v>1305</v>
      </c>
      <c r="N2264" t="s">
        <v>1306</v>
      </c>
      <c r="O2264">
        <v>42</v>
      </c>
      <c r="P2264" t="s">
        <v>392</v>
      </c>
    </row>
    <row r="2265" spans="1:16" ht="15" customHeight="1" x14ac:dyDescent="0.4">
      <c r="A2265" t="s">
        <v>15</v>
      </c>
      <c r="B2265" t="s">
        <v>16</v>
      </c>
      <c r="C2265" s="13">
        <v>43831</v>
      </c>
      <c r="D2265" s="13">
        <v>44196</v>
      </c>
      <c r="E2265" t="s">
        <v>17</v>
      </c>
      <c r="F2265">
        <v>0</v>
      </c>
      <c r="G2265" t="s">
        <v>379</v>
      </c>
      <c r="H2265">
        <v>3</v>
      </c>
      <c r="I2265" t="s">
        <v>380</v>
      </c>
      <c r="J2265">
        <v>352</v>
      </c>
      <c r="K2265" t="s">
        <v>389</v>
      </c>
      <c r="L2265" s="13">
        <v>44196</v>
      </c>
      <c r="M2265" t="s">
        <v>1307</v>
      </c>
      <c r="N2265" t="s">
        <v>1308</v>
      </c>
      <c r="O2265">
        <v>17.059999999999999</v>
      </c>
      <c r="P2265" t="s">
        <v>407</v>
      </c>
    </row>
    <row r="2266" spans="1:16" ht="15" customHeight="1" x14ac:dyDescent="0.4">
      <c r="A2266" t="s">
        <v>15</v>
      </c>
      <c r="B2266" t="s">
        <v>16</v>
      </c>
      <c r="C2266" s="13">
        <v>43831</v>
      </c>
      <c r="D2266" s="13">
        <v>44196</v>
      </c>
      <c r="E2266" t="s">
        <v>30</v>
      </c>
      <c r="F2266">
        <v>0</v>
      </c>
      <c r="G2266" t="s">
        <v>420</v>
      </c>
      <c r="H2266">
        <v>4</v>
      </c>
      <c r="I2266" t="s">
        <v>421</v>
      </c>
      <c r="J2266">
        <v>116</v>
      </c>
      <c r="K2266" t="s">
        <v>469</v>
      </c>
      <c r="L2266" s="13">
        <v>43942</v>
      </c>
      <c r="M2266" t="s">
        <v>1309</v>
      </c>
      <c r="N2266" t="s">
        <v>1310</v>
      </c>
      <c r="O2266">
        <v>223.19</v>
      </c>
      <c r="P2266" t="s">
        <v>472</v>
      </c>
    </row>
    <row r="2267" spans="1:16" ht="15" customHeight="1" x14ac:dyDescent="0.4">
      <c r="A2267" t="s">
        <v>15</v>
      </c>
      <c r="B2267" t="s">
        <v>16</v>
      </c>
      <c r="C2267" s="13">
        <v>43831</v>
      </c>
      <c r="D2267" s="13">
        <v>44196</v>
      </c>
      <c r="E2267" t="s">
        <v>17</v>
      </c>
      <c r="F2267">
        <v>0</v>
      </c>
      <c r="G2267" t="s">
        <v>420</v>
      </c>
      <c r="H2267">
        <v>4</v>
      </c>
      <c r="I2267" t="s">
        <v>421</v>
      </c>
      <c r="J2267">
        <v>269</v>
      </c>
      <c r="K2267" t="s">
        <v>431</v>
      </c>
      <c r="L2267" s="13">
        <v>44196</v>
      </c>
      <c r="M2267" t="s">
        <v>1059</v>
      </c>
      <c r="N2267" t="s">
        <v>46</v>
      </c>
      <c r="O2267">
        <v>1656.27</v>
      </c>
      <c r="P2267" t="s">
        <v>46</v>
      </c>
    </row>
    <row r="2268" spans="1:16" ht="15" customHeight="1" x14ac:dyDescent="0.4">
      <c r="A2268" t="s">
        <v>15</v>
      </c>
      <c r="B2268" t="s">
        <v>16</v>
      </c>
      <c r="C2268" s="13">
        <v>43831</v>
      </c>
      <c r="D2268" s="13">
        <v>44196</v>
      </c>
      <c r="E2268" t="s">
        <v>17</v>
      </c>
      <c r="F2268">
        <v>0</v>
      </c>
      <c r="G2268" t="s">
        <v>420</v>
      </c>
      <c r="H2268">
        <v>4</v>
      </c>
      <c r="I2268" t="s">
        <v>421</v>
      </c>
      <c r="J2268">
        <v>281</v>
      </c>
      <c r="K2268" t="s">
        <v>433</v>
      </c>
      <c r="L2268" s="13">
        <v>44196</v>
      </c>
      <c r="M2268" t="s">
        <v>1311</v>
      </c>
      <c r="N2268" t="s">
        <v>46</v>
      </c>
      <c r="O2268">
        <v>88.98</v>
      </c>
      <c r="P2268" t="s">
        <v>46</v>
      </c>
    </row>
    <row r="2269" spans="1:16" ht="15" customHeight="1" x14ac:dyDescent="0.4">
      <c r="A2269" t="s">
        <v>15</v>
      </c>
      <c r="B2269" t="s">
        <v>16</v>
      </c>
      <c r="C2269" s="13">
        <v>43831</v>
      </c>
      <c r="D2269" s="13">
        <v>44196</v>
      </c>
      <c r="E2269" t="s">
        <v>17</v>
      </c>
      <c r="F2269">
        <v>0</v>
      </c>
      <c r="G2269" t="s">
        <v>420</v>
      </c>
      <c r="H2269">
        <v>4</v>
      </c>
      <c r="I2269" t="s">
        <v>421</v>
      </c>
      <c r="J2269">
        <v>401</v>
      </c>
      <c r="K2269" t="s">
        <v>435</v>
      </c>
      <c r="L2269" s="13">
        <v>43831</v>
      </c>
      <c r="M2269" t="s">
        <v>435</v>
      </c>
      <c r="N2269" t="s">
        <v>46</v>
      </c>
      <c r="O2269">
        <v>3129</v>
      </c>
      <c r="P2269" t="s">
        <v>46</v>
      </c>
    </row>
    <row r="2270" spans="1:16" ht="15" customHeight="1" x14ac:dyDescent="0.4">
      <c r="A2270" t="s">
        <v>15</v>
      </c>
      <c r="B2270" t="s">
        <v>16</v>
      </c>
      <c r="C2270" s="13">
        <v>43831</v>
      </c>
      <c r="D2270" s="13">
        <v>44196</v>
      </c>
      <c r="E2270" t="s">
        <v>17</v>
      </c>
      <c r="F2270">
        <v>0</v>
      </c>
      <c r="G2270" t="s">
        <v>420</v>
      </c>
      <c r="H2270">
        <v>4</v>
      </c>
      <c r="I2270" t="s">
        <v>421</v>
      </c>
      <c r="J2270">
        <v>401</v>
      </c>
      <c r="K2270" t="s">
        <v>435</v>
      </c>
      <c r="L2270" s="13">
        <v>43921</v>
      </c>
      <c r="M2270" t="s">
        <v>435</v>
      </c>
      <c r="N2270" t="s">
        <v>46</v>
      </c>
      <c r="O2270">
        <v>3129</v>
      </c>
      <c r="P2270" t="s">
        <v>46</v>
      </c>
    </row>
    <row r="2271" spans="1:16" ht="15" customHeight="1" x14ac:dyDescent="0.4">
      <c r="A2271" t="s">
        <v>15</v>
      </c>
      <c r="B2271" t="s">
        <v>16</v>
      </c>
      <c r="C2271" s="13">
        <v>43831</v>
      </c>
      <c r="D2271" s="13">
        <v>44196</v>
      </c>
      <c r="E2271" t="s">
        <v>17</v>
      </c>
      <c r="F2271">
        <v>0</v>
      </c>
      <c r="G2271" t="s">
        <v>420</v>
      </c>
      <c r="H2271">
        <v>4</v>
      </c>
      <c r="I2271" t="s">
        <v>421</v>
      </c>
      <c r="J2271">
        <v>401</v>
      </c>
      <c r="K2271" t="s">
        <v>435</v>
      </c>
      <c r="L2271" s="13">
        <v>44012</v>
      </c>
      <c r="M2271" t="s">
        <v>435</v>
      </c>
      <c r="N2271" t="s">
        <v>46</v>
      </c>
      <c r="O2271">
        <v>3129</v>
      </c>
      <c r="P2271" t="s">
        <v>46</v>
      </c>
    </row>
    <row r="2272" spans="1:16" ht="15" customHeight="1" x14ac:dyDescent="0.4">
      <c r="A2272" t="s">
        <v>15</v>
      </c>
      <c r="B2272" t="s">
        <v>16</v>
      </c>
      <c r="C2272" s="13">
        <v>43831</v>
      </c>
      <c r="D2272" s="13">
        <v>44196</v>
      </c>
      <c r="E2272" t="s">
        <v>17</v>
      </c>
      <c r="F2272">
        <v>0</v>
      </c>
      <c r="G2272" t="s">
        <v>420</v>
      </c>
      <c r="H2272">
        <v>4</v>
      </c>
      <c r="I2272" t="s">
        <v>421</v>
      </c>
      <c r="J2272">
        <v>401</v>
      </c>
      <c r="K2272" t="s">
        <v>435</v>
      </c>
      <c r="L2272" s="13">
        <v>44104</v>
      </c>
      <c r="M2272" t="s">
        <v>435</v>
      </c>
      <c r="N2272" t="s">
        <v>46</v>
      </c>
      <c r="O2272">
        <v>3129</v>
      </c>
      <c r="P2272" t="s">
        <v>46</v>
      </c>
    </row>
    <row r="2273" spans="1:16" ht="15" customHeight="1" x14ac:dyDescent="0.4">
      <c r="A2273" t="s">
        <v>15</v>
      </c>
      <c r="B2273" t="s">
        <v>16</v>
      </c>
      <c r="C2273" s="13">
        <v>43831</v>
      </c>
      <c r="D2273" s="13">
        <v>44196</v>
      </c>
      <c r="E2273" t="s">
        <v>17</v>
      </c>
      <c r="F2273">
        <v>0</v>
      </c>
      <c r="G2273" t="s">
        <v>420</v>
      </c>
      <c r="H2273">
        <v>4</v>
      </c>
      <c r="I2273" t="s">
        <v>421</v>
      </c>
      <c r="J2273">
        <v>481</v>
      </c>
      <c r="K2273" t="s">
        <v>443</v>
      </c>
      <c r="L2273" s="13">
        <v>44067</v>
      </c>
      <c r="M2273" t="s">
        <v>1312</v>
      </c>
      <c r="N2273" t="s">
        <v>1313</v>
      </c>
      <c r="O2273">
        <v>1405</v>
      </c>
      <c r="P2273" t="s">
        <v>446</v>
      </c>
    </row>
    <row r="2274" spans="1:16" ht="15" customHeight="1" x14ac:dyDescent="0.4">
      <c r="A2274" t="s">
        <v>15</v>
      </c>
      <c r="B2274" t="s">
        <v>16</v>
      </c>
      <c r="C2274" s="13">
        <v>43831</v>
      </c>
      <c r="D2274" s="13">
        <v>44196</v>
      </c>
      <c r="E2274" t="s">
        <v>17</v>
      </c>
      <c r="F2274">
        <v>0</v>
      </c>
      <c r="G2274" t="s">
        <v>420</v>
      </c>
      <c r="H2274">
        <v>4</v>
      </c>
      <c r="I2274" t="s">
        <v>421</v>
      </c>
      <c r="J2274">
        <v>482</v>
      </c>
      <c r="K2274" t="s">
        <v>447</v>
      </c>
      <c r="L2274" s="13">
        <v>44123</v>
      </c>
      <c r="M2274" t="s">
        <v>1314</v>
      </c>
      <c r="N2274" t="s">
        <v>1315</v>
      </c>
      <c r="O2274">
        <v>1320</v>
      </c>
      <c r="P2274" t="s">
        <v>446</v>
      </c>
    </row>
    <row r="2275" spans="1:16" ht="15" customHeight="1" x14ac:dyDescent="0.4">
      <c r="A2275" t="s">
        <v>15</v>
      </c>
      <c r="B2275" t="s">
        <v>16</v>
      </c>
      <c r="C2275" s="13">
        <v>43831</v>
      </c>
      <c r="D2275" s="13">
        <v>44196</v>
      </c>
      <c r="E2275" t="s">
        <v>17</v>
      </c>
      <c r="F2275">
        <v>0</v>
      </c>
      <c r="G2275" t="s">
        <v>420</v>
      </c>
      <c r="H2275">
        <v>4</v>
      </c>
      <c r="I2275" t="s">
        <v>421</v>
      </c>
      <c r="J2275">
        <v>702</v>
      </c>
      <c r="K2275" t="s">
        <v>275</v>
      </c>
      <c r="L2275" s="13">
        <v>44196</v>
      </c>
      <c r="M2275" t="s">
        <v>1316</v>
      </c>
      <c r="N2275" t="s">
        <v>46</v>
      </c>
      <c r="O2275">
        <v>20.100000000000001</v>
      </c>
      <c r="P2275" t="s">
        <v>46</v>
      </c>
    </row>
    <row r="2276" spans="1:16" ht="15" customHeight="1" x14ac:dyDescent="0.4">
      <c r="A2276" t="s">
        <v>15</v>
      </c>
      <c r="B2276" t="s">
        <v>16</v>
      </c>
      <c r="C2276" s="13">
        <v>43831</v>
      </c>
      <c r="D2276" s="13">
        <v>44196</v>
      </c>
      <c r="E2276" t="s">
        <v>17</v>
      </c>
      <c r="F2276">
        <v>0</v>
      </c>
      <c r="G2276" t="s">
        <v>420</v>
      </c>
      <c r="H2276">
        <v>4</v>
      </c>
      <c r="I2276" t="s">
        <v>421</v>
      </c>
      <c r="J2276">
        <v>857</v>
      </c>
      <c r="K2276" t="s">
        <v>451</v>
      </c>
      <c r="L2276" s="13">
        <v>43950</v>
      </c>
      <c r="M2276" t="s">
        <v>932</v>
      </c>
      <c r="N2276" t="s">
        <v>46</v>
      </c>
      <c r="O2276">
        <v>372</v>
      </c>
      <c r="P2276" t="s">
        <v>46</v>
      </c>
    </row>
    <row r="2277" spans="1:16" ht="15" customHeight="1" x14ac:dyDescent="0.4">
      <c r="A2277" t="s">
        <v>15</v>
      </c>
      <c r="B2277" t="s">
        <v>16</v>
      </c>
      <c r="C2277" s="13">
        <v>43831</v>
      </c>
      <c r="D2277" s="13">
        <v>44196</v>
      </c>
      <c r="E2277" t="s">
        <v>17</v>
      </c>
      <c r="F2277">
        <v>0</v>
      </c>
      <c r="G2277" t="s">
        <v>420</v>
      </c>
      <c r="H2277">
        <v>4</v>
      </c>
      <c r="I2277" t="s">
        <v>421</v>
      </c>
      <c r="J2277">
        <v>857</v>
      </c>
      <c r="K2277" t="s">
        <v>451</v>
      </c>
      <c r="L2277" s="13">
        <v>43982</v>
      </c>
      <c r="M2277" t="s">
        <v>932</v>
      </c>
      <c r="N2277" t="s">
        <v>46</v>
      </c>
      <c r="O2277">
        <v>59.2</v>
      </c>
      <c r="P2277" t="s">
        <v>46</v>
      </c>
    </row>
    <row r="2278" spans="1:16" ht="15" customHeight="1" x14ac:dyDescent="0.4">
      <c r="A2278" t="s">
        <v>15</v>
      </c>
      <c r="B2278" t="s">
        <v>16</v>
      </c>
      <c r="C2278" s="13">
        <v>43831</v>
      </c>
      <c r="D2278" s="13">
        <v>44196</v>
      </c>
      <c r="E2278" t="s">
        <v>17</v>
      </c>
      <c r="F2278">
        <v>0</v>
      </c>
      <c r="G2278" t="s">
        <v>420</v>
      </c>
      <c r="H2278">
        <v>4</v>
      </c>
      <c r="I2278" t="s">
        <v>421</v>
      </c>
      <c r="J2278">
        <v>857</v>
      </c>
      <c r="K2278" t="s">
        <v>451</v>
      </c>
      <c r="L2278" s="13">
        <v>43986</v>
      </c>
      <c r="M2278" t="s">
        <v>1317</v>
      </c>
      <c r="N2278" t="s">
        <v>1318</v>
      </c>
      <c r="O2278">
        <v>103.73</v>
      </c>
      <c r="P2278" t="s">
        <v>1319</v>
      </c>
    </row>
    <row r="2279" spans="1:16" ht="15" customHeight="1" x14ac:dyDescent="0.4">
      <c r="A2279" t="s">
        <v>15</v>
      </c>
      <c r="B2279" t="s">
        <v>16</v>
      </c>
      <c r="C2279" s="13">
        <v>43831</v>
      </c>
      <c r="D2279" s="13">
        <v>44196</v>
      </c>
      <c r="E2279" t="s">
        <v>17</v>
      </c>
      <c r="F2279">
        <v>0</v>
      </c>
      <c r="G2279" t="s">
        <v>420</v>
      </c>
      <c r="H2279">
        <v>4</v>
      </c>
      <c r="I2279" t="s">
        <v>421</v>
      </c>
      <c r="J2279">
        <v>857</v>
      </c>
      <c r="K2279" t="s">
        <v>451</v>
      </c>
      <c r="L2279" s="13">
        <v>44012</v>
      </c>
      <c r="M2279" t="s">
        <v>932</v>
      </c>
      <c r="N2279" t="s">
        <v>46</v>
      </c>
      <c r="O2279">
        <v>175.3</v>
      </c>
      <c r="P2279" t="s">
        <v>46</v>
      </c>
    </row>
    <row r="2280" spans="1:16" ht="15" customHeight="1" x14ac:dyDescent="0.4">
      <c r="A2280" t="s">
        <v>15</v>
      </c>
      <c r="B2280" t="s">
        <v>16</v>
      </c>
      <c r="C2280" s="13">
        <v>43831</v>
      </c>
      <c r="D2280" s="13">
        <v>44196</v>
      </c>
      <c r="E2280" t="s">
        <v>17</v>
      </c>
      <c r="F2280">
        <v>0</v>
      </c>
      <c r="G2280" t="s">
        <v>420</v>
      </c>
      <c r="H2280">
        <v>4</v>
      </c>
      <c r="I2280" t="s">
        <v>421</v>
      </c>
      <c r="J2280">
        <v>857</v>
      </c>
      <c r="K2280" t="s">
        <v>451</v>
      </c>
      <c r="L2280" s="13">
        <v>44043</v>
      </c>
      <c r="M2280" t="s">
        <v>932</v>
      </c>
      <c r="N2280" t="s">
        <v>1320</v>
      </c>
      <c r="O2280">
        <v>375.6</v>
      </c>
      <c r="P2280" t="s">
        <v>430</v>
      </c>
    </row>
    <row r="2281" spans="1:16" ht="15" customHeight="1" x14ac:dyDescent="0.4">
      <c r="A2281" t="s">
        <v>15</v>
      </c>
      <c r="B2281" t="s">
        <v>16</v>
      </c>
      <c r="C2281" s="13">
        <v>43831</v>
      </c>
      <c r="D2281" s="13">
        <v>44196</v>
      </c>
      <c r="E2281" t="s">
        <v>17</v>
      </c>
      <c r="F2281">
        <v>0</v>
      </c>
      <c r="G2281" t="s">
        <v>420</v>
      </c>
      <c r="H2281">
        <v>4</v>
      </c>
      <c r="I2281" t="s">
        <v>421</v>
      </c>
      <c r="J2281">
        <v>857</v>
      </c>
      <c r="K2281" t="s">
        <v>451</v>
      </c>
      <c r="L2281" s="13">
        <v>44135</v>
      </c>
      <c r="M2281" t="s">
        <v>932</v>
      </c>
      <c r="N2281" t="s">
        <v>1321</v>
      </c>
      <c r="O2281">
        <v>169</v>
      </c>
      <c r="P2281" t="s">
        <v>430</v>
      </c>
    </row>
    <row r="2282" spans="1:16" ht="15" customHeight="1" x14ac:dyDescent="0.4">
      <c r="A2282" t="s">
        <v>15</v>
      </c>
      <c r="B2282" t="s">
        <v>16</v>
      </c>
      <c r="C2282" s="13">
        <v>43831</v>
      </c>
      <c r="D2282" s="13">
        <v>44196</v>
      </c>
      <c r="E2282" t="s">
        <v>17</v>
      </c>
      <c r="F2282">
        <v>0</v>
      </c>
      <c r="G2282" t="s">
        <v>420</v>
      </c>
      <c r="H2282">
        <v>4</v>
      </c>
      <c r="I2282" t="s">
        <v>421</v>
      </c>
      <c r="J2282">
        <v>858</v>
      </c>
      <c r="K2282" t="s">
        <v>458</v>
      </c>
      <c r="L2282" s="13">
        <v>43995</v>
      </c>
      <c r="M2282" t="s">
        <v>1322</v>
      </c>
      <c r="N2282" t="s">
        <v>46</v>
      </c>
      <c r="O2282">
        <v>196.8</v>
      </c>
      <c r="P2282" t="s">
        <v>46</v>
      </c>
    </row>
    <row r="2283" spans="1:16" ht="15" customHeight="1" x14ac:dyDescent="0.4">
      <c r="A2283" t="s">
        <v>15</v>
      </c>
      <c r="B2283" t="s">
        <v>16</v>
      </c>
      <c r="C2283" s="13">
        <v>43831</v>
      </c>
      <c r="D2283" s="13">
        <v>44196</v>
      </c>
      <c r="E2283" t="s">
        <v>17</v>
      </c>
      <c r="F2283">
        <v>0</v>
      </c>
      <c r="G2283" t="s">
        <v>420</v>
      </c>
      <c r="H2283">
        <v>4</v>
      </c>
      <c r="I2283" t="s">
        <v>421</v>
      </c>
      <c r="J2283">
        <v>858</v>
      </c>
      <c r="K2283" t="s">
        <v>458</v>
      </c>
      <c r="L2283" s="13">
        <v>44036</v>
      </c>
      <c r="M2283" t="s">
        <v>1322</v>
      </c>
      <c r="N2283" t="s">
        <v>46</v>
      </c>
      <c r="O2283">
        <v>312</v>
      </c>
      <c r="P2283" t="s">
        <v>46</v>
      </c>
    </row>
    <row r="2284" spans="1:16" ht="15" customHeight="1" x14ac:dyDescent="0.4">
      <c r="A2284" t="s">
        <v>15</v>
      </c>
      <c r="B2284" t="s">
        <v>16</v>
      </c>
      <c r="C2284" s="13">
        <v>43831</v>
      </c>
      <c r="D2284" s="13">
        <v>44196</v>
      </c>
      <c r="E2284" t="s">
        <v>17</v>
      </c>
      <c r="F2284">
        <v>0</v>
      </c>
      <c r="G2284" t="s">
        <v>420</v>
      </c>
      <c r="H2284">
        <v>4</v>
      </c>
      <c r="I2284" t="s">
        <v>421</v>
      </c>
      <c r="J2284">
        <v>858</v>
      </c>
      <c r="K2284" t="s">
        <v>458</v>
      </c>
      <c r="L2284" s="13">
        <v>44053</v>
      </c>
      <c r="M2284" t="s">
        <v>1322</v>
      </c>
      <c r="N2284" t="s">
        <v>46</v>
      </c>
      <c r="O2284">
        <v>312</v>
      </c>
      <c r="P2284" t="s">
        <v>46</v>
      </c>
    </row>
    <row r="2285" spans="1:16" ht="15" customHeight="1" x14ac:dyDescent="0.4">
      <c r="A2285" t="s">
        <v>15</v>
      </c>
      <c r="B2285" t="s">
        <v>16</v>
      </c>
      <c r="C2285" s="13">
        <v>43831</v>
      </c>
      <c r="D2285" s="13">
        <v>44196</v>
      </c>
      <c r="E2285" t="s">
        <v>17</v>
      </c>
      <c r="F2285">
        <v>0</v>
      </c>
      <c r="G2285" t="s">
        <v>420</v>
      </c>
      <c r="H2285">
        <v>4</v>
      </c>
      <c r="I2285" t="s">
        <v>421</v>
      </c>
      <c r="J2285">
        <v>892</v>
      </c>
      <c r="K2285" t="s">
        <v>462</v>
      </c>
      <c r="L2285" s="13">
        <v>44196</v>
      </c>
      <c r="M2285" t="s">
        <v>1323</v>
      </c>
      <c r="N2285" t="s">
        <v>46</v>
      </c>
      <c r="O2285">
        <v>-7602.97</v>
      </c>
      <c r="P2285" t="s">
        <v>46</v>
      </c>
    </row>
    <row r="2286" spans="1:16" ht="15" customHeight="1" x14ac:dyDescent="0.4">
      <c r="A2286" t="s">
        <v>15</v>
      </c>
      <c r="B2286" t="s">
        <v>16</v>
      </c>
      <c r="C2286" s="13">
        <v>43831</v>
      </c>
      <c r="D2286" s="13">
        <v>44196</v>
      </c>
      <c r="E2286" t="s">
        <v>17</v>
      </c>
      <c r="F2286">
        <v>0</v>
      </c>
      <c r="G2286" t="s">
        <v>420</v>
      </c>
      <c r="H2286">
        <v>4</v>
      </c>
      <c r="I2286" t="s">
        <v>421</v>
      </c>
      <c r="J2286">
        <v>909</v>
      </c>
      <c r="K2286" t="s">
        <v>464</v>
      </c>
      <c r="L2286" s="13">
        <v>44196</v>
      </c>
      <c r="M2286" t="s">
        <v>1324</v>
      </c>
      <c r="N2286" t="s">
        <v>46</v>
      </c>
      <c r="O2286">
        <v>45578.97</v>
      </c>
      <c r="P2286" t="s">
        <v>46</v>
      </c>
    </row>
    <row r="2287" spans="1:16" ht="15" customHeight="1" x14ac:dyDescent="0.4">
      <c r="A2287" t="s">
        <v>15</v>
      </c>
      <c r="B2287" t="s">
        <v>16</v>
      </c>
      <c r="C2287" s="13">
        <v>43831</v>
      </c>
      <c r="D2287" s="13">
        <v>44196</v>
      </c>
      <c r="E2287" t="s">
        <v>17</v>
      </c>
      <c r="F2287">
        <v>0</v>
      </c>
      <c r="G2287" t="s">
        <v>420</v>
      </c>
      <c r="H2287">
        <v>4</v>
      </c>
      <c r="I2287" t="s">
        <v>421</v>
      </c>
      <c r="J2287">
        <v>935</v>
      </c>
      <c r="K2287" t="s">
        <v>465</v>
      </c>
      <c r="L2287" s="13">
        <v>44196</v>
      </c>
      <c r="M2287" t="s">
        <v>1325</v>
      </c>
      <c r="N2287" t="s">
        <v>46</v>
      </c>
      <c r="O2287">
        <v>-1356.09</v>
      </c>
      <c r="P2287" t="s">
        <v>46</v>
      </c>
    </row>
    <row r="2288" spans="1:16" ht="15" customHeight="1" x14ac:dyDescent="0.4">
      <c r="A2288" t="s">
        <v>15</v>
      </c>
      <c r="B2288" t="s">
        <v>16</v>
      </c>
      <c r="C2288" s="13">
        <v>43831</v>
      </c>
      <c r="D2288" s="13">
        <v>44196</v>
      </c>
      <c r="E2288" t="s">
        <v>17</v>
      </c>
      <c r="F2288">
        <v>0</v>
      </c>
      <c r="G2288" t="s">
        <v>420</v>
      </c>
      <c r="H2288">
        <v>4</v>
      </c>
      <c r="I2288" t="s">
        <v>421</v>
      </c>
      <c r="J2288">
        <v>988</v>
      </c>
      <c r="K2288" t="s">
        <v>1326</v>
      </c>
      <c r="L2288" s="13">
        <v>43831</v>
      </c>
      <c r="M2288" t="s">
        <v>1327</v>
      </c>
      <c r="N2288" t="s">
        <v>46</v>
      </c>
      <c r="O2288">
        <v>-0.02</v>
      </c>
      <c r="P2288" t="s">
        <v>46</v>
      </c>
    </row>
    <row r="2289" spans="1:16" ht="15" customHeight="1" x14ac:dyDescent="0.4">
      <c r="A2289" t="s">
        <v>15</v>
      </c>
      <c r="B2289" t="s">
        <v>16</v>
      </c>
      <c r="C2289" s="13">
        <v>43831</v>
      </c>
      <c r="D2289" s="13">
        <v>44196</v>
      </c>
      <c r="E2289" t="s">
        <v>30</v>
      </c>
      <c r="F2289">
        <v>0</v>
      </c>
      <c r="G2289" t="s">
        <v>467</v>
      </c>
      <c r="H2289">
        <v>17</v>
      </c>
      <c r="I2289" t="s">
        <v>468</v>
      </c>
      <c r="J2289">
        <v>106</v>
      </c>
      <c r="K2289" t="s">
        <v>422</v>
      </c>
      <c r="L2289" s="13">
        <v>43883</v>
      </c>
      <c r="M2289" t="s">
        <v>1328</v>
      </c>
      <c r="N2289" t="s">
        <v>1329</v>
      </c>
      <c r="O2289">
        <v>121</v>
      </c>
      <c r="P2289" t="s">
        <v>1034</v>
      </c>
    </row>
    <row r="2290" spans="1:16" ht="15" customHeight="1" x14ac:dyDescent="0.4">
      <c r="A2290" t="s">
        <v>15</v>
      </c>
      <c r="B2290" t="s">
        <v>16</v>
      </c>
      <c r="C2290" s="13">
        <v>43831</v>
      </c>
      <c r="D2290" s="13">
        <v>44196</v>
      </c>
      <c r="E2290" t="s">
        <v>30</v>
      </c>
      <c r="F2290">
        <v>0</v>
      </c>
      <c r="G2290" t="s">
        <v>467</v>
      </c>
      <c r="H2290">
        <v>17</v>
      </c>
      <c r="I2290" t="s">
        <v>468</v>
      </c>
      <c r="J2290">
        <v>106</v>
      </c>
      <c r="K2290" t="s">
        <v>422</v>
      </c>
      <c r="L2290" s="13">
        <v>43967</v>
      </c>
      <c r="M2290" t="s">
        <v>1330</v>
      </c>
      <c r="N2290" t="s">
        <v>1331</v>
      </c>
      <c r="O2290">
        <v>170.5</v>
      </c>
      <c r="P2290" t="s">
        <v>1034</v>
      </c>
    </row>
    <row r="2291" spans="1:16" ht="15" customHeight="1" x14ac:dyDescent="0.4">
      <c r="A2291" t="s">
        <v>15</v>
      </c>
      <c r="B2291" t="s">
        <v>16</v>
      </c>
      <c r="C2291" s="13">
        <v>43831</v>
      </c>
      <c r="D2291" s="13">
        <v>44196</v>
      </c>
      <c r="E2291" t="s">
        <v>30</v>
      </c>
      <c r="F2291">
        <v>0</v>
      </c>
      <c r="G2291" t="s">
        <v>467</v>
      </c>
      <c r="H2291">
        <v>17</v>
      </c>
      <c r="I2291" t="s">
        <v>468</v>
      </c>
      <c r="J2291">
        <v>236</v>
      </c>
      <c r="K2291" t="s">
        <v>950</v>
      </c>
      <c r="L2291" s="13">
        <v>44196</v>
      </c>
      <c r="M2291" t="s">
        <v>1332</v>
      </c>
      <c r="N2291" t="s">
        <v>1333</v>
      </c>
      <c r="O2291">
        <v>450.72</v>
      </c>
      <c r="P2291" t="s">
        <v>368</v>
      </c>
    </row>
    <row r="2292" spans="1:16" ht="15" customHeight="1" x14ac:dyDescent="0.4">
      <c r="A2292" t="s">
        <v>15</v>
      </c>
      <c r="B2292" t="s">
        <v>16</v>
      </c>
      <c r="C2292" s="13">
        <v>43831</v>
      </c>
      <c r="D2292" s="13">
        <v>44196</v>
      </c>
      <c r="E2292" t="s">
        <v>17</v>
      </c>
      <c r="F2292">
        <v>0</v>
      </c>
      <c r="G2292" t="s">
        <v>467</v>
      </c>
      <c r="H2292">
        <v>17</v>
      </c>
      <c r="I2292" t="s">
        <v>468</v>
      </c>
      <c r="J2292">
        <v>401</v>
      </c>
      <c r="K2292" t="s">
        <v>476</v>
      </c>
      <c r="L2292" s="13">
        <v>44196</v>
      </c>
      <c r="M2292" t="s">
        <v>1334</v>
      </c>
      <c r="N2292" t="s">
        <v>46</v>
      </c>
      <c r="O2292">
        <v>7602.97</v>
      </c>
      <c r="P2292" t="s">
        <v>46</v>
      </c>
    </row>
    <row r="2293" spans="1:16" ht="15" customHeight="1" x14ac:dyDescent="0.4">
      <c r="A2293" t="s">
        <v>15</v>
      </c>
      <c r="B2293" t="s">
        <v>16</v>
      </c>
      <c r="C2293" s="13">
        <v>43831</v>
      </c>
      <c r="D2293" s="13">
        <v>44196</v>
      </c>
      <c r="E2293" t="s">
        <v>17</v>
      </c>
      <c r="F2293">
        <v>0</v>
      </c>
      <c r="G2293" t="s">
        <v>478</v>
      </c>
      <c r="H2293">
        <v>55</v>
      </c>
      <c r="I2293" t="s">
        <v>479</v>
      </c>
      <c r="J2293">
        <v>282</v>
      </c>
      <c r="K2293" t="s">
        <v>480</v>
      </c>
      <c r="L2293" s="13">
        <v>44196</v>
      </c>
      <c r="M2293" t="s">
        <v>1335</v>
      </c>
      <c r="N2293" t="s">
        <v>86</v>
      </c>
      <c r="O2293">
        <v>7589.95</v>
      </c>
      <c r="P2293" t="s">
        <v>46</v>
      </c>
    </row>
    <row r="2294" spans="1:16" ht="15" customHeight="1" x14ac:dyDescent="0.4">
      <c r="A2294" t="s">
        <v>15</v>
      </c>
      <c r="B2294" t="s">
        <v>16</v>
      </c>
      <c r="C2294" s="13">
        <v>43831</v>
      </c>
      <c r="D2294" s="13">
        <v>44196</v>
      </c>
      <c r="E2294" t="s">
        <v>17</v>
      </c>
      <c r="F2294">
        <v>0</v>
      </c>
      <c r="G2294" t="s">
        <v>482</v>
      </c>
      <c r="H2294">
        <v>60</v>
      </c>
      <c r="I2294" t="s">
        <v>483</v>
      </c>
      <c r="J2294">
        <v>881</v>
      </c>
      <c r="K2294" t="s">
        <v>327</v>
      </c>
      <c r="L2294" s="13">
        <v>43983</v>
      </c>
      <c r="M2294" t="s">
        <v>1336</v>
      </c>
      <c r="N2294" t="s">
        <v>1337</v>
      </c>
      <c r="O2294">
        <v>1252.08</v>
      </c>
      <c r="P2294" t="s">
        <v>374</v>
      </c>
    </row>
    <row r="2295" spans="1:16" ht="15" customHeight="1" x14ac:dyDescent="0.4">
      <c r="A2295" t="s">
        <v>15</v>
      </c>
      <c r="B2295" t="s">
        <v>16</v>
      </c>
      <c r="C2295" s="13">
        <v>43831</v>
      </c>
      <c r="D2295" s="13">
        <v>44196</v>
      </c>
      <c r="E2295" t="s">
        <v>17</v>
      </c>
      <c r="F2295">
        <v>0</v>
      </c>
      <c r="G2295" t="s">
        <v>482</v>
      </c>
      <c r="H2295">
        <v>60</v>
      </c>
      <c r="I2295" t="s">
        <v>483</v>
      </c>
      <c r="J2295">
        <v>881</v>
      </c>
      <c r="K2295" t="s">
        <v>327</v>
      </c>
      <c r="L2295" s="13">
        <v>44196</v>
      </c>
      <c r="M2295" t="s">
        <v>486</v>
      </c>
      <c r="N2295" t="s">
        <v>329</v>
      </c>
      <c r="O2295">
        <v>-29.12</v>
      </c>
      <c r="P2295" t="s">
        <v>46</v>
      </c>
    </row>
    <row r="2296" spans="1:16" ht="15" customHeight="1" x14ac:dyDescent="0.4">
      <c r="A2296" t="s">
        <v>15</v>
      </c>
      <c r="B2296" t="s">
        <v>16</v>
      </c>
      <c r="C2296" s="13">
        <v>43831</v>
      </c>
      <c r="D2296" s="13">
        <v>44196</v>
      </c>
      <c r="E2296" t="s">
        <v>30</v>
      </c>
      <c r="F2296">
        <v>1</v>
      </c>
      <c r="G2296" t="s">
        <v>18</v>
      </c>
      <c r="H2296">
        <v>1</v>
      </c>
      <c r="I2296" t="s">
        <v>19</v>
      </c>
      <c r="J2296">
        <v>236</v>
      </c>
      <c r="K2296" t="s">
        <v>950</v>
      </c>
      <c r="L2296" s="13">
        <v>43839</v>
      </c>
      <c r="M2296" t="s">
        <v>1338</v>
      </c>
      <c r="N2296" t="s">
        <v>1339</v>
      </c>
      <c r="O2296">
        <v>616</v>
      </c>
      <c r="P2296" t="s">
        <v>472</v>
      </c>
    </row>
    <row r="2297" spans="1:16" ht="15" customHeight="1" x14ac:dyDescent="0.4">
      <c r="A2297" t="s">
        <v>15</v>
      </c>
      <c r="B2297" t="s">
        <v>16</v>
      </c>
      <c r="C2297" s="13">
        <v>43831</v>
      </c>
      <c r="D2297" s="13">
        <v>44196</v>
      </c>
      <c r="E2297" t="s">
        <v>17</v>
      </c>
      <c r="F2297">
        <v>1</v>
      </c>
      <c r="G2297" t="s">
        <v>18</v>
      </c>
      <c r="H2297">
        <v>1</v>
      </c>
      <c r="I2297" t="s">
        <v>19</v>
      </c>
      <c r="J2297">
        <v>242</v>
      </c>
      <c r="K2297" t="s">
        <v>487</v>
      </c>
      <c r="L2297" s="13">
        <v>44196</v>
      </c>
      <c r="M2297" t="s">
        <v>1254</v>
      </c>
      <c r="N2297" t="s">
        <v>45</v>
      </c>
      <c r="O2297">
        <v>334.98</v>
      </c>
      <c r="P2297" t="s">
        <v>46</v>
      </c>
    </row>
    <row r="2298" spans="1:16" ht="15" customHeight="1" x14ac:dyDescent="0.4">
      <c r="A2298" t="s">
        <v>15</v>
      </c>
      <c r="B2298" t="s">
        <v>16</v>
      </c>
      <c r="C2298" s="13">
        <v>43831</v>
      </c>
      <c r="D2298" s="13">
        <v>44196</v>
      </c>
      <c r="E2298" t="s">
        <v>17</v>
      </c>
      <c r="F2298">
        <v>1</v>
      </c>
      <c r="G2298" t="s">
        <v>18</v>
      </c>
      <c r="H2298">
        <v>1</v>
      </c>
      <c r="I2298" t="s">
        <v>19</v>
      </c>
      <c r="J2298">
        <v>269</v>
      </c>
      <c r="K2298" t="s">
        <v>3671</v>
      </c>
      <c r="L2298" s="13">
        <v>43852</v>
      </c>
      <c r="M2298" t="s">
        <v>351</v>
      </c>
      <c r="N2298" t="s">
        <v>1053</v>
      </c>
      <c r="O2298">
        <v>10.56</v>
      </c>
      <c r="P2298" t="s">
        <v>52</v>
      </c>
    </row>
    <row r="2299" spans="1:16" ht="15" customHeight="1" x14ac:dyDescent="0.4">
      <c r="A2299" t="s">
        <v>15</v>
      </c>
      <c r="B2299" t="s">
        <v>16</v>
      </c>
      <c r="C2299" s="13">
        <v>43831</v>
      </c>
      <c r="D2299" s="13">
        <v>44196</v>
      </c>
      <c r="E2299" t="s">
        <v>17</v>
      </c>
      <c r="F2299">
        <v>1</v>
      </c>
      <c r="G2299" t="s">
        <v>18</v>
      </c>
      <c r="H2299">
        <v>1</v>
      </c>
      <c r="I2299" t="s">
        <v>19</v>
      </c>
      <c r="J2299">
        <v>269</v>
      </c>
      <c r="K2299" t="s">
        <v>3671</v>
      </c>
      <c r="L2299" s="13">
        <v>43910</v>
      </c>
      <c r="M2299" t="s">
        <v>351</v>
      </c>
      <c r="N2299" t="s">
        <v>1054</v>
      </c>
      <c r="O2299">
        <v>6.28</v>
      </c>
      <c r="P2299" t="s">
        <v>52</v>
      </c>
    </row>
    <row r="2300" spans="1:16" ht="15" customHeight="1" x14ac:dyDescent="0.4">
      <c r="A2300" t="s">
        <v>15</v>
      </c>
      <c r="B2300" t="s">
        <v>16</v>
      </c>
      <c r="C2300" s="13">
        <v>43831</v>
      </c>
      <c r="D2300" s="13">
        <v>44196</v>
      </c>
      <c r="E2300" t="s">
        <v>17</v>
      </c>
      <c r="F2300">
        <v>1</v>
      </c>
      <c r="G2300" t="s">
        <v>18</v>
      </c>
      <c r="H2300">
        <v>1</v>
      </c>
      <c r="I2300" t="s">
        <v>19</v>
      </c>
      <c r="J2300">
        <v>269</v>
      </c>
      <c r="K2300" t="s">
        <v>3671</v>
      </c>
      <c r="L2300" s="13">
        <v>43991</v>
      </c>
      <c r="M2300" t="s">
        <v>351</v>
      </c>
      <c r="N2300" t="s">
        <v>1055</v>
      </c>
      <c r="O2300">
        <v>2.44</v>
      </c>
      <c r="P2300" t="s">
        <v>52</v>
      </c>
    </row>
    <row r="2301" spans="1:16" ht="15" customHeight="1" x14ac:dyDescent="0.4">
      <c r="A2301" t="s">
        <v>15</v>
      </c>
      <c r="B2301" t="s">
        <v>16</v>
      </c>
      <c r="C2301" s="13">
        <v>43831</v>
      </c>
      <c r="D2301" s="13">
        <v>44196</v>
      </c>
      <c r="E2301" t="s">
        <v>17</v>
      </c>
      <c r="F2301">
        <v>1</v>
      </c>
      <c r="G2301" t="s">
        <v>18</v>
      </c>
      <c r="H2301">
        <v>1</v>
      </c>
      <c r="I2301" t="s">
        <v>19</v>
      </c>
      <c r="J2301">
        <v>269</v>
      </c>
      <c r="K2301" t="s">
        <v>3671</v>
      </c>
      <c r="L2301" s="13">
        <v>44032</v>
      </c>
      <c r="M2301" t="s">
        <v>351</v>
      </c>
      <c r="N2301" t="s">
        <v>1056</v>
      </c>
      <c r="O2301">
        <v>29.57</v>
      </c>
      <c r="P2301" t="s">
        <v>52</v>
      </c>
    </row>
    <row r="2302" spans="1:16" ht="15" customHeight="1" x14ac:dyDescent="0.4">
      <c r="A2302" t="s">
        <v>15</v>
      </c>
      <c r="B2302" t="s">
        <v>16</v>
      </c>
      <c r="C2302" s="13">
        <v>43831</v>
      </c>
      <c r="D2302" s="13">
        <v>44196</v>
      </c>
      <c r="E2302" t="s">
        <v>17</v>
      </c>
      <c r="F2302">
        <v>1</v>
      </c>
      <c r="G2302" t="s">
        <v>18</v>
      </c>
      <c r="H2302">
        <v>1</v>
      </c>
      <c r="I2302" t="s">
        <v>19</v>
      </c>
      <c r="J2302">
        <v>269</v>
      </c>
      <c r="K2302" t="s">
        <v>3671</v>
      </c>
      <c r="L2302" s="13">
        <v>44096</v>
      </c>
      <c r="M2302" t="s">
        <v>351</v>
      </c>
      <c r="N2302" t="s">
        <v>1057</v>
      </c>
      <c r="O2302">
        <v>36.76</v>
      </c>
      <c r="P2302" t="s">
        <v>52</v>
      </c>
    </row>
    <row r="2303" spans="1:16" ht="15" customHeight="1" x14ac:dyDescent="0.4">
      <c r="A2303" t="s">
        <v>15</v>
      </c>
      <c r="B2303" t="s">
        <v>16</v>
      </c>
      <c r="C2303" s="13">
        <v>43831</v>
      </c>
      <c r="D2303" s="13">
        <v>44196</v>
      </c>
      <c r="E2303" t="s">
        <v>17</v>
      </c>
      <c r="F2303">
        <v>1</v>
      </c>
      <c r="G2303" t="s">
        <v>18</v>
      </c>
      <c r="H2303">
        <v>1</v>
      </c>
      <c r="I2303" t="s">
        <v>19</v>
      </c>
      <c r="J2303">
        <v>269</v>
      </c>
      <c r="K2303" t="s">
        <v>3671</v>
      </c>
      <c r="L2303" s="13">
        <v>44156</v>
      </c>
      <c r="M2303" t="s">
        <v>351</v>
      </c>
      <c r="N2303" t="s">
        <v>1058</v>
      </c>
      <c r="O2303">
        <v>24.81</v>
      </c>
      <c r="P2303" t="s">
        <v>52</v>
      </c>
    </row>
    <row r="2304" spans="1:16" ht="15" customHeight="1" x14ac:dyDescent="0.4">
      <c r="A2304" t="s">
        <v>15</v>
      </c>
      <c r="B2304" t="s">
        <v>16</v>
      </c>
      <c r="C2304" s="13">
        <v>43831</v>
      </c>
      <c r="D2304" s="13">
        <v>44196</v>
      </c>
      <c r="E2304" t="s">
        <v>17</v>
      </c>
      <c r="F2304">
        <v>1</v>
      </c>
      <c r="G2304" t="s">
        <v>18</v>
      </c>
      <c r="H2304">
        <v>1</v>
      </c>
      <c r="I2304" t="s">
        <v>19</v>
      </c>
      <c r="J2304">
        <v>401</v>
      </c>
      <c r="K2304" t="s">
        <v>476</v>
      </c>
      <c r="L2304" s="13">
        <v>44196</v>
      </c>
      <c r="M2304" t="s">
        <v>1340</v>
      </c>
      <c r="N2304" t="s">
        <v>46</v>
      </c>
      <c r="O2304">
        <v>1356.09</v>
      </c>
      <c r="P2304" t="s">
        <v>46</v>
      </c>
    </row>
    <row r="2305" spans="1:16" ht="15" customHeight="1" x14ac:dyDescent="0.4">
      <c r="A2305" t="s">
        <v>15</v>
      </c>
      <c r="B2305" t="s">
        <v>16</v>
      </c>
      <c r="C2305" s="13">
        <v>43831</v>
      </c>
      <c r="D2305" s="13">
        <v>44196</v>
      </c>
      <c r="E2305" t="s">
        <v>17</v>
      </c>
      <c r="F2305">
        <v>1</v>
      </c>
      <c r="G2305" t="s">
        <v>18</v>
      </c>
      <c r="H2305">
        <v>1</v>
      </c>
      <c r="I2305" t="s">
        <v>19</v>
      </c>
      <c r="J2305">
        <v>702</v>
      </c>
      <c r="K2305" t="s">
        <v>275</v>
      </c>
      <c r="L2305" s="13">
        <v>44196</v>
      </c>
      <c r="M2305" t="s">
        <v>1316</v>
      </c>
      <c r="N2305" t="s">
        <v>46</v>
      </c>
      <c r="O2305">
        <v>20.100000000000001</v>
      </c>
      <c r="P2305" t="s">
        <v>46</v>
      </c>
    </row>
    <row r="2306" spans="1:16" ht="15" customHeight="1" x14ac:dyDescent="0.4">
      <c r="A2306" t="s">
        <v>15</v>
      </c>
      <c r="B2306" t="s">
        <v>16</v>
      </c>
      <c r="C2306" s="13">
        <v>43831</v>
      </c>
      <c r="D2306" s="13">
        <v>44196</v>
      </c>
      <c r="E2306" t="s">
        <v>17</v>
      </c>
      <c r="F2306">
        <v>1</v>
      </c>
      <c r="G2306" t="s">
        <v>18</v>
      </c>
      <c r="H2306">
        <v>1</v>
      </c>
      <c r="I2306" t="s">
        <v>19</v>
      </c>
      <c r="J2306">
        <v>891</v>
      </c>
      <c r="K2306" t="s">
        <v>377</v>
      </c>
      <c r="L2306" s="13">
        <v>44196</v>
      </c>
      <c r="M2306" t="s">
        <v>1266</v>
      </c>
      <c r="N2306" t="s">
        <v>46</v>
      </c>
      <c r="O2306">
        <v>12245.62</v>
      </c>
      <c r="P2306" t="s">
        <v>46</v>
      </c>
    </row>
    <row r="2307" spans="1:16" ht="15" customHeight="1" x14ac:dyDescent="0.4">
      <c r="A2307" t="s">
        <v>15</v>
      </c>
      <c r="B2307" t="s">
        <v>16</v>
      </c>
      <c r="C2307" s="13">
        <v>43831</v>
      </c>
      <c r="D2307" s="13">
        <v>44196</v>
      </c>
      <c r="E2307" t="s">
        <v>17</v>
      </c>
      <c r="F2307">
        <v>3</v>
      </c>
      <c r="G2307" t="s">
        <v>18</v>
      </c>
      <c r="H2307">
        <v>1</v>
      </c>
      <c r="I2307" t="s">
        <v>19</v>
      </c>
      <c r="J2307">
        <v>105</v>
      </c>
      <c r="K2307" t="s">
        <v>1341</v>
      </c>
      <c r="L2307" s="13">
        <v>43857</v>
      </c>
      <c r="M2307" t="s">
        <v>1342</v>
      </c>
      <c r="N2307" t="s">
        <v>1343</v>
      </c>
      <c r="O2307">
        <v>209</v>
      </c>
      <c r="P2307" t="s">
        <v>1034</v>
      </c>
    </row>
    <row r="2308" spans="1:16" ht="15" customHeight="1" x14ac:dyDescent="0.4">
      <c r="A2308" t="s">
        <v>15</v>
      </c>
      <c r="B2308" t="s">
        <v>16</v>
      </c>
      <c r="C2308" s="13">
        <v>43831</v>
      </c>
      <c r="D2308" s="13">
        <v>44196</v>
      </c>
      <c r="E2308" t="s">
        <v>17</v>
      </c>
      <c r="F2308">
        <v>3</v>
      </c>
      <c r="G2308" t="s">
        <v>18</v>
      </c>
      <c r="H2308">
        <v>1</v>
      </c>
      <c r="I2308" t="s">
        <v>19</v>
      </c>
      <c r="J2308">
        <v>242</v>
      </c>
      <c r="K2308" t="s">
        <v>348</v>
      </c>
      <c r="L2308" s="13">
        <v>44196</v>
      </c>
      <c r="M2308" t="s">
        <v>1254</v>
      </c>
      <c r="N2308" t="s">
        <v>45</v>
      </c>
      <c r="O2308">
        <v>111.66</v>
      </c>
      <c r="P2308" t="s">
        <v>46</v>
      </c>
    </row>
    <row r="2309" spans="1:16" ht="15" customHeight="1" x14ac:dyDescent="0.4">
      <c r="A2309" t="s">
        <v>15</v>
      </c>
      <c r="B2309" t="s">
        <v>16</v>
      </c>
      <c r="C2309" s="13">
        <v>43831</v>
      </c>
      <c r="D2309" s="13">
        <v>44196</v>
      </c>
      <c r="E2309" t="s">
        <v>17</v>
      </c>
      <c r="F2309">
        <v>3</v>
      </c>
      <c r="G2309" t="s">
        <v>18</v>
      </c>
      <c r="H2309">
        <v>1</v>
      </c>
      <c r="I2309" t="s">
        <v>19</v>
      </c>
      <c r="J2309">
        <v>269</v>
      </c>
      <c r="K2309" t="s">
        <v>3674</v>
      </c>
      <c r="L2309" s="13">
        <v>43852</v>
      </c>
      <c r="M2309" t="s">
        <v>351</v>
      </c>
      <c r="N2309" t="s">
        <v>1053</v>
      </c>
      <c r="O2309">
        <v>10.34</v>
      </c>
      <c r="P2309" t="s">
        <v>52</v>
      </c>
    </row>
    <row r="2310" spans="1:16" ht="15" customHeight="1" x14ac:dyDescent="0.4">
      <c r="A2310" t="s">
        <v>15</v>
      </c>
      <c r="B2310" t="s">
        <v>16</v>
      </c>
      <c r="C2310" s="13">
        <v>43831</v>
      </c>
      <c r="D2310" s="13">
        <v>44196</v>
      </c>
      <c r="E2310" t="s">
        <v>17</v>
      </c>
      <c r="F2310">
        <v>3</v>
      </c>
      <c r="G2310" t="s">
        <v>18</v>
      </c>
      <c r="H2310">
        <v>1</v>
      </c>
      <c r="I2310" t="s">
        <v>19</v>
      </c>
      <c r="J2310">
        <v>269</v>
      </c>
      <c r="K2310" t="s">
        <v>3674</v>
      </c>
      <c r="L2310" s="13">
        <v>43910</v>
      </c>
      <c r="M2310" t="s">
        <v>351</v>
      </c>
      <c r="N2310" t="s">
        <v>1054</v>
      </c>
      <c r="O2310">
        <v>6.15</v>
      </c>
      <c r="P2310" t="s">
        <v>52</v>
      </c>
    </row>
    <row r="2311" spans="1:16" ht="15" customHeight="1" x14ac:dyDescent="0.4">
      <c r="A2311" t="s">
        <v>15</v>
      </c>
      <c r="B2311" t="s">
        <v>16</v>
      </c>
      <c r="C2311" s="13">
        <v>43831</v>
      </c>
      <c r="D2311" s="13">
        <v>44196</v>
      </c>
      <c r="E2311" t="s">
        <v>17</v>
      </c>
      <c r="F2311">
        <v>3</v>
      </c>
      <c r="G2311" t="s">
        <v>18</v>
      </c>
      <c r="H2311">
        <v>1</v>
      </c>
      <c r="I2311" t="s">
        <v>19</v>
      </c>
      <c r="J2311">
        <v>269</v>
      </c>
      <c r="K2311" t="s">
        <v>3674</v>
      </c>
      <c r="L2311" s="13">
        <v>43991</v>
      </c>
      <c r="M2311" t="s">
        <v>351</v>
      </c>
      <c r="N2311" t="s">
        <v>1055</v>
      </c>
      <c r="O2311">
        <v>2.39</v>
      </c>
      <c r="P2311" t="s">
        <v>52</v>
      </c>
    </row>
    <row r="2312" spans="1:16" ht="15" customHeight="1" x14ac:dyDescent="0.4">
      <c r="A2312" t="s">
        <v>15</v>
      </c>
      <c r="B2312" t="s">
        <v>16</v>
      </c>
      <c r="C2312" s="13">
        <v>43831</v>
      </c>
      <c r="D2312" s="13">
        <v>44196</v>
      </c>
      <c r="E2312" t="s">
        <v>17</v>
      </c>
      <c r="F2312">
        <v>3</v>
      </c>
      <c r="G2312" t="s">
        <v>18</v>
      </c>
      <c r="H2312">
        <v>1</v>
      </c>
      <c r="I2312" t="s">
        <v>19</v>
      </c>
      <c r="J2312">
        <v>269</v>
      </c>
      <c r="K2312" t="s">
        <v>3674</v>
      </c>
      <c r="L2312" s="13">
        <v>44032</v>
      </c>
      <c r="M2312" t="s">
        <v>351</v>
      </c>
      <c r="N2312" t="s">
        <v>1056</v>
      </c>
      <c r="O2312">
        <v>28.98</v>
      </c>
      <c r="P2312" t="s">
        <v>52</v>
      </c>
    </row>
    <row r="2313" spans="1:16" ht="15" customHeight="1" x14ac:dyDescent="0.4">
      <c r="A2313" t="s">
        <v>15</v>
      </c>
      <c r="B2313" t="s">
        <v>16</v>
      </c>
      <c r="C2313" s="13">
        <v>43831</v>
      </c>
      <c r="D2313" s="13">
        <v>44196</v>
      </c>
      <c r="E2313" t="s">
        <v>17</v>
      </c>
      <c r="F2313">
        <v>3</v>
      </c>
      <c r="G2313" t="s">
        <v>18</v>
      </c>
      <c r="H2313">
        <v>1</v>
      </c>
      <c r="I2313" t="s">
        <v>19</v>
      </c>
      <c r="J2313">
        <v>269</v>
      </c>
      <c r="K2313" t="s">
        <v>3674</v>
      </c>
      <c r="L2313" s="13">
        <v>44096</v>
      </c>
      <c r="M2313" t="s">
        <v>351</v>
      </c>
      <c r="N2313" t="s">
        <v>1057</v>
      </c>
      <c r="O2313">
        <v>36.03</v>
      </c>
      <c r="P2313" t="s">
        <v>52</v>
      </c>
    </row>
    <row r="2314" spans="1:16" ht="15" customHeight="1" x14ac:dyDescent="0.4">
      <c r="A2314" t="s">
        <v>15</v>
      </c>
      <c r="B2314" t="s">
        <v>16</v>
      </c>
      <c r="C2314" s="13">
        <v>43831</v>
      </c>
      <c r="D2314" s="13">
        <v>44196</v>
      </c>
      <c r="E2314" t="s">
        <v>17</v>
      </c>
      <c r="F2314">
        <v>3</v>
      </c>
      <c r="G2314" t="s">
        <v>18</v>
      </c>
      <c r="H2314">
        <v>1</v>
      </c>
      <c r="I2314" t="s">
        <v>19</v>
      </c>
      <c r="J2314">
        <v>269</v>
      </c>
      <c r="K2314" t="s">
        <v>3674</v>
      </c>
      <c r="L2314" s="13">
        <v>44156</v>
      </c>
      <c r="M2314" t="s">
        <v>351</v>
      </c>
      <c r="N2314" t="s">
        <v>1058</v>
      </c>
      <c r="O2314">
        <v>24.32</v>
      </c>
      <c r="P2314" t="s">
        <v>52</v>
      </c>
    </row>
    <row r="2315" spans="1:16" ht="15" customHeight="1" x14ac:dyDescent="0.4">
      <c r="A2315" t="s">
        <v>15</v>
      </c>
      <c r="B2315" t="s">
        <v>16</v>
      </c>
      <c r="C2315" s="13">
        <v>43831</v>
      </c>
      <c r="D2315" s="13">
        <v>44196</v>
      </c>
      <c r="E2315" t="s">
        <v>17</v>
      </c>
      <c r="F2315">
        <v>3</v>
      </c>
      <c r="G2315" t="s">
        <v>18</v>
      </c>
      <c r="H2315">
        <v>1</v>
      </c>
      <c r="I2315" t="s">
        <v>19</v>
      </c>
      <c r="J2315">
        <v>441</v>
      </c>
      <c r="K2315" t="s">
        <v>268</v>
      </c>
      <c r="L2315" s="13">
        <v>44033</v>
      </c>
      <c r="M2315" t="s">
        <v>1344</v>
      </c>
      <c r="N2315" t="s">
        <v>1345</v>
      </c>
      <c r="O2315">
        <v>50.23</v>
      </c>
      <c r="P2315" t="s">
        <v>494</v>
      </c>
    </row>
    <row r="2316" spans="1:16" ht="15" customHeight="1" x14ac:dyDescent="0.4">
      <c r="A2316" t="s">
        <v>15</v>
      </c>
      <c r="B2316" t="s">
        <v>16</v>
      </c>
      <c r="C2316" s="13">
        <v>43831</v>
      </c>
      <c r="D2316" s="13">
        <v>44196</v>
      </c>
      <c r="E2316" t="s">
        <v>17</v>
      </c>
      <c r="F2316">
        <v>3</v>
      </c>
      <c r="G2316" t="s">
        <v>18</v>
      </c>
      <c r="H2316">
        <v>1</v>
      </c>
      <c r="I2316" t="s">
        <v>19</v>
      </c>
      <c r="J2316">
        <v>461</v>
      </c>
      <c r="K2316" t="s">
        <v>272</v>
      </c>
      <c r="L2316" s="13">
        <v>44046</v>
      </c>
      <c r="M2316" t="s">
        <v>1346</v>
      </c>
      <c r="N2316" t="s">
        <v>1347</v>
      </c>
      <c r="O2316">
        <v>1039.5</v>
      </c>
      <c r="P2316" t="s">
        <v>1034</v>
      </c>
    </row>
    <row r="2317" spans="1:16" ht="15" customHeight="1" x14ac:dyDescent="0.4">
      <c r="A2317" t="s">
        <v>15</v>
      </c>
      <c r="B2317" t="s">
        <v>16</v>
      </c>
      <c r="C2317" s="13">
        <v>43831</v>
      </c>
      <c r="D2317" s="13">
        <v>44196</v>
      </c>
      <c r="E2317" t="s">
        <v>17</v>
      </c>
      <c r="F2317">
        <v>3</v>
      </c>
      <c r="G2317" t="s">
        <v>18</v>
      </c>
      <c r="H2317">
        <v>1</v>
      </c>
      <c r="I2317" t="s">
        <v>19</v>
      </c>
      <c r="J2317">
        <v>565</v>
      </c>
      <c r="K2317" t="s">
        <v>1348</v>
      </c>
      <c r="L2317" s="13">
        <v>44063</v>
      </c>
      <c r="M2317" t="s">
        <v>1342</v>
      </c>
      <c r="N2317" t="s">
        <v>1349</v>
      </c>
      <c r="O2317">
        <v>770</v>
      </c>
      <c r="P2317" t="s">
        <v>1034</v>
      </c>
    </row>
    <row r="2318" spans="1:16" ht="15" customHeight="1" x14ac:dyDescent="0.4">
      <c r="A2318" t="s">
        <v>15</v>
      </c>
      <c r="B2318" t="s">
        <v>16</v>
      </c>
      <c r="C2318" s="13">
        <v>43831</v>
      </c>
      <c r="D2318" s="13">
        <v>44196</v>
      </c>
      <c r="E2318" t="s">
        <v>17</v>
      </c>
      <c r="F2318">
        <v>3</v>
      </c>
      <c r="G2318" t="s">
        <v>18</v>
      </c>
      <c r="H2318">
        <v>1</v>
      </c>
      <c r="I2318" t="s">
        <v>19</v>
      </c>
      <c r="J2318">
        <v>702</v>
      </c>
      <c r="K2318" t="s">
        <v>275</v>
      </c>
      <c r="L2318" s="13">
        <v>44196</v>
      </c>
      <c r="M2318" t="s">
        <v>1350</v>
      </c>
      <c r="N2318" t="s">
        <v>46</v>
      </c>
      <c r="O2318">
        <v>60.29</v>
      </c>
      <c r="P2318" t="s">
        <v>46</v>
      </c>
    </row>
    <row r="2319" spans="1:16" ht="15" customHeight="1" x14ac:dyDescent="0.4">
      <c r="A2319" t="s">
        <v>15</v>
      </c>
      <c r="B2319" t="s">
        <v>16</v>
      </c>
      <c r="C2319" s="13">
        <v>43831</v>
      </c>
      <c r="D2319" s="13">
        <v>44196</v>
      </c>
      <c r="E2319" t="s">
        <v>17</v>
      </c>
      <c r="F2319">
        <v>3</v>
      </c>
      <c r="G2319" t="s">
        <v>18</v>
      </c>
      <c r="H2319">
        <v>1</v>
      </c>
      <c r="I2319" t="s">
        <v>19</v>
      </c>
      <c r="J2319">
        <v>883</v>
      </c>
      <c r="K2319" t="s">
        <v>371</v>
      </c>
      <c r="L2319" s="13">
        <v>44196</v>
      </c>
      <c r="M2319" t="s">
        <v>1351</v>
      </c>
      <c r="N2319" t="s">
        <v>376</v>
      </c>
      <c r="O2319">
        <v>52.04</v>
      </c>
      <c r="P2319" t="s">
        <v>46</v>
      </c>
    </row>
    <row r="2320" spans="1:16" ht="15" customHeight="1" x14ac:dyDescent="0.4">
      <c r="A2320" t="s">
        <v>15</v>
      </c>
      <c r="B2320" t="s">
        <v>16</v>
      </c>
      <c r="C2320" s="13">
        <v>43831</v>
      </c>
      <c r="D2320" s="13">
        <v>44196</v>
      </c>
      <c r="E2320" t="s">
        <v>17</v>
      </c>
      <c r="F2320">
        <v>3</v>
      </c>
      <c r="G2320" t="s">
        <v>18</v>
      </c>
      <c r="H2320">
        <v>1</v>
      </c>
      <c r="I2320" t="s">
        <v>19</v>
      </c>
      <c r="J2320">
        <v>891</v>
      </c>
      <c r="K2320" t="s">
        <v>377</v>
      </c>
      <c r="L2320" s="13">
        <v>44196</v>
      </c>
      <c r="M2320" t="s">
        <v>1266</v>
      </c>
      <c r="N2320" t="s">
        <v>46</v>
      </c>
      <c r="O2320">
        <v>10208.76</v>
      </c>
      <c r="P2320" t="s">
        <v>46</v>
      </c>
    </row>
    <row r="2321" spans="1:16" ht="15" customHeight="1" x14ac:dyDescent="0.4">
      <c r="A2321" t="s">
        <v>15</v>
      </c>
      <c r="B2321" t="s">
        <v>16</v>
      </c>
      <c r="C2321" s="13">
        <v>43831</v>
      </c>
      <c r="D2321" s="13">
        <v>44196</v>
      </c>
      <c r="E2321" t="s">
        <v>17</v>
      </c>
      <c r="F2321">
        <v>5</v>
      </c>
      <c r="G2321" t="s">
        <v>501</v>
      </c>
      <c r="H2321">
        <v>40</v>
      </c>
      <c r="I2321" t="s">
        <v>501</v>
      </c>
      <c r="J2321">
        <v>264</v>
      </c>
      <c r="K2321" t="s">
        <v>502</v>
      </c>
      <c r="L2321" s="13">
        <v>43852</v>
      </c>
      <c r="M2321" t="s">
        <v>351</v>
      </c>
      <c r="N2321" t="s">
        <v>1053</v>
      </c>
      <c r="O2321">
        <v>10.77</v>
      </c>
      <c r="P2321" t="s">
        <v>52</v>
      </c>
    </row>
    <row r="2322" spans="1:16" ht="15" customHeight="1" x14ac:dyDescent="0.4">
      <c r="A2322" t="s">
        <v>15</v>
      </c>
      <c r="B2322" t="s">
        <v>16</v>
      </c>
      <c r="C2322" s="13">
        <v>43831</v>
      </c>
      <c r="D2322" s="13">
        <v>44196</v>
      </c>
      <c r="E2322" t="s">
        <v>17</v>
      </c>
      <c r="F2322">
        <v>5</v>
      </c>
      <c r="G2322" t="s">
        <v>501</v>
      </c>
      <c r="H2322">
        <v>40</v>
      </c>
      <c r="I2322" t="s">
        <v>501</v>
      </c>
      <c r="J2322">
        <v>264</v>
      </c>
      <c r="K2322" t="s">
        <v>502</v>
      </c>
      <c r="L2322" s="13">
        <v>43910</v>
      </c>
      <c r="M2322" t="s">
        <v>351</v>
      </c>
      <c r="N2322" t="s">
        <v>1054</v>
      </c>
      <c r="O2322">
        <v>6.41</v>
      </c>
      <c r="P2322" t="s">
        <v>52</v>
      </c>
    </row>
    <row r="2323" spans="1:16" ht="15" customHeight="1" x14ac:dyDescent="0.4">
      <c r="A2323" t="s">
        <v>15</v>
      </c>
      <c r="B2323" t="s">
        <v>16</v>
      </c>
      <c r="C2323" s="13">
        <v>43831</v>
      </c>
      <c r="D2323" s="13">
        <v>44196</v>
      </c>
      <c r="E2323" t="s">
        <v>17</v>
      </c>
      <c r="F2323">
        <v>5</v>
      </c>
      <c r="G2323" t="s">
        <v>501</v>
      </c>
      <c r="H2323">
        <v>40</v>
      </c>
      <c r="I2323" t="s">
        <v>501</v>
      </c>
      <c r="J2323">
        <v>264</v>
      </c>
      <c r="K2323" t="s">
        <v>502</v>
      </c>
      <c r="L2323" s="13">
        <v>43991</v>
      </c>
      <c r="M2323" t="s">
        <v>351</v>
      </c>
      <c r="N2323" t="s">
        <v>1055</v>
      </c>
      <c r="O2323">
        <v>2.4900000000000002</v>
      </c>
      <c r="P2323" t="s">
        <v>52</v>
      </c>
    </row>
    <row r="2324" spans="1:16" ht="15" customHeight="1" x14ac:dyDescent="0.4">
      <c r="A2324" t="s">
        <v>15</v>
      </c>
      <c r="B2324" t="s">
        <v>16</v>
      </c>
      <c r="C2324" s="13">
        <v>43831</v>
      </c>
      <c r="D2324" s="13">
        <v>44196</v>
      </c>
      <c r="E2324" t="s">
        <v>17</v>
      </c>
      <c r="F2324">
        <v>5</v>
      </c>
      <c r="G2324" t="s">
        <v>501</v>
      </c>
      <c r="H2324">
        <v>40</v>
      </c>
      <c r="I2324" t="s">
        <v>501</v>
      </c>
      <c r="J2324">
        <v>264</v>
      </c>
      <c r="K2324" t="s">
        <v>502</v>
      </c>
      <c r="L2324" s="13">
        <v>44032</v>
      </c>
      <c r="M2324" t="s">
        <v>351</v>
      </c>
      <c r="N2324" t="s">
        <v>1056</v>
      </c>
      <c r="O2324">
        <v>30.16</v>
      </c>
      <c r="P2324" t="s">
        <v>52</v>
      </c>
    </row>
    <row r="2325" spans="1:16" ht="15" customHeight="1" x14ac:dyDescent="0.4">
      <c r="A2325" t="s">
        <v>15</v>
      </c>
      <c r="B2325" t="s">
        <v>16</v>
      </c>
      <c r="C2325" s="13">
        <v>43831</v>
      </c>
      <c r="D2325" s="13">
        <v>44196</v>
      </c>
      <c r="E2325" t="s">
        <v>17</v>
      </c>
      <c r="F2325">
        <v>5</v>
      </c>
      <c r="G2325" t="s">
        <v>501</v>
      </c>
      <c r="H2325">
        <v>40</v>
      </c>
      <c r="I2325" t="s">
        <v>501</v>
      </c>
      <c r="J2325">
        <v>264</v>
      </c>
      <c r="K2325" t="s">
        <v>502</v>
      </c>
      <c r="L2325" s="13">
        <v>44096</v>
      </c>
      <c r="M2325" t="s">
        <v>351</v>
      </c>
      <c r="N2325" t="s">
        <v>1057</v>
      </c>
      <c r="O2325">
        <v>37.5</v>
      </c>
      <c r="P2325" t="s">
        <v>52</v>
      </c>
    </row>
    <row r="2326" spans="1:16" ht="15" customHeight="1" x14ac:dyDescent="0.4">
      <c r="A2326" t="s">
        <v>15</v>
      </c>
      <c r="B2326" t="s">
        <v>16</v>
      </c>
      <c r="C2326" s="13">
        <v>43831</v>
      </c>
      <c r="D2326" s="13">
        <v>44196</v>
      </c>
      <c r="E2326" t="s">
        <v>17</v>
      </c>
      <c r="F2326">
        <v>5</v>
      </c>
      <c r="G2326" t="s">
        <v>501</v>
      </c>
      <c r="H2326">
        <v>40</v>
      </c>
      <c r="I2326" t="s">
        <v>501</v>
      </c>
      <c r="J2326">
        <v>264</v>
      </c>
      <c r="K2326" t="s">
        <v>502</v>
      </c>
      <c r="L2326" s="13">
        <v>44156</v>
      </c>
      <c r="M2326" t="s">
        <v>351</v>
      </c>
      <c r="N2326" t="s">
        <v>1058</v>
      </c>
      <c r="O2326">
        <v>25.31</v>
      </c>
      <c r="P2326" t="s">
        <v>52</v>
      </c>
    </row>
    <row r="2327" spans="1:16" ht="15" customHeight="1" x14ac:dyDescent="0.4">
      <c r="A2327" t="s">
        <v>15</v>
      </c>
      <c r="B2327" t="s">
        <v>16</v>
      </c>
      <c r="C2327" s="13">
        <v>43831</v>
      </c>
      <c r="D2327" s="13">
        <v>44196</v>
      </c>
      <c r="E2327" t="s">
        <v>17</v>
      </c>
      <c r="F2327">
        <v>5</v>
      </c>
      <c r="G2327" t="s">
        <v>501</v>
      </c>
      <c r="H2327">
        <v>40</v>
      </c>
      <c r="I2327" t="s">
        <v>501</v>
      </c>
      <c r="J2327">
        <v>741</v>
      </c>
      <c r="K2327" t="s">
        <v>505</v>
      </c>
      <c r="L2327" s="13">
        <v>43853</v>
      </c>
      <c r="M2327" t="s">
        <v>1352</v>
      </c>
      <c r="N2327" t="s">
        <v>1353</v>
      </c>
      <c r="O2327">
        <v>35.93</v>
      </c>
      <c r="P2327" t="s">
        <v>508</v>
      </c>
    </row>
    <row r="2328" spans="1:16" ht="15" customHeight="1" x14ac:dyDescent="0.4">
      <c r="A2328" t="s">
        <v>15</v>
      </c>
      <c r="B2328" t="s">
        <v>16</v>
      </c>
      <c r="C2328" s="13">
        <v>43831</v>
      </c>
      <c r="D2328" s="13">
        <v>44196</v>
      </c>
      <c r="E2328" t="s">
        <v>17</v>
      </c>
      <c r="F2328">
        <v>5</v>
      </c>
      <c r="G2328" t="s">
        <v>501</v>
      </c>
      <c r="H2328">
        <v>40</v>
      </c>
      <c r="I2328" t="s">
        <v>501</v>
      </c>
      <c r="J2328">
        <v>741</v>
      </c>
      <c r="K2328" t="s">
        <v>505</v>
      </c>
      <c r="L2328" s="13">
        <v>44067</v>
      </c>
      <c r="M2328" t="s">
        <v>1354</v>
      </c>
      <c r="N2328" t="s">
        <v>1355</v>
      </c>
      <c r="O2328">
        <v>42.93</v>
      </c>
      <c r="P2328" t="s">
        <v>508</v>
      </c>
    </row>
    <row r="2329" spans="1:16" ht="15" customHeight="1" x14ac:dyDescent="0.4">
      <c r="A2329" t="s">
        <v>15</v>
      </c>
      <c r="B2329" t="s">
        <v>16</v>
      </c>
      <c r="C2329" s="13">
        <v>43831</v>
      </c>
      <c r="D2329" s="13">
        <v>44196</v>
      </c>
      <c r="E2329" t="s">
        <v>17</v>
      </c>
      <c r="F2329">
        <v>5</v>
      </c>
      <c r="G2329" t="s">
        <v>501</v>
      </c>
      <c r="H2329">
        <v>40</v>
      </c>
      <c r="I2329" t="s">
        <v>501</v>
      </c>
      <c r="J2329">
        <v>801</v>
      </c>
      <c r="K2329" t="s">
        <v>511</v>
      </c>
      <c r="L2329" s="13">
        <v>43831</v>
      </c>
      <c r="M2329" t="s">
        <v>1356</v>
      </c>
      <c r="N2329" t="s">
        <v>1357</v>
      </c>
      <c r="O2329">
        <v>247.48</v>
      </c>
      <c r="P2329" t="s">
        <v>508</v>
      </c>
    </row>
    <row r="2330" spans="1:16" ht="15" customHeight="1" x14ac:dyDescent="0.4">
      <c r="A2330" t="s">
        <v>15</v>
      </c>
      <c r="B2330" t="s">
        <v>16</v>
      </c>
      <c r="C2330" s="13">
        <v>43831</v>
      </c>
      <c r="D2330" s="13">
        <v>44196</v>
      </c>
      <c r="E2330" t="s">
        <v>17</v>
      </c>
      <c r="F2330">
        <v>5</v>
      </c>
      <c r="G2330" t="s">
        <v>501</v>
      </c>
      <c r="H2330">
        <v>40</v>
      </c>
      <c r="I2330" t="s">
        <v>501</v>
      </c>
      <c r="J2330">
        <v>801</v>
      </c>
      <c r="K2330" t="s">
        <v>511</v>
      </c>
      <c r="L2330" s="13">
        <v>43896</v>
      </c>
      <c r="M2330" t="s">
        <v>1358</v>
      </c>
      <c r="N2330" t="s">
        <v>1359</v>
      </c>
      <c r="O2330">
        <v>247.48</v>
      </c>
      <c r="P2330" t="s">
        <v>508</v>
      </c>
    </row>
    <row r="2331" spans="1:16" ht="15" customHeight="1" x14ac:dyDescent="0.4">
      <c r="A2331" t="s">
        <v>15</v>
      </c>
      <c r="B2331" t="s">
        <v>16</v>
      </c>
      <c r="C2331" s="13">
        <v>43831</v>
      </c>
      <c r="D2331" s="13">
        <v>44196</v>
      </c>
      <c r="E2331" t="s">
        <v>17</v>
      </c>
      <c r="F2331">
        <v>5</v>
      </c>
      <c r="G2331" t="s">
        <v>501</v>
      </c>
      <c r="H2331">
        <v>40</v>
      </c>
      <c r="I2331" t="s">
        <v>501</v>
      </c>
      <c r="J2331">
        <v>801</v>
      </c>
      <c r="K2331" t="s">
        <v>511</v>
      </c>
      <c r="L2331" s="13">
        <v>43983</v>
      </c>
      <c r="M2331" t="s">
        <v>1360</v>
      </c>
      <c r="N2331" t="s">
        <v>1361</v>
      </c>
      <c r="O2331">
        <v>247.48</v>
      </c>
      <c r="P2331" t="s">
        <v>508</v>
      </c>
    </row>
    <row r="2332" spans="1:16" ht="15" customHeight="1" x14ac:dyDescent="0.4">
      <c r="A2332" t="s">
        <v>15</v>
      </c>
      <c r="B2332" t="s">
        <v>16</v>
      </c>
      <c r="C2332" s="13">
        <v>43831</v>
      </c>
      <c r="D2332" s="13">
        <v>44196</v>
      </c>
      <c r="E2332" t="s">
        <v>17</v>
      </c>
      <c r="F2332">
        <v>5</v>
      </c>
      <c r="G2332" t="s">
        <v>501</v>
      </c>
      <c r="H2332">
        <v>40</v>
      </c>
      <c r="I2332" t="s">
        <v>501</v>
      </c>
      <c r="J2332">
        <v>801</v>
      </c>
      <c r="K2332" t="s">
        <v>511</v>
      </c>
      <c r="L2332" s="13">
        <v>44075</v>
      </c>
      <c r="M2332" t="s">
        <v>1362</v>
      </c>
      <c r="N2332" t="s">
        <v>1363</v>
      </c>
      <c r="O2332">
        <v>247.48</v>
      </c>
      <c r="P2332" t="s">
        <v>508</v>
      </c>
    </row>
    <row r="2333" spans="1:16" ht="15" customHeight="1" x14ac:dyDescent="0.4">
      <c r="A2333" t="s">
        <v>15</v>
      </c>
      <c r="B2333" t="s">
        <v>16</v>
      </c>
      <c r="C2333" s="13">
        <v>43831</v>
      </c>
      <c r="D2333" s="13">
        <v>44196</v>
      </c>
      <c r="E2333" t="s">
        <v>17</v>
      </c>
      <c r="F2333">
        <v>6</v>
      </c>
      <c r="G2333" t="s">
        <v>525</v>
      </c>
      <c r="H2333">
        <v>65</v>
      </c>
      <c r="I2333" t="s">
        <v>526</v>
      </c>
      <c r="J2333">
        <v>821</v>
      </c>
      <c r="K2333" t="s">
        <v>527</v>
      </c>
      <c r="L2333" s="13">
        <v>43891</v>
      </c>
      <c r="M2333" t="s">
        <v>1364</v>
      </c>
      <c r="N2333" t="s">
        <v>1365</v>
      </c>
      <c r="O2333">
        <v>2415.11</v>
      </c>
      <c r="P2333" t="s">
        <v>530</v>
      </c>
    </row>
    <row r="2334" spans="1:16" ht="15" customHeight="1" x14ac:dyDescent="0.4">
      <c r="A2334" t="s">
        <v>15</v>
      </c>
      <c r="B2334" t="s">
        <v>16</v>
      </c>
      <c r="C2334" s="13">
        <v>43831</v>
      </c>
      <c r="D2334" s="13">
        <v>44196</v>
      </c>
      <c r="E2334" t="s">
        <v>17</v>
      </c>
      <c r="F2334">
        <v>6</v>
      </c>
      <c r="G2334" t="s">
        <v>525</v>
      </c>
      <c r="H2334">
        <v>65</v>
      </c>
      <c r="I2334" t="s">
        <v>526</v>
      </c>
      <c r="J2334">
        <v>821</v>
      </c>
      <c r="K2334" t="s">
        <v>527</v>
      </c>
      <c r="L2334" s="13">
        <v>44075</v>
      </c>
      <c r="M2334" t="s">
        <v>1366</v>
      </c>
      <c r="N2334" t="s">
        <v>1367</v>
      </c>
      <c r="O2334">
        <v>2415.11</v>
      </c>
      <c r="P2334" t="s">
        <v>530</v>
      </c>
    </row>
    <row r="2335" spans="1:16" ht="15" customHeight="1" x14ac:dyDescent="0.4">
      <c r="A2335" t="s">
        <v>15</v>
      </c>
      <c r="B2335" t="s">
        <v>16</v>
      </c>
      <c r="C2335" s="13">
        <v>43831</v>
      </c>
      <c r="D2335" s="13">
        <v>44196</v>
      </c>
      <c r="E2335" t="s">
        <v>17</v>
      </c>
      <c r="F2335">
        <v>6</v>
      </c>
      <c r="G2335" t="s">
        <v>525</v>
      </c>
      <c r="H2335">
        <v>65</v>
      </c>
      <c r="I2335" t="s">
        <v>526</v>
      </c>
      <c r="J2335">
        <v>821</v>
      </c>
      <c r="K2335" t="s">
        <v>527</v>
      </c>
      <c r="L2335" s="13">
        <v>44196</v>
      </c>
      <c r="M2335" t="s">
        <v>986</v>
      </c>
      <c r="N2335" t="s">
        <v>46</v>
      </c>
      <c r="O2335">
        <v>-3220.16</v>
      </c>
      <c r="P2335" t="s">
        <v>46</v>
      </c>
    </row>
    <row r="2336" spans="1:16" ht="15" customHeight="1" x14ac:dyDescent="0.4">
      <c r="A2336" t="s">
        <v>15</v>
      </c>
      <c r="B2336" t="s">
        <v>16</v>
      </c>
      <c r="C2336" s="13">
        <v>43831</v>
      </c>
      <c r="D2336" s="13">
        <v>44196</v>
      </c>
      <c r="E2336" t="s">
        <v>17</v>
      </c>
      <c r="F2336">
        <v>6</v>
      </c>
      <c r="G2336" t="s">
        <v>525</v>
      </c>
      <c r="H2336">
        <v>65</v>
      </c>
      <c r="I2336" t="s">
        <v>526</v>
      </c>
      <c r="J2336">
        <v>825</v>
      </c>
      <c r="K2336" t="s">
        <v>534</v>
      </c>
      <c r="L2336" s="13">
        <v>44096</v>
      </c>
      <c r="M2336" t="s">
        <v>1368</v>
      </c>
      <c r="N2336" t="s">
        <v>1369</v>
      </c>
      <c r="O2336">
        <v>45.1</v>
      </c>
      <c r="P2336" t="s">
        <v>530</v>
      </c>
    </row>
    <row r="2337" spans="1:16" ht="15" customHeight="1" x14ac:dyDescent="0.4">
      <c r="A2337" t="s">
        <v>15</v>
      </c>
      <c r="B2337" t="s">
        <v>16</v>
      </c>
      <c r="C2337" s="13">
        <v>43831</v>
      </c>
      <c r="D2337" s="13">
        <v>44196</v>
      </c>
      <c r="E2337" t="s">
        <v>17</v>
      </c>
      <c r="F2337">
        <v>8</v>
      </c>
      <c r="G2337" t="s">
        <v>501</v>
      </c>
      <c r="H2337">
        <v>40</v>
      </c>
      <c r="I2337" t="s">
        <v>501</v>
      </c>
      <c r="J2337">
        <v>264</v>
      </c>
      <c r="K2337" t="s">
        <v>3681</v>
      </c>
      <c r="L2337" s="13">
        <v>43852</v>
      </c>
      <c r="M2337" t="s">
        <v>351</v>
      </c>
      <c r="N2337" t="s">
        <v>1255</v>
      </c>
      <c r="O2337">
        <v>52.84</v>
      </c>
      <c r="P2337" t="s">
        <v>52</v>
      </c>
    </row>
    <row r="2338" spans="1:16" ht="15" customHeight="1" x14ac:dyDescent="0.4">
      <c r="A2338" t="s">
        <v>15</v>
      </c>
      <c r="B2338" t="s">
        <v>16</v>
      </c>
      <c r="C2338" s="13">
        <v>43831</v>
      </c>
      <c r="D2338" s="13">
        <v>44196</v>
      </c>
      <c r="E2338" t="s">
        <v>17</v>
      </c>
      <c r="F2338">
        <v>8</v>
      </c>
      <c r="G2338" t="s">
        <v>501</v>
      </c>
      <c r="H2338">
        <v>40</v>
      </c>
      <c r="I2338" t="s">
        <v>501</v>
      </c>
      <c r="J2338">
        <v>264</v>
      </c>
      <c r="K2338" t="s">
        <v>3681</v>
      </c>
      <c r="L2338" s="13">
        <v>43912</v>
      </c>
      <c r="M2338" t="s">
        <v>351</v>
      </c>
      <c r="N2338" t="s">
        <v>1256</v>
      </c>
      <c r="O2338">
        <v>31.89</v>
      </c>
      <c r="P2338" t="s">
        <v>52</v>
      </c>
    </row>
    <row r="2339" spans="1:16" ht="15" customHeight="1" x14ac:dyDescent="0.4">
      <c r="A2339" t="s">
        <v>15</v>
      </c>
      <c r="B2339" t="s">
        <v>16</v>
      </c>
      <c r="C2339" s="13">
        <v>43831</v>
      </c>
      <c r="D2339" s="13">
        <v>44196</v>
      </c>
      <c r="E2339" t="s">
        <v>17</v>
      </c>
      <c r="F2339">
        <v>8</v>
      </c>
      <c r="G2339" t="s">
        <v>501</v>
      </c>
      <c r="H2339">
        <v>40</v>
      </c>
      <c r="I2339" t="s">
        <v>501</v>
      </c>
      <c r="J2339">
        <v>264</v>
      </c>
      <c r="K2339" t="s">
        <v>3681</v>
      </c>
      <c r="L2339" s="13">
        <v>43973</v>
      </c>
      <c r="M2339" t="s">
        <v>351</v>
      </c>
      <c r="N2339" t="s">
        <v>1257</v>
      </c>
      <c r="O2339">
        <v>29.06</v>
      </c>
      <c r="P2339" t="s">
        <v>52</v>
      </c>
    </row>
    <row r="2340" spans="1:16" ht="15" customHeight="1" x14ac:dyDescent="0.4">
      <c r="A2340" t="s">
        <v>15</v>
      </c>
      <c r="B2340" t="s">
        <v>16</v>
      </c>
      <c r="C2340" s="13">
        <v>43831</v>
      </c>
      <c r="D2340" s="13">
        <v>44196</v>
      </c>
      <c r="E2340" t="s">
        <v>17</v>
      </c>
      <c r="F2340">
        <v>8</v>
      </c>
      <c r="G2340" t="s">
        <v>501</v>
      </c>
      <c r="H2340">
        <v>40</v>
      </c>
      <c r="I2340" t="s">
        <v>501</v>
      </c>
      <c r="J2340">
        <v>264</v>
      </c>
      <c r="K2340" t="s">
        <v>3681</v>
      </c>
      <c r="L2340" s="13">
        <v>44034</v>
      </c>
      <c r="M2340" t="s">
        <v>351</v>
      </c>
      <c r="N2340" t="s">
        <v>1258</v>
      </c>
      <c r="O2340">
        <v>28.77</v>
      </c>
      <c r="P2340" t="s">
        <v>52</v>
      </c>
    </row>
    <row r="2341" spans="1:16" ht="15" customHeight="1" x14ac:dyDescent="0.4">
      <c r="A2341" t="s">
        <v>15</v>
      </c>
      <c r="B2341" t="s">
        <v>16</v>
      </c>
      <c r="C2341" s="13">
        <v>43831</v>
      </c>
      <c r="D2341" s="13">
        <v>44196</v>
      </c>
      <c r="E2341" t="s">
        <v>17</v>
      </c>
      <c r="F2341">
        <v>8</v>
      </c>
      <c r="G2341" t="s">
        <v>501</v>
      </c>
      <c r="H2341">
        <v>40</v>
      </c>
      <c r="I2341" t="s">
        <v>501</v>
      </c>
      <c r="J2341">
        <v>264</v>
      </c>
      <c r="K2341" t="s">
        <v>3681</v>
      </c>
      <c r="L2341" s="13">
        <v>44098</v>
      </c>
      <c r="M2341" t="s">
        <v>351</v>
      </c>
      <c r="N2341" t="s">
        <v>1259</v>
      </c>
      <c r="O2341">
        <v>27.81</v>
      </c>
      <c r="P2341" t="s">
        <v>52</v>
      </c>
    </row>
    <row r="2342" spans="1:16" ht="15" customHeight="1" x14ac:dyDescent="0.4">
      <c r="A2342" t="s">
        <v>15</v>
      </c>
      <c r="B2342" t="s">
        <v>16</v>
      </c>
      <c r="C2342" s="13">
        <v>43831</v>
      </c>
      <c r="D2342" s="13">
        <v>44196</v>
      </c>
      <c r="E2342" t="s">
        <v>17</v>
      </c>
      <c r="F2342">
        <v>8</v>
      </c>
      <c r="G2342" t="s">
        <v>501</v>
      </c>
      <c r="H2342">
        <v>40</v>
      </c>
      <c r="I2342" t="s">
        <v>501</v>
      </c>
      <c r="J2342">
        <v>264</v>
      </c>
      <c r="K2342" t="s">
        <v>3681</v>
      </c>
      <c r="L2342" s="13">
        <v>44157</v>
      </c>
      <c r="M2342" t="s">
        <v>351</v>
      </c>
      <c r="N2342" t="s">
        <v>1260</v>
      </c>
      <c r="O2342">
        <v>26.34</v>
      </c>
      <c r="P2342" t="s">
        <v>52</v>
      </c>
    </row>
    <row r="2343" spans="1:16" ht="15" customHeight="1" x14ac:dyDescent="0.4">
      <c r="A2343" t="s">
        <v>15</v>
      </c>
      <c r="B2343" t="s">
        <v>16</v>
      </c>
      <c r="C2343" s="13">
        <v>43831</v>
      </c>
      <c r="D2343" s="13">
        <v>44196</v>
      </c>
      <c r="E2343" t="s">
        <v>17</v>
      </c>
      <c r="F2343">
        <v>8</v>
      </c>
      <c r="G2343" t="s">
        <v>501</v>
      </c>
      <c r="H2343">
        <v>40</v>
      </c>
      <c r="I2343" t="s">
        <v>501</v>
      </c>
      <c r="J2343">
        <v>741</v>
      </c>
      <c r="K2343" t="s">
        <v>505</v>
      </c>
      <c r="L2343" s="13">
        <v>43853</v>
      </c>
      <c r="M2343" t="s">
        <v>1352</v>
      </c>
      <c r="N2343" t="s">
        <v>1370</v>
      </c>
      <c r="O2343">
        <v>34.99</v>
      </c>
      <c r="P2343" t="s">
        <v>508</v>
      </c>
    </row>
    <row r="2344" spans="1:16" ht="15" customHeight="1" x14ac:dyDescent="0.4">
      <c r="A2344" t="s">
        <v>15</v>
      </c>
      <c r="B2344" t="s">
        <v>16</v>
      </c>
      <c r="C2344" s="13">
        <v>43831</v>
      </c>
      <c r="D2344" s="13">
        <v>44196</v>
      </c>
      <c r="E2344" t="s">
        <v>17</v>
      </c>
      <c r="F2344">
        <v>8</v>
      </c>
      <c r="G2344" t="s">
        <v>501</v>
      </c>
      <c r="H2344">
        <v>40</v>
      </c>
      <c r="I2344" t="s">
        <v>501</v>
      </c>
      <c r="J2344">
        <v>741</v>
      </c>
      <c r="K2344" t="s">
        <v>505</v>
      </c>
      <c r="L2344" s="13">
        <v>44067</v>
      </c>
      <c r="M2344" t="s">
        <v>1371</v>
      </c>
      <c r="N2344" t="s">
        <v>1372</v>
      </c>
      <c r="O2344">
        <v>43.65</v>
      </c>
      <c r="P2344" t="s">
        <v>508</v>
      </c>
    </row>
    <row r="2345" spans="1:16" ht="15" customHeight="1" x14ac:dyDescent="0.4">
      <c r="A2345" t="s">
        <v>15</v>
      </c>
      <c r="B2345" t="s">
        <v>16</v>
      </c>
      <c r="C2345" s="13">
        <v>43831</v>
      </c>
      <c r="D2345" s="13">
        <v>44196</v>
      </c>
      <c r="E2345" t="s">
        <v>17</v>
      </c>
      <c r="F2345">
        <v>8</v>
      </c>
      <c r="G2345" t="s">
        <v>501</v>
      </c>
      <c r="H2345">
        <v>40</v>
      </c>
      <c r="I2345" t="s">
        <v>501</v>
      </c>
      <c r="J2345">
        <v>801</v>
      </c>
      <c r="K2345" t="s">
        <v>511</v>
      </c>
      <c r="L2345" s="13">
        <v>43831</v>
      </c>
      <c r="M2345" t="s">
        <v>1356</v>
      </c>
      <c r="N2345" t="s">
        <v>1357</v>
      </c>
      <c r="O2345">
        <v>247.48</v>
      </c>
      <c r="P2345" t="s">
        <v>508</v>
      </c>
    </row>
    <row r="2346" spans="1:16" ht="15" customHeight="1" x14ac:dyDescent="0.4">
      <c r="A2346" t="s">
        <v>15</v>
      </c>
      <c r="B2346" t="s">
        <v>16</v>
      </c>
      <c r="C2346" s="13">
        <v>43831</v>
      </c>
      <c r="D2346" s="13">
        <v>44196</v>
      </c>
      <c r="E2346" t="s">
        <v>17</v>
      </c>
      <c r="F2346">
        <v>8</v>
      </c>
      <c r="G2346" t="s">
        <v>501</v>
      </c>
      <c r="H2346">
        <v>40</v>
      </c>
      <c r="I2346" t="s">
        <v>501</v>
      </c>
      <c r="J2346">
        <v>801</v>
      </c>
      <c r="K2346" t="s">
        <v>511</v>
      </c>
      <c r="L2346" s="13">
        <v>43896</v>
      </c>
      <c r="M2346" t="s">
        <v>1358</v>
      </c>
      <c r="N2346" t="s">
        <v>1359</v>
      </c>
      <c r="O2346">
        <v>247.48</v>
      </c>
      <c r="P2346" t="s">
        <v>508</v>
      </c>
    </row>
    <row r="2347" spans="1:16" ht="15" customHeight="1" x14ac:dyDescent="0.4">
      <c r="A2347" t="s">
        <v>15</v>
      </c>
      <c r="B2347" t="s">
        <v>16</v>
      </c>
      <c r="C2347" s="13">
        <v>43831</v>
      </c>
      <c r="D2347" s="13">
        <v>44196</v>
      </c>
      <c r="E2347" t="s">
        <v>17</v>
      </c>
      <c r="F2347">
        <v>8</v>
      </c>
      <c r="G2347" t="s">
        <v>501</v>
      </c>
      <c r="H2347">
        <v>40</v>
      </c>
      <c r="I2347" t="s">
        <v>501</v>
      </c>
      <c r="J2347">
        <v>801</v>
      </c>
      <c r="K2347" t="s">
        <v>511</v>
      </c>
      <c r="L2347" s="13">
        <v>43983</v>
      </c>
      <c r="M2347" t="s">
        <v>1360</v>
      </c>
      <c r="N2347" t="s">
        <v>1361</v>
      </c>
      <c r="O2347">
        <v>247.48</v>
      </c>
      <c r="P2347" t="s">
        <v>508</v>
      </c>
    </row>
    <row r="2348" spans="1:16" ht="15" customHeight="1" x14ac:dyDescent="0.4">
      <c r="A2348" t="s">
        <v>15</v>
      </c>
      <c r="B2348" t="s">
        <v>16</v>
      </c>
      <c r="C2348" s="13">
        <v>43831</v>
      </c>
      <c r="D2348" s="13">
        <v>44196</v>
      </c>
      <c r="E2348" t="s">
        <v>17</v>
      </c>
      <c r="F2348">
        <v>8</v>
      </c>
      <c r="G2348" t="s">
        <v>501</v>
      </c>
      <c r="H2348">
        <v>40</v>
      </c>
      <c r="I2348" t="s">
        <v>501</v>
      </c>
      <c r="J2348">
        <v>801</v>
      </c>
      <c r="K2348" t="s">
        <v>511</v>
      </c>
      <c r="L2348" s="13">
        <v>44075</v>
      </c>
      <c r="M2348" t="s">
        <v>1362</v>
      </c>
      <c r="N2348" t="s">
        <v>1363</v>
      </c>
      <c r="O2348">
        <v>247.48</v>
      </c>
      <c r="P2348" t="s">
        <v>508</v>
      </c>
    </row>
    <row r="2349" spans="1:16" ht="15" customHeight="1" x14ac:dyDescent="0.4">
      <c r="A2349" t="s">
        <v>15</v>
      </c>
      <c r="B2349" t="s">
        <v>16</v>
      </c>
      <c r="C2349" s="13">
        <v>43831</v>
      </c>
      <c r="D2349" s="13">
        <v>44196</v>
      </c>
      <c r="E2349" t="s">
        <v>17</v>
      </c>
      <c r="F2349">
        <v>9</v>
      </c>
      <c r="G2349" t="s">
        <v>525</v>
      </c>
      <c r="H2349">
        <v>65</v>
      </c>
      <c r="I2349" t="s">
        <v>526</v>
      </c>
      <c r="J2349">
        <v>821</v>
      </c>
      <c r="K2349" t="s">
        <v>527</v>
      </c>
      <c r="L2349" s="13">
        <v>44196</v>
      </c>
      <c r="M2349" t="s">
        <v>553</v>
      </c>
      <c r="N2349" t="s">
        <v>46</v>
      </c>
      <c r="O2349">
        <v>1610.08</v>
      </c>
      <c r="P2349" t="s">
        <v>46</v>
      </c>
    </row>
    <row r="2350" spans="1:16" ht="15" customHeight="1" x14ac:dyDescent="0.4">
      <c r="A2350" t="s">
        <v>15</v>
      </c>
      <c r="B2350" t="s">
        <v>16</v>
      </c>
      <c r="C2350" s="13">
        <v>43831</v>
      </c>
      <c r="D2350" s="13">
        <v>44196</v>
      </c>
      <c r="E2350" t="s">
        <v>17</v>
      </c>
      <c r="F2350">
        <v>9</v>
      </c>
      <c r="G2350" t="s">
        <v>525</v>
      </c>
      <c r="H2350">
        <v>65</v>
      </c>
      <c r="I2350" t="s">
        <v>526</v>
      </c>
      <c r="J2350">
        <v>825</v>
      </c>
      <c r="K2350" t="s">
        <v>534</v>
      </c>
      <c r="L2350" s="13">
        <v>43936</v>
      </c>
      <c r="M2350" t="s">
        <v>1373</v>
      </c>
      <c r="N2350" t="s">
        <v>1374</v>
      </c>
      <c r="O2350">
        <v>763.4</v>
      </c>
      <c r="P2350" t="s">
        <v>530</v>
      </c>
    </row>
    <row r="2351" spans="1:16" ht="15" customHeight="1" x14ac:dyDescent="0.4">
      <c r="A2351" t="s">
        <v>15</v>
      </c>
      <c r="B2351" t="s">
        <v>16</v>
      </c>
      <c r="C2351" s="13">
        <v>43831</v>
      </c>
      <c r="D2351" s="13">
        <v>44196</v>
      </c>
      <c r="E2351" t="s">
        <v>17</v>
      </c>
      <c r="F2351">
        <v>11</v>
      </c>
      <c r="G2351" t="s">
        <v>501</v>
      </c>
      <c r="H2351">
        <v>40</v>
      </c>
      <c r="I2351" t="s">
        <v>501</v>
      </c>
      <c r="J2351">
        <v>264</v>
      </c>
      <c r="K2351" t="s">
        <v>3681</v>
      </c>
      <c r="L2351" s="13">
        <v>43852</v>
      </c>
      <c r="M2351" t="s">
        <v>351</v>
      </c>
      <c r="N2351" t="s">
        <v>1255</v>
      </c>
      <c r="O2351">
        <v>52.84</v>
      </c>
      <c r="P2351" t="s">
        <v>52</v>
      </c>
    </row>
    <row r="2352" spans="1:16" ht="15" customHeight="1" x14ac:dyDescent="0.4">
      <c r="A2352" t="s">
        <v>15</v>
      </c>
      <c r="B2352" t="s">
        <v>16</v>
      </c>
      <c r="C2352" s="13">
        <v>43831</v>
      </c>
      <c r="D2352" s="13">
        <v>44196</v>
      </c>
      <c r="E2352" t="s">
        <v>17</v>
      </c>
      <c r="F2352">
        <v>11</v>
      </c>
      <c r="G2352" t="s">
        <v>501</v>
      </c>
      <c r="H2352">
        <v>40</v>
      </c>
      <c r="I2352" t="s">
        <v>501</v>
      </c>
      <c r="J2352">
        <v>264</v>
      </c>
      <c r="K2352" t="s">
        <v>3681</v>
      </c>
      <c r="L2352" s="13">
        <v>43912</v>
      </c>
      <c r="M2352" t="s">
        <v>351</v>
      </c>
      <c r="N2352" t="s">
        <v>1256</v>
      </c>
      <c r="O2352">
        <v>31.89</v>
      </c>
      <c r="P2352" t="s">
        <v>52</v>
      </c>
    </row>
    <row r="2353" spans="1:16" ht="15" customHeight="1" x14ac:dyDescent="0.4">
      <c r="A2353" t="s">
        <v>15</v>
      </c>
      <c r="B2353" t="s">
        <v>16</v>
      </c>
      <c r="C2353" s="13">
        <v>43831</v>
      </c>
      <c r="D2353" s="13">
        <v>44196</v>
      </c>
      <c r="E2353" t="s">
        <v>17</v>
      </c>
      <c r="F2353">
        <v>11</v>
      </c>
      <c r="G2353" t="s">
        <v>501</v>
      </c>
      <c r="H2353">
        <v>40</v>
      </c>
      <c r="I2353" t="s">
        <v>501</v>
      </c>
      <c r="J2353">
        <v>264</v>
      </c>
      <c r="K2353" t="s">
        <v>3681</v>
      </c>
      <c r="L2353" s="13">
        <v>43973</v>
      </c>
      <c r="M2353" t="s">
        <v>351</v>
      </c>
      <c r="N2353" t="s">
        <v>1257</v>
      </c>
      <c r="O2353">
        <v>29.06</v>
      </c>
      <c r="P2353" t="s">
        <v>52</v>
      </c>
    </row>
    <row r="2354" spans="1:16" ht="15" customHeight="1" x14ac:dyDescent="0.4">
      <c r="A2354" t="s">
        <v>15</v>
      </c>
      <c r="B2354" t="s">
        <v>16</v>
      </c>
      <c r="C2354" s="13">
        <v>43831</v>
      </c>
      <c r="D2354" s="13">
        <v>44196</v>
      </c>
      <c r="E2354" t="s">
        <v>17</v>
      </c>
      <c r="F2354">
        <v>11</v>
      </c>
      <c r="G2354" t="s">
        <v>501</v>
      </c>
      <c r="H2354">
        <v>40</v>
      </c>
      <c r="I2354" t="s">
        <v>501</v>
      </c>
      <c r="J2354">
        <v>264</v>
      </c>
      <c r="K2354" t="s">
        <v>3681</v>
      </c>
      <c r="L2354" s="13">
        <v>44034</v>
      </c>
      <c r="M2354" t="s">
        <v>351</v>
      </c>
      <c r="N2354" t="s">
        <v>1258</v>
      </c>
      <c r="O2354">
        <v>28.77</v>
      </c>
      <c r="P2354" t="s">
        <v>52</v>
      </c>
    </row>
    <row r="2355" spans="1:16" ht="15" customHeight="1" x14ac:dyDescent="0.4">
      <c r="A2355" t="s">
        <v>15</v>
      </c>
      <c r="B2355" t="s">
        <v>16</v>
      </c>
      <c r="C2355" s="13">
        <v>43831</v>
      </c>
      <c r="D2355" s="13">
        <v>44196</v>
      </c>
      <c r="E2355" t="s">
        <v>17</v>
      </c>
      <c r="F2355">
        <v>11</v>
      </c>
      <c r="G2355" t="s">
        <v>501</v>
      </c>
      <c r="H2355">
        <v>40</v>
      </c>
      <c r="I2355" t="s">
        <v>501</v>
      </c>
      <c r="J2355">
        <v>264</v>
      </c>
      <c r="K2355" t="s">
        <v>3681</v>
      </c>
      <c r="L2355" s="13">
        <v>44098</v>
      </c>
      <c r="M2355" t="s">
        <v>351</v>
      </c>
      <c r="N2355" t="s">
        <v>1259</v>
      </c>
      <c r="O2355">
        <v>27.81</v>
      </c>
      <c r="P2355" t="s">
        <v>52</v>
      </c>
    </row>
    <row r="2356" spans="1:16" ht="15" customHeight="1" x14ac:dyDescent="0.4">
      <c r="A2356" t="s">
        <v>15</v>
      </c>
      <c r="B2356" t="s">
        <v>16</v>
      </c>
      <c r="C2356" s="13">
        <v>43831</v>
      </c>
      <c r="D2356" s="13">
        <v>44196</v>
      </c>
      <c r="E2356" t="s">
        <v>17</v>
      </c>
      <c r="F2356">
        <v>11</v>
      </c>
      <c r="G2356" t="s">
        <v>501</v>
      </c>
      <c r="H2356">
        <v>40</v>
      </c>
      <c r="I2356" t="s">
        <v>501</v>
      </c>
      <c r="J2356">
        <v>264</v>
      </c>
      <c r="K2356" t="s">
        <v>3681</v>
      </c>
      <c r="L2356" s="13">
        <v>44157</v>
      </c>
      <c r="M2356" t="s">
        <v>351</v>
      </c>
      <c r="N2356" t="s">
        <v>1260</v>
      </c>
      <c r="O2356">
        <v>26.34</v>
      </c>
      <c r="P2356" t="s">
        <v>52</v>
      </c>
    </row>
    <row r="2357" spans="1:16" ht="15" customHeight="1" x14ac:dyDescent="0.4">
      <c r="A2357" t="s">
        <v>15</v>
      </c>
      <c r="B2357" t="s">
        <v>16</v>
      </c>
      <c r="C2357" s="13">
        <v>43831</v>
      </c>
      <c r="D2357" s="13">
        <v>44196</v>
      </c>
      <c r="E2357" t="s">
        <v>17</v>
      </c>
      <c r="F2357">
        <v>11</v>
      </c>
      <c r="G2357" t="s">
        <v>501</v>
      </c>
      <c r="H2357">
        <v>40</v>
      </c>
      <c r="I2357" t="s">
        <v>501</v>
      </c>
      <c r="J2357">
        <v>741</v>
      </c>
      <c r="K2357" t="s">
        <v>505</v>
      </c>
      <c r="L2357" s="13">
        <v>43853</v>
      </c>
      <c r="M2357" t="s">
        <v>1352</v>
      </c>
      <c r="N2357" t="s">
        <v>1375</v>
      </c>
      <c r="O2357">
        <v>34.97</v>
      </c>
      <c r="P2357" t="s">
        <v>508</v>
      </c>
    </row>
    <row r="2358" spans="1:16" ht="15" customHeight="1" x14ac:dyDescent="0.4">
      <c r="A2358" t="s">
        <v>15</v>
      </c>
      <c r="B2358" t="s">
        <v>16</v>
      </c>
      <c r="C2358" s="13">
        <v>43831</v>
      </c>
      <c r="D2358" s="13">
        <v>44196</v>
      </c>
      <c r="E2358" t="s">
        <v>17</v>
      </c>
      <c r="F2358">
        <v>11</v>
      </c>
      <c r="G2358" t="s">
        <v>501</v>
      </c>
      <c r="H2358">
        <v>40</v>
      </c>
      <c r="I2358" t="s">
        <v>501</v>
      </c>
      <c r="J2358">
        <v>741</v>
      </c>
      <c r="K2358" t="s">
        <v>505</v>
      </c>
      <c r="L2358" s="13">
        <v>44067</v>
      </c>
      <c r="M2358" t="s">
        <v>1354</v>
      </c>
      <c r="N2358" t="s">
        <v>1376</v>
      </c>
      <c r="O2358">
        <v>44.46</v>
      </c>
      <c r="P2358" t="s">
        <v>508</v>
      </c>
    </row>
    <row r="2359" spans="1:16" ht="15" customHeight="1" x14ac:dyDescent="0.4">
      <c r="A2359" t="s">
        <v>15</v>
      </c>
      <c r="B2359" t="s">
        <v>16</v>
      </c>
      <c r="C2359" s="13">
        <v>43831</v>
      </c>
      <c r="D2359" s="13">
        <v>44196</v>
      </c>
      <c r="E2359" t="s">
        <v>17</v>
      </c>
      <c r="F2359">
        <v>11</v>
      </c>
      <c r="G2359" t="s">
        <v>501</v>
      </c>
      <c r="H2359">
        <v>40</v>
      </c>
      <c r="I2359" t="s">
        <v>501</v>
      </c>
      <c r="J2359">
        <v>801</v>
      </c>
      <c r="K2359" t="s">
        <v>511</v>
      </c>
      <c r="L2359" s="13">
        <v>43831</v>
      </c>
      <c r="M2359" t="s">
        <v>1356</v>
      </c>
      <c r="N2359" t="s">
        <v>1357</v>
      </c>
      <c r="O2359">
        <v>247.54</v>
      </c>
      <c r="P2359" t="s">
        <v>508</v>
      </c>
    </row>
    <row r="2360" spans="1:16" ht="15" customHeight="1" x14ac:dyDescent="0.4">
      <c r="A2360" t="s">
        <v>15</v>
      </c>
      <c r="B2360" t="s">
        <v>16</v>
      </c>
      <c r="C2360" s="13">
        <v>43831</v>
      </c>
      <c r="D2360" s="13">
        <v>44196</v>
      </c>
      <c r="E2360" t="s">
        <v>17</v>
      </c>
      <c r="F2360">
        <v>11</v>
      </c>
      <c r="G2360" t="s">
        <v>501</v>
      </c>
      <c r="H2360">
        <v>40</v>
      </c>
      <c r="I2360" t="s">
        <v>501</v>
      </c>
      <c r="J2360">
        <v>801</v>
      </c>
      <c r="K2360" t="s">
        <v>511</v>
      </c>
      <c r="L2360" s="13">
        <v>43896</v>
      </c>
      <c r="M2360" t="s">
        <v>1377</v>
      </c>
      <c r="N2360" t="s">
        <v>1359</v>
      </c>
      <c r="O2360">
        <v>247.54</v>
      </c>
      <c r="P2360" t="s">
        <v>508</v>
      </c>
    </row>
    <row r="2361" spans="1:16" ht="15" customHeight="1" x14ac:dyDescent="0.4">
      <c r="A2361" t="s">
        <v>15</v>
      </c>
      <c r="B2361" t="s">
        <v>16</v>
      </c>
      <c r="C2361" s="13">
        <v>43831</v>
      </c>
      <c r="D2361" s="13">
        <v>44196</v>
      </c>
      <c r="E2361" t="s">
        <v>17</v>
      </c>
      <c r="F2361">
        <v>11</v>
      </c>
      <c r="G2361" t="s">
        <v>501</v>
      </c>
      <c r="H2361">
        <v>40</v>
      </c>
      <c r="I2361" t="s">
        <v>501</v>
      </c>
      <c r="J2361">
        <v>801</v>
      </c>
      <c r="K2361" t="s">
        <v>511</v>
      </c>
      <c r="L2361" s="13">
        <v>43983</v>
      </c>
      <c r="M2361" t="s">
        <v>1360</v>
      </c>
      <c r="N2361" t="s">
        <v>1361</v>
      </c>
      <c r="O2361">
        <v>247.54</v>
      </c>
      <c r="P2361" t="s">
        <v>508</v>
      </c>
    </row>
    <row r="2362" spans="1:16" ht="15" customHeight="1" x14ac:dyDescent="0.4">
      <c r="A2362" t="s">
        <v>15</v>
      </c>
      <c r="B2362" t="s">
        <v>16</v>
      </c>
      <c r="C2362" s="13">
        <v>43831</v>
      </c>
      <c r="D2362" s="13">
        <v>44196</v>
      </c>
      <c r="E2362" t="s">
        <v>17</v>
      </c>
      <c r="F2362">
        <v>11</v>
      </c>
      <c r="G2362" t="s">
        <v>501</v>
      </c>
      <c r="H2362">
        <v>40</v>
      </c>
      <c r="I2362" t="s">
        <v>501</v>
      </c>
      <c r="J2362">
        <v>801</v>
      </c>
      <c r="K2362" t="s">
        <v>511</v>
      </c>
      <c r="L2362" s="13">
        <v>44075</v>
      </c>
      <c r="M2362" t="s">
        <v>1362</v>
      </c>
      <c r="N2362" t="s">
        <v>1363</v>
      </c>
      <c r="O2362">
        <v>247.54</v>
      </c>
      <c r="P2362" t="s">
        <v>508</v>
      </c>
    </row>
    <row r="2363" spans="1:16" ht="15" customHeight="1" x14ac:dyDescent="0.4">
      <c r="A2363" t="s">
        <v>15</v>
      </c>
      <c r="B2363" t="s">
        <v>16</v>
      </c>
      <c r="C2363" s="13">
        <v>43831</v>
      </c>
      <c r="D2363" s="13">
        <v>44196</v>
      </c>
      <c r="E2363" t="s">
        <v>30</v>
      </c>
      <c r="F2363">
        <v>12</v>
      </c>
      <c r="G2363" t="s">
        <v>525</v>
      </c>
      <c r="H2363">
        <v>65</v>
      </c>
      <c r="I2363" t="s">
        <v>526</v>
      </c>
      <c r="J2363">
        <v>106</v>
      </c>
      <c r="K2363" t="s">
        <v>1378</v>
      </c>
      <c r="L2363" s="13">
        <v>43936</v>
      </c>
      <c r="M2363" t="s">
        <v>1379</v>
      </c>
      <c r="N2363" t="s">
        <v>1380</v>
      </c>
      <c r="O2363">
        <v>90.2</v>
      </c>
      <c r="P2363" t="s">
        <v>530</v>
      </c>
    </row>
    <row r="2364" spans="1:16" ht="15" customHeight="1" x14ac:dyDescent="0.4">
      <c r="A2364" t="s">
        <v>15</v>
      </c>
      <c r="B2364" t="s">
        <v>16</v>
      </c>
      <c r="C2364" s="13">
        <v>43831</v>
      </c>
      <c r="D2364" s="13">
        <v>44196</v>
      </c>
      <c r="E2364" t="s">
        <v>30</v>
      </c>
      <c r="F2364">
        <v>12</v>
      </c>
      <c r="G2364" t="s">
        <v>525</v>
      </c>
      <c r="H2364">
        <v>65</v>
      </c>
      <c r="I2364" t="s">
        <v>526</v>
      </c>
      <c r="J2364">
        <v>106</v>
      </c>
      <c r="K2364" t="s">
        <v>1378</v>
      </c>
      <c r="L2364" s="13">
        <v>43964</v>
      </c>
      <c r="M2364" t="s">
        <v>1381</v>
      </c>
      <c r="N2364" t="s">
        <v>1382</v>
      </c>
      <c r="O2364">
        <v>354.75</v>
      </c>
      <c r="P2364" t="s">
        <v>530</v>
      </c>
    </row>
    <row r="2365" spans="1:16" ht="15" customHeight="1" x14ac:dyDescent="0.4">
      <c r="A2365" t="s">
        <v>15</v>
      </c>
      <c r="B2365" t="s">
        <v>16</v>
      </c>
      <c r="C2365" s="13">
        <v>43831</v>
      </c>
      <c r="D2365" s="13">
        <v>44196</v>
      </c>
      <c r="E2365" t="s">
        <v>30</v>
      </c>
      <c r="F2365">
        <v>12</v>
      </c>
      <c r="G2365" t="s">
        <v>525</v>
      </c>
      <c r="H2365">
        <v>65</v>
      </c>
      <c r="I2365" t="s">
        <v>526</v>
      </c>
      <c r="J2365">
        <v>106</v>
      </c>
      <c r="K2365" t="s">
        <v>1378</v>
      </c>
      <c r="L2365" s="13">
        <v>43969</v>
      </c>
      <c r="M2365" t="s">
        <v>1383</v>
      </c>
      <c r="N2365" t="s">
        <v>1384</v>
      </c>
      <c r="O2365">
        <v>708.4</v>
      </c>
      <c r="P2365" t="s">
        <v>530</v>
      </c>
    </row>
    <row r="2366" spans="1:16" ht="15" customHeight="1" x14ac:dyDescent="0.4">
      <c r="A2366" t="s">
        <v>15</v>
      </c>
      <c r="B2366" t="s">
        <v>16</v>
      </c>
      <c r="C2366" s="13">
        <v>43831</v>
      </c>
      <c r="D2366" s="13">
        <v>44196</v>
      </c>
      <c r="E2366" t="s">
        <v>17</v>
      </c>
      <c r="F2366">
        <v>12</v>
      </c>
      <c r="G2366" t="s">
        <v>525</v>
      </c>
      <c r="H2366">
        <v>65</v>
      </c>
      <c r="I2366" t="s">
        <v>526</v>
      </c>
      <c r="J2366">
        <v>821</v>
      </c>
      <c r="K2366" t="s">
        <v>527</v>
      </c>
      <c r="L2366" s="13">
        <v>44196</v>
      </c>
      <c r="M2366" t="s">
        <v>558</v>
      </c>
      <c r="N2366" t="s">
        <v>46</v>
      </c>
      <c r="O2366">
        <v>1610.08</v>
      </c>
      <c r="P2366" t="s">
        <v>46</v>
      </c>
    </row>
    <row r="2367" spans="1:16" ht="15" customHeight="1" x14ac:dyDescent="0.4">
      <c r="A2367" t="s">
        <v>15</v>
      </c>
      <c r="B2367" t="s">
        <v>16</v>
      </c>
      <c r="C2367" s="13">
        <v>43831</v>
      </c>
      <c r="D2367" s="13">
        <v>44196</v>
      </c>
      <c r="E2367" t="s">
        <v>17</v>
      </c>
      <c r="F2367">
        <v>12</v>
      </c>
      <c r="G2367" t="s">
        <v>525</v>
      </c>
      <c r="H2367">
        <v>65</v>
      </c>
      <c r="I2367" t="s">
        <v>526</v>
      </c>
      <c r="J2367">
        <v>825</v>
      </c>
      <c r="K2367" t="s">
        <v>534</v>
      </c>
      <c r="L2367" s="13">
        <v>43937</v>
      </c>
      <c r="M2367" t="s">
        <v>1385</v>
      </c>
      <c r="N2367" t="s">
        <v>1386</v>
      </c>
      <c r="O2367">
        <v>90.2</v>
      </c>
      <c r="P2367" t="s">
        <v>530</v>
      </c>
    </row>
    <row r="2368" spans="1:16" ht="15" customHeight="1" x14ac:dyDescent="0.4">
      <c r="A2368" t="s">
        <v>15</v>
      </c>
      <c r="B2368" t="s">
        <v>16</v>
      </c>
      <c r="C2368" s="13">
        <v>43831</v>
      </c>
      <c r="D2368" s="13">
        <v>44196</v>
      </c>
      <c r="E2368" t="s">
        <v>17</v>
      </c>
      <c r="F2368">
        <v>13</v>
      </c>
      <c r="G2368" t="s">
        <v>560</v>
      </c>
      <c r="H2368">
        <v>50</v>
      </c>
      <c r="I2368" t="s">
        <v>561</v>
      </c>
      <c r="J2368">
        <v>269</v>
      </c>
      <c r="K2368" t="s">
        <v>562</v>
      </c>
      <c r="L2368" s="13">
        <v>43844</v>
      </c>
      <c r="M2368" t="s">
        <v>351</v>
      </c>
      <c r="N2368" t="s">
        <v>1387</v>
      </c>
      <c r="O2368">
        <v>543.04999999999995</v>
      </c>
      <c r="P2368" t="s">
        <v>565</v>
      </c>
    </row>
    <row r="2369" spans="1:16" ht="15" customHeight="1" x14ac:dyDescent="0.4">
      <c r="A2369" t="s">
        <v>15</v>
      </c>
      <c r="B2369" t="s">
        <v>16</v>
      </c>
      <c r="C2369" s="13">
        <v>43831</v>
      </c>
      <c r="D2369" s="13">
        <v>44196</v>
      </c>
      <c r="E2369" t="s">
        <v>17</v>
      </c>
      <c r="F2369">
        <v>13</v>
      </c>
      <c r="G2369" t="s">
        <v>560</v>
      </c>
      <c r="H2369">
        <v>50</v>
      </c>
      <c r="I2369" t="s">
        <v>561</v>
      </c>
      <c r="J2369">
        <v>269</v>
      </c>
      <c r="K2369" t="s">
        <v>562</v>
      </c>
      <c r="L2369" s="13">
        <v>43874</v>
      </c>
      <c r="M2369" t="s">
        <v>351</v>
      </c>
      <c r="N2369" t="s">
        <v>1388</v>
      </c>
      <c r="O2369">
        <v>538.80999999999995</v>
      </c>
      <c r="P2369" t="s">
        <v>565</v>
      </c>
    </row>
    <row r="2370" spans="1:16" ht="15" customHeight="1" x14ac:dyDescent="0.4">
      <c r="A2370" t="s">
        <v>15</v>
      </c>
      <c r="B2370" t="s">
        <v>16</v>
      </c>
      <c r="C2370" s="13">
        <v>43831</v>
      </c>
      <c r="D2370" s="13">
        <v>44196</v>
      </c>
      <c r="E2370" t="s">
        <v>17</v>
      </c>
      <c r="F2370">
        <v>13</v>
      </c>
      <c r="G2370" t="s">
        <v>560</v>
      </c>
      <c r="H2370">
        <v>50</v>
      </c>
      <c r="I2370" t="s">
        <v>561</v>
      </c>
      <c r="J2370">
        <v>269</v>
      </c>
      <c r="K2370" t="s">
        <v>562</v>
      </c>
      <c r="L2370" s="13">
        <v>43903</v>
      </c>
      <c r="M2370" t="s">
        <v>351</v>
      </c>
      <c r="N2370" t="s">
        <v>1389</v>
      </c>
      <c r="O2370">
        <v>543.01</v>
      </c>
      <c r="P2370" t="s">
        <v>565</v>
      </c>
    </row>
    <row r="2371" spans="1:16" ht="15" customHeight="1" x14ac:dyDescent="0.4">
      <c r="A2371" t="s">
        <v>15</v>
      </c>
      <c r="B2371" t="s">
        <v>16</v>
      </c>
      <c r="C2371" s="13">
        <v>43831</v>
      </c>
      <c r="D2371" s="13">
        <v>44196</v>
      </c>
      <c r="E2371" t="s">
        <v>17</v>
      </c>
      <c r="F2371">
        <v>13</v>
      </c>
      <c r="G2371" t="s">
        <v>560</v>
      </c>
      <c r="H2371">
        <v>50</v>
      </c>
      <c r="I2371" t="s">
        <v>561</v>
      </c>
      <c r="J2371">
        <v>269</v>
      </c>
      <c r="K2371" t="s">
        <v>562</v>
      </c>
      <c r="L2371" s="13">
        <v>43935</v>
      </c>
      <c r="M2371" t="s">
        <v>351</v>
      </c>
      <c r="N2371" t="s">
        <v>1390</v>
      </c>
      <c r="O2371">
        <v>511.58</v>
      </c>
      <c r="P2371" t="s">
        <v>565</v>
      </c>
    </row>
    <row r="2372" spans="1:16" ht="15" customHeight="1" x14ac:dyDescent="0.4">
      <c r="A2372" t="s">
        <v>15</v>
      </c>
      <c r="B2372" t="s">
        <v>16</v>
      </c>
      <c r="C2372" s="13">
        <v>43831</v>
      </c>
      <c r="D2372" s="13">
        <v>44196</v>
      </c>
      <c r="E2372" t="s">
        <v>17</v>
      </c>
      <c r="F2372">
        <v>13</v>
      </c>
      <c r="G2372" t="s">
        <v>560</v>
      </c>
      <c r="H2372">
        <v>50</v>
      </c>
      <c r="I2372" t="s">
        <v>561</v>
      </c>
      <c r="J2372">
        <v>269</v>
      </c>
      <c r="K2372" t="s">
        <v>562</v>
      </c>
      <c r="L2372" s="13">
        <v>43964</v>
      </c>
      <c r="M2372" t="s">
        <v>351</v>
      </c>
      <c r="N2372" t="s">
        <v>1391</v>
      </c>
      <c r="O2372">
        <v>386.58</v>
      </c>
      <c r="P2372" t="s">
        <v>565</v>
      </c>
    </row>
    <row r="2373" spans="1:16" ht="15" customHeight="1" x14ac:dyDescent="0.4">
      <c r="A2373" t="s">
        <v>15</v>
      </c>
      <c r="B2373" t="s">
        <v>16</v>
      </c>
      <c r="C2373" s="13">
        <v>43831</v>
      </c>
      <c r="D2373" s="13">
        <v>44196</v>
      </c>
      <c r="E2373" t="s">
        <v>17</v>
      </c>
      <c r="F2373">
        <v>13</v>
      </c>
      <c r="G2373" t="s">
        <v>560</v>
      </c>
      <c r="H2373">
        <v>50</v>
      </c>
      <c r="I2373" t="s">
        <v>561</v>
      </c>
      <c r="J2373">
        <v>269</v>
      </c>
      <c r="K2373" t="s">
        <v>562</v>
      </c>
      <c r="L2373" s="13">
        <v>43995</v>
      </c>
      <c r="M2373" t="s">
        <v>351</v>
      </c>
      <c r="N2373" t="s">
        <v>1392</v>
      </c>
      <c r="O2373">
        <v>385.63</v>
      </c>
      <c r="P2373" t="s">
        <v>565</v>
      </c>
    </row>
    <row r="2374" spans="1:16" ht="15" customHeight="1" x14ac:dyDescent="0.4">
      <c r="A2374" t="s">
        <v>15</v>
      </c>
      <c r="B2374" t="s">
        <v>16</v>
      </c>
      <c r="C2374" s="13">
        <v>43831</v>
      </c>
      <c r="D2374" s="13">
        <v>44196</v>
      </c>
      <c r="E2374" t="s">
        <v>17</v>
      </c>
      <c r="F2374">
        <v>13</v>
      </c>
      <c r="G2374" t="s">
        <v>560</v>
      </c>
      <c r="H2374">
        <v>50</v>
      </c>
      <c r="I2374" t="s">
        <v>561</v>
      </c>
      <c r="J2374">
        <v>269</v>
      </c>
      <c r="K2374" t="s">
        <v>562</v>
      </c>
      <c r="L2374" s="13">
        <v>44027</v>
      </c>
      <c r="M2374" t="s">
        <v>351</v>
      </c>
      <c r="N2374" t="s">
        <v>1393</v>
      </c>
      <c r="O2374">
        <v>346.56</v>
      </c>
      <c r="P2374" t="s">
        <v>565</v>
      </c>
    </row>
    <row r="2375" spans="1:16" ht="15" customHeight="1" x14ac:dyDescent="0.4">
      <c r="A2375" t="s">
        <v>15</v>
      </c>
      <c r="B2375" t="s">
        <v>16</v>
      </c>
      <c r="C2375" s="13">
        <v>43831</v>
      </c>
      <c r="D2375" s="13">
        <v>44196</v>
      </c>
      <c r="E2375" t="s">
        <v>17</v>
      </c>
      <c r="F2375">
        <v>13</v>
      </c>
      <c r="G2375" t="s">
        <v>560</v>
      </c>
      <c r="H2375">
        <v>50</v>
      </c>
      <c r="I2375" t="s">
        <v>561</v>
      </c>
      <c r="J2375">
        <v>269</v>
      </c>
      <c r="K2375" t="s">
        <v>562</v>
      </c>
      <c r="L2375" s="13">
        <v>44056</v>
      </c>
      <c r="M2375" t="s">
        <v>351</v>
      </c>
      <c r="N2375" t="s">
        <v>1394</v>
      </c>
      <c r="O2375">
        <v>340.31</v>
      </c>
      <c r="P2375" t="s">
        <v>565</v>
      </c>
    </row>
    <row r="2376" spans="1:16" ht="15" customHeight="1" x14ac:dyDescent="0.4">
      <c r="A2376" t="s">
        <v>15</v>
      </c>
      <c r="B2376" t="s">
        <v>16</v>
      </c>
      <c r="C2376" s="13">
        <v>43831</v>
      </c>
      <c r="D2376" s="13">
        <v>44196</v>
      </c>
      <c r="E2376" t="s">
        <v>17</v>
      </c>
      <c r="F2376">
        <v>13</v>
      </c>
      <c r="G2376" t="s">
        <v>560</v>
      </c>
      <c r="H2376">
        <v>50</v>
      </c>
      <c r="I2376" t="s">
        <v>561</v>
      </c>
      <c r="J2376">
        <v>269</v>
      </c>
      <c r="K2376" t="s">
        <v>562</v>
      </c>
      <c r="L2376" s="13">
        <v>44088</v>
      </c>
      <c r="M2376" t="s">
        <v>351</v>
      </c>
      <c r="N2376" t="s">
        <v>1395</v>
      </c>
      <c r="O2376">
        <v>336.48</v>
      </c>
      <c r="P2376" t="s">
        <v>565</v>
      </c>
    </row>
    <row r="2377" spans="1:16" ht="15" customHeight="1" x14ac:dyDescent="0.4">
      <c r="A2377" t="s">
        <v>15</v>
      </c>
      <c r="B2377" t="s">
        <v>16</v>
      </c>
      <c r="C2377" s="13">
        <v>43831</v>
      </c>
      <c r="D2377" s="13">
        <v>44196</v>
      </c>
      <c r="E2377" t="s">
        <v>17</v>
      </c>
      <c r="F2377">
        <v>13</v>
      </c>
      <c r="G2377" t="s">
        <v>560</v>
      </c>
      <c r="H2377">
        <v>50</v>
      </c>
      <c r="I2377" t="s">
        <v>561</v>
      </c>
      <c r="J2377">
        <v>269</v>
      </c>
      <c r="K2377" t="s">
        <v>562</v>
      </c>
      <c r="L2377" s="13">
        <v>44117</v>
      </c>
      <c r="M2377" t="s">
        <v>351</v>
      </c>
      <c r="N2377" t="s">
        <v>1396</v>
      </c>
      <c r="O2377">
        <v>358.58</v>
      </c>
      <c r="P2377" t="s">
        <v>565</v>
      </c>
    </row>
    <row r="2378" spans="1:16" ht="15" customHeight="1" x14ac:dyDescent="0.4">
      <c r="A2378" t="s">
        <v>15</v>
      </c>
      <c r="B2378" t="s">
        <v>16</v>
      </c>
      <c r="C2378" s="13">
        <v>43831</v>
      </c>
      <c r="D2378" s="13">
        <v>44196</v>
      </c>
      <c r="E2378" t="s">
        <v>17</v>
      </c>
      <c r="F2378">
        <v>13</v>
      </c>
      <c r="G2378" t="s">
        <v>560</v>
      </c>
      <c r="H2378">
        <v>50</v>
      </c>
      <c r="I2378" t="s">
        <v>561</v>
      </c>
      <c r="J2378">
        <v>269</v>
      </c>
      <c r="K2378" t="s">
        <v>562</v>
      </c>
      <c r="L2378" s="13">
        <v>44148</v>
      </c>
      <c r="M2378" t="s">
        <v>351</v>
      </c>
      <c r="N2378" t="s">
        <v>1397</v>
      </c>
      <c r="O2378">
        <v>457.61</v>
      </c>
      <c r="P2378" t="s">
        <v>565</v>
      </c>
    </row>
    <row r="2379" spans="1:16" ht="15" customHeight="1" x14ac:dyDescent="0.4">
      <c r="A2379" t="s">
        <v>15</v>
      </c>
      <c r="B2379" t="s">
        <v>16</v>
      </c>
      <c r="C2379" s="13">
        <v>43831</v>
      </c>
      <c r="D2379" s="13">
        <v>44196</v>
      </c>
      <c r="E2379" t="s">
        <v>17</v>
      </c>
      <c r="F2379">
        <v>13</v>
      </c>
      <c r="G2379" t="s">
        <v>560</v>
      </c>
      <c r="H2379">
        <v>50</v>
      </c>
      <c r="I2379" t="s">
        <v>561</v>
      </c>
      <c r="J2379">
        <v>269</v>
      </c>
      <c r="K2379" t="s">
        <v>562</v>
      </c>
      <c r="L2379" s="13">
        <v>44178</v>
      </c>
      <c r="M2379" t="s">
        <v>351</v>
      </c>
      <c r="N2379" t="s">
        <v>1398</v>
      </c>
      <c r="O2379">
        <v>567.6</v>
      </c>
      <c r="P2379" t="s">
        <v>565</v>
      </c>
    </row>
    <row r="2380" spans="1:16" ht="15" customHeight="1" x14ac:dyDescent="0.4">
      <c r="A2380" t="s">
        <v>15</v>
      </c>
      <c r="B2380" t="s">
        <v>16</v>
      </c>
      <c r="C2380" s="13">
        <v>43831</v>
      </c>
      <c r="D2380" s="13">
        <v>44196</v>
      </c>
      <c r="E2380" t="s">
        <v>17</v>
      </c>
      <c r="F2380">
        <v>13</v>
      </c>
      <c r="G2380" t="s">
        <v>560</v>
      </c>
      <c r="H2380">
        <v>50</v>
      </c>
      <c r="I2380" t="s">
        <v>561</v>
      </c>
      <c r="J2380">
        <v>286</v>
      </c>
      <c r="K2380" t="s">
        <v>588</v>
      </c>
      <c r="L2380" s="13">
        <v>44196</v>
      </c>
      <c r="M2380" t="s">
        <v>1399</v>
      </c>
      <c r="N2380" t="s">
        <v>86</v>
      </c>
      <c r="O2380">
        <v>1187.6199999999999</v>
      </c>
      <c r="P2380" t="s">
        <v>46</v>
      </c>
    </row>
    <row r="2381" spans="1:16" ht="15" customHeight="1" x14ac:dyDescent="0.4">
      <c r="A2381" t="s">
        <v>15</v>
      </c>
      <c r="B2381" t="s">
        <v>16</v>
      </c>
      <c r="C2381" s="13">
        <v>43831</v>
      </c>
      <c r="D2381" s="13">
        <v>44196</v>
      </c>
      <c r="E2381" t="s">
        <v>17</v>
      </c>
      <c r="F2381">
        <v>14</v>
      </c>
      <c r="G2381" t="s">
        <v>560</v>
      </c>
      <c r="H2381">
        <v>50</v>
      </c>
      <c r="I2381" t="s">
        <v>561</v>
      </c>
      <c r="J2381">
        <v>269</v>
      </c>
      <c r="K2381" t="s">
        <v>562</v>
      </c>
      <c r="L2381" s="13">
        <v>43844</v>
      </c>
      <c r="M2381" t="s">
        <v>351</v>
      </c>
      <c r="N2381" t="s">
        <v>1400</v>
      </c>
      <c r="O2381">
        <v>530</v>
      </c>
      <c r="P2381" t="s">
        <v>565</v>
      </c>
    </row>
    <row r="2382" spans="1:16" ht="15" customHeight="1" x14ac:dyDescent="0.4">
      <c r="A2382" t="s">
        <v>15</v>
      </c>
      <c r="B2382" t="s">
        <v>16</v>
      </c>
      <c r="C2382" s="13">
        <v>43831</v>
      </c>
      <c r="D2382" s="13">
        <v>44196</v>
      </c>
      <c r="E2382" t="s">
        <v>17</v>
      </c>
      <c r="F2382">
        <v>14</v>
      </c>
      <c r="G2382" t="s">
        <v>560</v>
      </c>
      <c r="H2382">
        <v>50</v>
      </c>
      <c r="I2382" t="s">
        <v>561</v>
      </c>
      <c r="J2382">
        <v>269</v>
      </c>
      <c r="K2382" t="s">
        <v>562</v>
      </c>
      <c r="L2382" s="13">
        <v>43874</v>
      </c>
      <c r="M2382" t="s">
        <v>351</v>
      </c>
      <c r="N2382" t="s">
        <v>1401</v>
      </c>
      <c r="O2382">
        <v>558.88</v>
      </c>
      <c r="P2382" t="s">
        <v>565</v>
      </c>
    </row>
    <row r="2383" spans="1:16" ht="15" customHeight="1" x14ac:dyDescent="0.4">
      <c r="A2383" t="s">
        <v>15</v>
      </c>
      <c r="B2383" t="s">
        <v>16</v>
      </c>
      <c r="C2383" s="13">
        <v>43831</v>
      </c>
      <c r="D2383" s="13">
        <v>44196</v>
      </c>
      <c r="E2383" t="s">
        <v>17</v>
      </c>
      <c r="F2383">
        <v>14</v>
      </c>
      <c r="G2383" t="s">
        <v>560</v>
      </c>
      <c r="H2383">
        <v>50</v>
      </c>
      <c r="I2383" t="s">
        <v>561</v>
      </c>
      <c r="J2383">
        <v>269</v>
      </c>
      <c r="K2383" t="s">
        <v>562</v>
      </c>
      <c r="L2383" s="13">
        <v>43903</v>
      </c>
      <c r="M2383" t="s">
        <v>351</v>
      </c>
      <c r="N2383" t="s">
        <v>1402</v>
      </c>
      <c r="O2383">
        <v>499.84</v>
      </c>
      <c r="P2383" t="s">
        <v>565</v>
      </c>
    </row>
    <row r="2384" spans="1:16" ht="15" customHeight="1" x14ac:dyDescent="0.4">
      <c r="A2384" t="s">
        <v>15</v>
      </c>
      <c r="B2384" t="s">
        <v>16</v>
      </c>
      <c r="C2384" s="13">
        <v>43831</v>
      </c>
      <c r="D2384" s="13">
        <v>44196</v>
      </c>
      <c r="E2384" t="s">
        <v>17</v>
      </c>
      <c r="F2384">
        <v>14</v>
      </c>
      <c r="G2384" t="s">
        <v>560</v>
      </c>
      <c r="H2384">
        <v>50</v>
      </c>
      <c r="I2384" t="s">
        <v>561</v>
      </c>
      <c r="J2384">
        <v>269</v>
      </c>
      <c r="K2384" t="s">
        <v>562</v>
      </c>
      <c r="L2384" s="13">
        <v>43937</v>
      </c>
      <c r="M2384" t="s">
        <v>351</v>
      </c>
      <c r="N2384" t="s">
        <v>1403</v>
      </c>
      <c r="O2384">
        <v>491.63</v>
      </c>
      <c r="P2384" t="s">
        <v>565</v>
      </c>
    </row>
    <row r="2385" spans="1:16" ht="15" customHeight="1" x14ac:dyDescent="0.4">
      <c r="A2385" t="s">
        <v>15</v>
      </c>
      <c r="B2385" t="s">
        <v>16</v>
      </c>
      <c r="C2385" s="13">
        <v>43831</v>
      </c>
      <c r="D2385" s="13">
        <v>44196</v>
      </c>
      <c r="E2385" t="s">
        <v>17</v>
      </c>
      <c r="F2385">
        <v>14</v>
      </c>
      <c r="G2385" t="s">
        <v>560</v>
      </c>
      <c r="H2385">
        <v>50</v>
      </c>
      <c r="I2385" t="s">
        <v>561</v>
      </c>
      <c r="J2385">
        <v>269</v>
      </c>
      <c r="K2385" t="s">
        <v>562</v>
      </c>
      <c r="L2385" s="13">
        <v>43964</v>
      </c>
      <c r="M2385" t="s">
        <v>351</v>
      </c>
      <c r="N2385" t="s">
        <v>1404</v>
      </c>
      <c r="O2385">
        <v>340.59</v>
      </c>
      <c r="P2385" t="s">
        <v>565</v>
      </c>
    </row>
    <row r="2386" spans="1:16" ht="15" customHeight="1" x14ac:dyDescent="0.4">
      <c r="A2386" t="s">
        <v>15</v>
      </c>
      <c r="B2386" t="s">
        <v>16</v>
      </c>
      <c r="C2386" s="13">
        <v>43831</v>
      </c>
      <c r="D2386" s="13">
        <v>44196</v>
      </c>
      <c r="E2386" t="s">
        <v>17</v>
      </c>
      <c r="F2386">
        <v>14</v>
      </c>
      <c r="G2386" t="s">
        <v>560</v>
      </c>
      <c r="H2386">
        <v>50</v>
      </c>
      <c r="I2386" t="s">
        <v>561</v>
      </c>
      <c r="J2386">
        <v>269</v>
      </c>
      <c r="K2386" t="s">
        <v>562</v>
      </c>
      <c r="L2386" s="13">
        <v>43995</v>
      </c>
      <c r="M2386" t="s">
        <v>351</v>
      </c>
      <c r="N2386" t="s">
        <v>1405</v>
      </c>
      <c r="O2386">
        <v>343.51</v>
      </c>
      <c r="P2386" t="s">
        <v>565</v>
      </c>
    </row>
    <row r="2387" spans="1:16" ht="15" customHeight="1" x14ac:dyDescent="0.4">
      <c r="A2387" t="s">
        <v>15</v>
      </c>
      <c r="B2387" t="s">
        <v>16</v>
      </c>
      <c r="C2387" s="13">
        <v>43831</v>
      </c>
      <c r="D2387" s="13">
        <v>44196</v>
      </c>
      <c r="E2387" t="s">
        <v>17</v>
      </c>
      <c r="F2387">
        <v>14</v>
      </c>
      <c r="G2387" t="s">
        <v>560</v>
      </c>
      <c r="H2387">
        <v>50</v>
      </c>
      <c r="I2387" t="s">
        <v>561</v>
      </c>
      <c r="J2387">
        <v>269</v>
      </c>
      <c r="K2387" t="s">
        <v>562</v>
      </c>
      <c r="L2387" s="13">
        <v>44027</v>
      </c>
      <c r="M2387" t="s">
        <v>351</v>
      </c>
      <c r="N2387" t="s">
        <v>1406</v>
      </c>
      <c r="O2387">
        <v>290.43</v>
      </c>
      <c r="P2387" t="s">
        <v>565</v>
      </c>
    </row>
    <row r="2388" spans="1:16" ht="15" customHeight="1" x14ac:dyDescent="0.4">
      <c r="A2388" t="s">
        <v>15</v>
      </c>
      <c r="B2388" t="s">
        <v>16</v>
      </c>
      <c r="C2388" s="13">
        <v>43831</v>
      </c>
      <c r="D2388" s="13">
        <v>44196</v>
      </c>
      <c r="E2388" t="s">
        <v>17</v>
      </c>
      <c r="F2388">
        <v>14</v>
      </c>
      <c r="G2388" t="s">
        <v>560</v>
      </c>
      <c r="H2388">
        <v>50</v>
      </c>
      <c r="I2388" t="s">
        <v>561</v>
      </c>
      <c r="J2388">
        <v>269</v>
      </c>
      <c r="K2388" t="s">
        <v>562</v>
      </c>
      <c r="L2388" s="13">
        <v>44056</v>
      </c>
      <c r="M2388" t="s">
        <v>351</v>
      </c>
      <c r="N2388" t="s">
        <v>1407</v>
      </c>
      <c r="O2388">
        <v>278.37</v>
      </c>
      <c r="P2388" t="s">
        <v>565</v>
      </c>
    </row>
    <row r="2389" spans="1:16" ht="15" customHeight="1" x14ac:dyDescent="0.4">
      <c r="A2389" t="s">
        <v>15</v>
      </c>
      <c r="B2389" t="s">
        <v>16</v>
      </c>
      <c r="C2389" s="13">
        <v>43831</v>
      </c>
      <c r="D2389" s="13">
        <v>44196</v>
      </c>
      <c r="E2389" t="s">
        <v>17</v>
      </c>
      <c r="F2389">
        <v>14</v>
      </c>
      <c r="G2389" t="s">
        <v>560</v>
      </c>
      <c r="H2389">
        <v>50</v>
      </c>
      <c r="I2389" t="s">
        <v>561</v>
      </c>
      <c r="J2389">
        <v>269</v>
      </c>
      <c r="K2389" t="s">
        <v>562</v>
      </c>
      <c r="L2389" s="13">
        <v>44088</v>
      </c>
      <c r="M2389" t="s">
        <v>351</v>
      </c>
      <c r="N2389" t="s">
        <v>1408</v>
      </c>
      <c r="O2389">
        <v>292.11</v>
      </c>
      <c r="P2389" t="s">
        <v>565</v>
      </c>
    </row>
    <row r="2390" spans="1:16" ht="15" customHeight="1" x14ac:dyDescent="0.4">
      <c r="A2390" t="s">
        <v>15</v>
      </c>
      <c r="B2390" t="s">
        <v>16</v>
      </c>
      <c r="C2390" s="13">
        <v>43831</v>
      </c>
      <c r="D2390" s="13">
        <v>44196</v>
      </c>
      <c r="E2390" t="s">
        <v>17</v>
      </c>
      <c r="F2390">
        <v>14</v>
      </c>
      <c r="G2390" t="s">
        <v>560</v>
      </c>
      <c r="H2390">
        <v>50</v>
      </c>
      <c r="I2390" t="s">
        <v>561</v>
      </c>
      <c r="J2390">
        <v>269</v>
      </c>
      <c r="K2390" t="s">
        <v>562</v>
      </c>
      <c r="L2390" s="13">
        <v>44117</v>
      </c>
      <c r="M2390" t="s">
        <v>351</v>
      </c>
      <c r="N2390" t="s">
        <v>1409</v>
      </c>
      <c r="O2390">
        <v>312.05</v>
      </c>
      <c r="P2390" t="s">
        <v>565</v>
      </c>
    </row>
    <row r="2391" spans="1:16" ht="15" customHeight="1" x14ac:dyDescent="0.4">
      <c r="A2391" t="s">
        <v>15</v>
      </c>
      <c r="B2391" t="s">
        <v>16</v>
      </c>
      <c r="C2391" s="13">
        <v>43831</v>
      </c>
      <c r="D2391" s="13">
        <v>44196</v>
      </c>
      <c r="E2391" t="s">
        <v>17</v>
      </c>
      <c r="F2391">
        <v>14</v>
      </c>
      <c r="G2391" t="s">
        <v>560</v>
      </c>
      <c r="H2391">
        <v>50</v>
      </c>
      <c r="I2391" t="s">
        <v>561</v>
      </c>
      <c r="J2391">
        <v>269</v>
      </c>
      <c r="K2391" t="s">
        <v>562</v>
      </c>
      <c r="L2391" s="13">
        <v>44148</v>
      </c>
      <c r="M2391" t="s">
        <v>351</v>
      </c>
      <c r="N2391" t="s">
        <v>1410</v>
      </c>
      <c r="O2391">
        <v>421.55</v>
      </c>
      <c r="P2391" t="s">
        <v>565</v>
      </c>
    </row>
    <row r="2392" spans="1:16" ht="15" customHeight="1" x14ac:dyDescent="0.4">
      <c r="A2392" t="s">
        <v>15</v>
      </c>
      <c r="B2392" t="s">
        <v>16</v>
      </c>
      <c r="C2392" s="13">
        <v>43831</v>
      </c>
      <c r="D2392" s="13">
        <v>44196</v>
      </c>
      <c r="E2392" t="s">
        <v>17</v>
      </c>
      <c r="F2392">
        <v>14</v>
      </c>
      <c r="G2392" t="s">
        <v>560</v>
      </c>
      <c r="H2392">
        <v>50</v>
      </c>
      <c r="I2392" t="s">
        <v>561</v>
      </c>
      <c r="J2392">
        <v>269</v>
      </c>
      <c r="K2392" t="s">
        <v>562</v>
      </c>
      <c r="L2392" s="13">
        <v>44181</v>
      </c>
      <c r="M2392" t="s">
        <v>351</v>
      </c>
      <c r="N2392" t="s">
        <v>1411</v>
      </c>
      <c r="O2392">
        <v>548.35</v>
      </c>
      <c r="P2392" t="s">
        <v>565</v>
      </c>
    </row>
    <row r="2393" spans="1:16" ht="15" customHeight="1" x14ac:dyDescent="0.4">
      <c r="A2393" t="s">
        <v>15</v>
      </c>
      <c r="B2393" t="s">
        <v>16</v>
      </c>
      <c r="C2393" s="13">
        <v>43831</v>
      </c>
      <c r="D2393" s="13">
        <v>44196</v>
      </c>
      <c r="E2393" t="s">
        <v>17</v>
      </c>
      <c r="F2393">
        <v>14</v>
      </c>
      <c r="G2393" t="s">
        <v>560</v>
      </c>
      <c r="H2393">
        <v>50</v>
      </c>
      <c r="I2393" t="s">
        <v>561</v>
      </c>
      <c r="J2393">
        <v>286</v>
      </c>
      <c r="K2393" t="s">
        <v>588</v>
      </c>
      <c r="L2393" s="13">
        <v>44196</v>
      </c>
      <c r="M2393" t="s">
        <v>1412</v>
      </c>
      <c r="N2393" t="s">
        <v>86</v>
      </c>
      <c r="O2393">
        <v>1249.52</v>
      </c>
      <c r="P2393" t="s">
        <v>46</v>
      </c>
    </row>
    <row r="2394" spans="1:16" ht="15" customHeight="1" x14ac:dyDescent="0.4">
      <c r="A2394" t="s">
        <v>15</v>
      </c>
      <c r="B2394" t="s">
        <v>16</v>
      </c>
      <c r="C2394" s="13">
        <v>43831</v>
      </c>
      <c r="D2394" s="13">
        <v>44196</v>
      </c>
      <c r="E2394" t="s">
        <v>17</v>
      </c>
      <c r="F2394">
        <v>15</v>
      </c>
      <c r="G2394" t="s">
        <v>560</v>
      </c>
      <c r="H2394">
        <v>50</v>
      </c>
      <c r="I2394" t="s">
        <v>561</v>
      </c>
      <c r="J2394">
        <v>269</v>
      </c>
      <c r="K2394" t="s">
        <v>562</v>
      </c>
      <c r="L2394" s="13">
        <v>43844</v>
      </c>
      <c r="M2394" t="s">
        <v>351</v>
      </c>
      <c r="N2394" t="s">
        <v>1400</v>
      </c>
      <c r="O2394">
        <v>530</v>
      </c>
      <c r="P2394" t="s">
        <v>565</v>
      </c>
    </row>
    <row r="2395" spans="1:16" ht="15" customHeight="1" x14ac:dyDescent="0.4">
      <c r="A2395" t="s">
        <v>15</v>
      </c>
      <c r="B2395" t="s">
        <v>16</v>
      </c>
      <c r="C2395" s="13">
        <v>43831</v>
      </c>
      <c r="D2395" s="13">
        <v>44196</v>
      </c>
      <c r="E2395" t="s">
        <v>17</v>
      </c>
      <c r="F2395">
        <v>15</v>
      </c>
      <c r="G2395" t="s">
        <v>560</v>
      </c>
      <c r="H2395">
        <v>50</v>
      </c>
      <c r="I2395" t="s">
        <v>561</v>
      </c>
      <c r="J2395">
        <v>269</v>
      </c>
      <c r="K2395" t="s">
        <v>562</v>
      </c>
      <c r="L2395" s="13">
        <v>43874</v>
      </c>
      <c r="M2395" t="s">
        <v>351</v>
      </c>
      <c r="N2395" t="s">
        <v>1401</v>
      </c>
      <c r="O2395">
        <v>558.88</v>
      </c>
      <c r="P2395" t="s">
        <v>565</v>
      </c>
    </row>
    <row r="2396" spans="1:16" ht="15" customHeight="1" x14ac:dyDescent="0.4">
      <c r="A2396" t="s">
        <v>15</v>
      </c>
      <c r="B2396" t="s">
        <v>16</v>
      </c>
      <c r="C2396" s="13">
        <v>43831</v>
      </c>
      <c r="D2396" s="13">
        <v>44196</v>
      </c>
      <c r="E2396" t="s">
        <v>17</v>
      </c>
      <c r="F2396">
        <v>15</v>
      </c>
      <c r="G2396" t="s">
        <v>560</v>
      </c>
      <c r="H2396">
        <v>50</v>
      </c>
      <c r="I2396" t="s">
        <v>561</v>
      </c>
      <c r="J2396">
        <v>269</v>
      </c>
      <c r="K2396" t="s">
        <v>562</v>
      </c>
      <c r="L2396" s="13">
        <v>43903</v>
      </c>
      <c r="M2396" t="s">
        <v>351</v>
      </c>
      <c r="N2396" t="s">
        <v>1402</v>
      </c>
      <c r="O2396">
        <v>499.84</v>
      </c>
      <c r="P2396" t="s">
        <v>565</v>
      </c>
    </row>
    <row r="2397" spans="1:16" ht="15" customHeight="1" x14ac:dyDescent="0.4">
      <c r="A2397" t="s">
        <v>15</v>
      </c>
      <c r="B2397" t="s">
        <v>16</v>
      </c>
      <c r="C2397" s="13">
        <v>43831</v>
      </c>
      <c r="D2397" s="13">
        <v>44196</v>
      </c>
      <c r="E2397" t="s">
        <v>17</v>
      </c>
      <c r="F2397">
        <v>15</v>
      </c>
      <c r="G2397" t="s">
        <v>560</v>
      </c>
      <c r="H2397">
        <v>50</v>
      </c>
      <c r="I2397" t="s">
        <v>561</v>
      </c>
      <c r="J2397">
        <v>269</v>
      </c>
      <c r="K2397" t="s">
        <v>562</v>
      </c>
      <c r="L2397" s="13">
        <v>43937</v>
      </c>
      <c r="M2397" t="s">
        <v>351</v>
      </c>
      <c r="N2397" t="s">
        <v>1403</v>
      </c>
      <c r="O2397">
        <v>491.63</v>
      </c>
      <c r="P2397" t="s">
        <v>565</v>
      </c>
    </row>
    <row r="2398" spans="1:16" ht="15" customHeight="1" x14ac:dyDescent="0.4">
      <c r="A2398" t="s">
        <v>15</v>
      </c>
      <c r="B2398" t="s">
        <v>16</v>
      </c>
      <c r="C2398" s="13">
        <v>43831</v>
      </c>
      <c r="D2398" s="13">
        <v>44196</v>
      </c>
      <c r="E2398" t="s">
        <v>17</v>
      </c>
      <c r="F2398">
        <v>15</v>
      </c>
      <c r="G2398" t="s">
        <v>560</v>
      </c>
      <c r="H2398">
        <v>50</v>
      </c>
      <c r="I2398" t="s">
        <v>561</v>
      </c>
      <c r="J2398">
        <v>269</v>
      </c>
      <c r="K2398" t="s">
        <v>562</v>
      </c>
      <c r="L2398" s="13">
        <v>43964</v>
      </c>
      <c r="M2398" t="s">
        <v>351</v>
      </c>
      <c r="N2398" t="s">
        <v>1404</v>
      </c>
      <c r="O2398">
        <v>340.59</v>
      </c>
      <c r="P2398" t="s">
        <v>565</v>
      </c>
    </row>
    <row r="2399" spans="1:16" ht="15" customHeight="1" x14ac:dyDescent="0.4">
      <c r="A2399" t="s">
        <v>15</v>
      </c>
      <c r="B2399" t="s">
        <v>16</v>
      </c>
      <c r="C2399" s="13">
        <v>43831</v>
      </c>
      <c r="D2399" s="13">
        <v>44196</v>
      </c>
      <c r="E2399" t="s">
        <v>17</v>
      </c>
      <c r="F2399">
        <v>15</v>
      </c>
      <c r="G2399" t="s">
        <v>560</v>
      </c>
      <c r="H2399">
        <v>50</v>
      </c>
      <c r="I2399" t="s">
        <v>561</v>
      </c>
      <c r="J2399">
        <v>269</v>
      </c>
      <c r="K2399" t="s">
        <v>562</v>
      </c>
      <c r="L2399" s="13">
        <v>43995</v>
      </c>
      <c r="M2399" t="s">
        <v>351</v>
      </c>
      <c r="N2399" t="s">
        <v>1405</v>
      </c>
      <c r="O2399">
        <v>343.5</v>
      </c>
      <c r="P2399" t="s">
        <v>565</v>
      </c>
    </row>
    <row r="2400" spans="1:16" ht="15" customHeight="1" x14ac:dyDescent="0.4">
      <c r="A2400" t="s">
        <v>15</v>
      </c>
      <c r="B2400" t="s">
        <v>16</v>
      </c>
      <c r="C2400" s="13">
        <v>43831</v>
      </c>
      <c r="D2400" s="13">
        <v>44196</v>
      </c>
      <c r="E2400" t="s">
        <v>17</v>
      </c>
      <c r="F2400">
        <v>15</v>
      </c>
      <c r="G2400" t="s">
        <v>560</v>
      </c>
      <c r="H2400">
        <v>50</v>
      </c>
      <c r="I2400" t="s">
        <v>561</v>
      </c>
      <c r="J2400">
        <v>269</v>
      </c>
      <c r="K2400" t="s">
        <v>562</v>
      </c>
      <c r="L2400" s="13">
        <v>44027</v>
      </c>
      <c r="M2400" t="s">
        <v>351</v>
      </c>
      <c r="N2400" t="s">
        <v>1406</v>
      </c>
      <c r="O2400">
        <v>290.43</v>
      </c>
      <c r="P2400" t="s">
        <v>565</v>
      </c>
    </row>
    <row r="2401" spans="1:16" ht="15" customHeight="1" x14ac:dyDescent="0.4">
      <c r="A2401" t="s">
        <v>15</v>
      </c>
      <c r="B2401" t="s">
        <v>16</v>
      </c>
      <c r="C2401" s="13">
        <v>43831</v>
      </c>
      <c r="D2401" s="13">
        <v>44196</v>
      </c>
      <c r="E2401" t="s">
        <v>17</v>
      </c>
      <c r="F2401">
        <v>15</v>
      </c>
      <c r="G2401" t="s">
        <v>560</v>
      </c>
      <c r="H2401">
        <v>50</v>
      </c>
      <c r="I2401" t="s">
        <v>561</v>
      </c>
      <c r="J2401">
        <v>269</v>
      </c>
      <c r="K2401" t="s">
        <v>562</v>
      </c>
      <c r="L2401" s="13">
        <v>44056</v>
      </c>
      <c r="M2401" t="s">
        <v>351</v>
      </c>
      <c r="N2401" t="s">
        <v>1407</v>
      </c>
      <c r="O2401">
        <v>278.36</v>
      </c>
      <c r="P2401" t="s">
        <v>565</v>
      </c>
    </row>
    <row r="2402" spans="1:16" ht="15" customHeight="1" x14ac:dyDescent="0.4">
      <c r="A2402" t="s">
        <v>15</v>
      </c>
      <c r="B2402" t="s">
        <v>16</v>
      </c>
      <c r="C2402" s="13">
        <v>43831</v>
      </c>
      <c r="D2402" s="13">
        <v>44196</v>
      </c>
      <c r="E2402" t="s">
        <v>17</v>
      </c>
      <c r="F2402">
        <v>15</v>
      </c>
      <c r="G2402" t="s">
        <v>560</v>
      </c>
      <c r="H2402">
        <v>50</v>
      </c>
      <c r="I2402" t="s">
        <v>561</v>
      </c>
      <c r="J2402">
        <v>269</v>
      </c>
      <c r="K2402" t="s">
        <v>562</v>
      </c>
      <c r="L2402" s="13">
        <v>44088</v>
      </c>
      <c r="M2402" t="s">
        <v>351</v>
      </c>
      <c r="N2402" t="s">
        <v>1408</v>
      </c>
      <c r="O2402">
        <v>292.11</v>
      </c>
      <c r="P2402" t="s">
        <v>565</v>
      </c>
    </row>
    <row r="2403" spans="1:16" ht="15" customHeight="1" x14ac:dyDescent="0.4">
      <c r="A2403" t="s">
        <v>15</v>
      </c>
      <c r="B2403" t="s">
        <v>16</v>
      </c>
      <c r="C2403" s="13">
        <v>43831</v>
      </c>
      <c r="D2403" s="13">
        <v>44196</v>
      </c>
      <c r="E2403" t="s">
        <v>17</v>
      </c>
      <c r="F2403">
        <v>15</v>
      </c>
      <c r="G2403" t="s">
        <v>560</v>
      </c>
      <c r="H2403">
        <v>50</v>
      </c>
      <c r="I2403" t="s">
        <v>561</v>
      </c>
      <c r="J2403">
        <v>269</v>
      </c>
      <c r="K2403" t="s">
        <v>562</v>
      </c>
      <c r="L2403" s="13">
        <v>44117</v>
      </c>
      <c r="M2403" t="s">
        <v>351</v>
      </c>
      <c r="N2403" t="s">
        <v>1409</v>
      </c>
      <c r="O2403">
        <v>312.05</v>
      </c>
      <c r="P2403" t="s">
        <v>565</v>
      </c>
    </row>
    <row r="2404" spans="1:16" ht="15" customHeight="1" x14ac:dyDescent="0.4">
      <c r="A2404" t="s">
        <v>15</v>
      </c>
      <c r="B2404" t="s">
        <v>16</v>
      </c>
      <c r="C2404" s="13">
        <v>43831</v>
      </c>
      <c r="D2404" s="13">
        <v>44196</v>
      </c>
      <c r="E2404" t="s">
        <v>17</v>
      </c>
      <c r="F2404">
        <v>15</v>
      </c>
      <c r="G2404" t="s">
        <v>560</v>
      </c>
      <c r="H2404">
        <v>50</v>
      </c>
      <c r="I2404" t="s">
        <v>561</v>
      </c>
      <c r="J2404">
        <v>269</v>
      </c>
      <c r="K2404" t="s">
        <v>562</v>
      </c>
      <c r="L2404" s="13">
        <v>44148</v>
      </c>
      <c r="M2404" t="s">
        <v>351</v>
      </c>
      <c r="N2404" t="s">
        <v>1410</v>
      </c>
      <c r="O2404">
        <v>421.56</v>
      </c>
      <c r="P2404" t="s">
        <v>565</v>
      </c>
    </row>
    <row r="2405" spans="1:16" ht="15" customHeight="1" x14ac:dyDescent="0.4">
      <c r="A2405" t="s">
        <v>15</v>
      </c>
      <c r="B2405" t="s">
        <v>16</v>
      </c>
      <c r="C2405" s="13">
        <v>43831</v>
      </c>
      <c r="D2405" s="13">
        <v>44196</v>
      </c>
      <c r="E2405" t="s">
        <v>17</v>
      </c>
      <c r="F2405">
        <v>15</v>
      </c>
      <c r="G2405" t="s">
        <v>560</v>
      </c>
      <c r="H2405">
        <v>50</v>
      </c>
      <c r="I2405" t="s">
        <v>561</v>
      </c>
      <c r="J2405">
        <v>269</v>
      </c>
      <c r="K2405" t="s">
        <v>562</v>
      </c>
      <c r="L2405" s="13">
        <v>44181</v>
      </c>
      <c r="M2405" t="s">
        <v>351</v>
      </c>
      <c r="N2405" t="s">
        <v>1411</v>
      </c>
      <c r="O2405">
        <v>548.35</v>
      </c>
      <c r="P2405" t="s">
        <v>565</v>
      </c>
    </row>
    <row r="2406" spans="1:16" ht="15" customHeight="1" x14ac:dyDescent="0.4">
      <c r="A2406" t="s">
        <v>15</v>
      </c>
      <c r="B2406" t="s">
        <v>16</v>
      </c>
      <c r="C2406" s="13">
        <v>43831</v>
      </c>
      <c r="D2406" s="13">
        <v>44196</v>
      </c>
      <c r="E2406" t="s">
        <v>17</v>
      </c>
      <c r="F2406">
        <v>15</v>
      </c>
      <c r="G2406" t="s">
        <v>560</v>
      </c>
      <c r="H2406">
        <v>50</v>
      </c>
      <c r="I2406" t="s">
        <v>561</v>
      </c>
      <c r="J2406">
        <v>286</v>
      </c>
      <c r="K2406" t="s">
        <v>588</v>
      </c>
      <c r="L2406" s="13">
        <v>44196</v>
      </c>
      <c r="M2406" t="s">
        <v>1413</v>
      </c>
      <c r="N2406" t="s">
        <v>86</v>
      </c>
      <c r="O2406">
        <v>1806.58</v>
      </c>
      <c r="P2406" t="s">
        <v>46</v>
      </c>
    </row>
    <row r="2407" spans="1:16" ht="15" customHeight="1" x14ac:dyDescent="0.4">
      <c r="A2407" t="s">
        <v>15</v>
      </c>
      <c r="B2407" t="s">
        <v>16</v>
      </c>
      <c r="C2407" s="13">
        <v>43831</v>
      </c>
      <c r="D2407" s="13">
        <v>44196</v>
      </c>
      <c r="E2407" t="s">
        <v>17</v>
      </c>
      <c r="F2407">
        <v>15</v>
      </c>
      <c r="G2407" t="s">
        <v>560</v>
      </c>
      <c r="H2407">
        <v>50</v>
      </c>
      <c r="I2407" t="s">
        <v>561</v>
      </c>
      <c r="J2407">
        <v>289</v>
      </c>
      <c r="K2407" t="s">
        <v>615</v>
      </c>
      <c r="L2407" s="13">
        <v>44196</v>
      </c>
      <c r="M2407" t="s">
        <v>616</v>
      </c>
      <c r="N2407" t="s">
        <v>98</v>
      </c>
      <c r="O2407">
        <v>-11.07</v>
      </c>
      <c r="P2407" t="s">
        <v>46</v>
      </c>
    </row>
    <row r="2408" spans="1:16" ht="15" customHeight="1" x14ac:dyDescent="0.4">
      <c r="A2408" t="s">
        <v>15</v>
      </c>
      <c r="B2408" t="s">
        <v>16</v>
      </c>
      <c r="C2408" s="13">
        <v>43831</v>
      </c>
      <c r="D2408" s="13">
        <v>44196</v>
      </c>
      <c r="E2408" t="s">
        <v>17</v>
      </c>
      <c r="F2408">
        <v>16</v>
      </c>
      <c r="G2408" t="s">
        <v>617</v>
      </c>
      <c r="H2408">
        <v>6</v>
      </c>
      <c r="I2408" t="s">
        <v>618</v>
      </c>
      <c r="J2408">
        <v>269</v>
      </c>
      <c r="K2408" t="s">
        <v>3695</v>
      </c>
      <c r="L2408" s="13">
        <v>43852</v>
      </c>
      <c r="M2408" t="s">
        <v>351</v>
      </c>
      <c r="N2408" t="s">
        <v>1255</v>
      </c>
      <c r="O2408">
        <v>46.23</v>
      </c>
      <c r="P2408" t="s">
        <v>52</v>
      </c>
    </row>
    <row r="2409" spans="1:16" ht="15" customHeight="1" x14ac:dyDescent="0.4">
      <c r="A2409" t="s">
        <v>15</v>
      </c>
      <c r="B2409" t="s">
        <v>16</v>
      </c>
      <c r="C2409" s="13">
        <v>43831</v>
      </c>
      <c r="D2409" s="13">
        <v>44196</v>
      </c>
      <c r="E2409" t="s">
        <v>17</v>
      </c>
      <c r="F2409">
        <v>16</v>
      </c>
      <c r="G2409" t="s">
        <v>617</v>
      </c>
      <c r="H2409">
        <v>6</v>
      </c>
      <c r="I2409" t="s">
        <v>618</v>
      </c>
      <c r="J2409">
        <v>269</v>
      </c>
      <c r="K2409" t="s">
        <v>3695</v>
      </c>
      <c r="L2409" s="13">
        <v>43912</v>
      </c>
      <c r="M2409" t="s">
        <v>351</v>
      </c>
      <c r="N2409" t="s">
        <v>1256</v>
      </c>
      <c r="O2409">
        <v>27.91</v>
      </c>
      <c r="P2409" t="s">
        <v>52</v>
      </c>
    </row>
    <row r="2410" spans="1:16" ht="15" customHeight="1" x14ac:dyDescent="0.4">
      <c r="A2410" t="s">
        <v>15</v>
      </c>
      <c r="B2410" t="s">
        <v>16</v>
      </c>
      <c r="C2410" s="13">
        <v>43831</v>
      </c>
      <c r="D2410" s="13">
        <v>44196</v>
      </c>
      <c r="E2410" t="s">
        <v>17</v>
      </c>
      <c r="F2410">
        <v>16</v>
      </c>
      <c r="G2410" t="s">
        <v>617</v>
      </c>
      <c r="H2410">
        <v>6</v>
      </c>
      <c r="I2410" t="s">
        <v>618</v>
      </c>
      <c r="J2410">
        <v>269</v>
      </c>
      <c r="K2410" t="s">
        <v>3695</v>
      </c>
      <c r="L2410" s="13">
        <v>43973</v>
      </c>
      <c r="M2410" t="s">
        <v>351</v>
      </c>
      <c r="N2410" t="s">
        <v>1257</v>
      </c>
      <c r="O2410">
        <v>25.43</v>
      </c>
      <c r="P2410" t="s">
        <v>52</v>
      </c>
    </row>
    <row r="2411" spans="1:16" ht="15" customHeight="1" x14ac:dyDescent="0.4">
      <c r="A2411" t="s">
        <v>15</v>
      </c>
      <c r="B2411" t="s">
        <v>16</v>
      </c>
      <c r="C2411" s="13">
        <v>43831</v>
      </c>
      <c r="D2411" s="13">
        <v>44196</v>
      </c>
      <c r="E2411" t="s">
        <v>17</v>
      </c>
      <c r="F2411">
        <v>16</v>
      </c>
      <c r="G2411" t="s">
        <v>617</v>
      </c>
      <c r="H2411">
        <v>6</v>
      </c>
      <c r="I2411" t="s">
        <v>618</v>
      </c>
      <c r="J2411">
        <v>269</v>
      </c>
      <c r="K2411" t="s">
        <v>3695</v>
      </c>
      <c r="L2411" s="13">
        <v>44034</v>
      </c>
      <c r="M2411" t="s">
        <v>351</v>
      </c>
      <c r="N2411" t="s">
        <v>1258</v>
      </c>
      <c r="O2411">
        <v>25.18</v>
      </c>
      <c r="P2411" t="s">
        <v>52</v>
      </c>
    </row>
    <row r="2412" spans="1:16" ht="15" customHeight="1" x14ac:dyDescent="0.4">
      <c r="A2412" t="s">
        <v>15</v>
      </c>
      <c r="B2412" t="s">
        <v>16</v>
      </c>
      <c r="C2412" s="13">
        <v>43831</v>
      </c>
      <c r="D2412" s="13">
        <v>44196</v>
      </c>
      <c r="E2412" t="s">
        <v>17</v>
      </c>
      <c r="F2412">
        <v>16</v>
      </c>
      <c r="G2412" t="s">
        <v>617</v>
      </c>
      <c r="H2412">
        <v>6</v>
      </c>
      <c r="I2412" t="s">
        <v>618</v>
      </c>
      <c r="J2412">
        <v>269</v>
      </c>
      <c r="K2412" t="s">
        <v>3695</v>
      </c>
      <c r="L2412" s="13">
        <v>44098</v>
      </c>
      <c r="M2412" t="s">
        <v>351</v>
      </c>
      <c r="N2412" t="s">
        <v>1259</v>
      </c>
      <c r="O2412">
        <v>24.33</v>
      </c>
      <c r="P2412" t="s">
        <v>52</v>
      </c>
    </row>
    <row r="2413" spans="1:16" ht="15" customHeight="1" x14ac:dyDescent="0.4">
      <c r="A2413" t="s">
        <v>15</v>
      </c>
      <c r="B2413" t="s">
        <v>16</v>
      </c>
      <c r="C2413" s="13">
        <v>43831</v>
      </c>
      <c r="D2413" s="13">
        <v>44196</v>
      </c>
      <c r="E2413" t="s">
        <v>17</v>
      </c>
      <c r="F2413">
        <v>16</v>
      </c>
      <c r="G2413" t="s">
        <v>617</v>
      </c>
      <c r="H2413">
        <v>6</v>
      </c>
      <c r="I2413" t="s">
        <v>618</v>
      </c>
      <c r="J2413">
        <v>269</v>
      </c>
      <c r="K2413" t="s">
        <v>3695</v>
      </c>
      <c r="L2413" s="13">
        <v>44157</v>
      </c>
      <c r="M2413" t="s">
        <v>351</v>
      </c>
      <c r="N2413" t="s">
        <v>1260</v>
      </c>
      <c r="O2413">
        <v>23.05</v>
      </c>
      <c r="P2413" t="s">
        <v>52</v>
      </c>
    </row>
    <row r="2414" spans="1:16" ht="15" customHeight="1" x14ac:dyDescent="0.4">
      <c r="A2414" t="s">
        <v>15</v>
      </c>
      <c r="B2414" t="s">
        <v>16</v>
      </c>
      <c r="C2414" s="13">
        <v>43831</v>
      </c>
      <c r="D2414" s="13">
        <v>44196</v>
      </c>
      <c r="E2414" t="s">
        <v>30</v>
      </c>
      <c r="F2414">
        <v>17</v>
      </c>
      <c r="G2414" t="s">
        <v>619</v>
      </c>
      <c r="H2414">
        <v>6</v>
      </c>
      <c r="I2414" t="s">
        <v>620</v>
      </c>
      <c r="J2414">
        <v>106</v>
      </c>
      <c r="K2414" t="s">
        <v>422</v>
      </c>
      <c r="L2414" s="13">
        <v>44177</v>
      </c>
      <c r="M2414" t="s">
        <v>1342</v>
      </c>
      <c r="N2414" t="s">
        <v>1414</v>
      </c>
      <c r="O2414">
        <v>330</v>
      </c>
      <c r="P2414" t="s">
        <v>1034</v>
      </c>
    </row>
    <row r="2415" spans="1:16" ht="15" customHeight="1" x14ac:dyDescent="0.4">
      <c r="A2415" t="s">
        <v>15</v>
      </c>
      <c r="B2415" t="s">
        <v>16</v>
      </c>
      <c r="C2415" s="13">
        <v>43831</v>
      </c>
      <c r="D2415" s="13">
        <v>44196</v>
      </c>
      <c r="E2415" t="s">
        <v>30</v>
      </c>
      <c r="F2415">
        <v>17</v>
      </c>
      <c r="G2415" t="s">
        <v>619</v>
      </c>
      <c r="H2415">
        <v>6</v>
      </c>
      <c r="I2415" t="s">
        <v>620</v>
      </c>
      <c r="J2415">
        <v>232</v>
      </c>
      <c r="K2415" t="s">
        <v>629</v>
      </c>
      <c r="L2415" s="13">
        <v>43977</v>
      </c>
      <c r="M2415" t="s">
        <v>1415</v>
      </c>
      <c r="N2415" t="s">
        <v>46</v>
      </c>
      <c r="O2415">
        <v>65.099999999999994</v>
      </c>
      <c r="P2415" t="s">
        <v>46</v>
      </c>
    </row>
    <row r="2416" spans="1:16" ht="15" customHeight="1" x14ac:dyDescent="0.4">
      <c r="A2416" t="s">
        <v>15</v>
      </c>
      <c r="B2416" t="s">
        <v>16</v>
      </c>
      <c r="C2416" s="13">
        <v>43831</v>
      </c>
      <c r="D2416" s="13">
        <v>44196</v>
      </c>
      <c r="E2416" t="s">
        <v>17</v>
      </c>
      <c r="F2416">
        <v>17</v>
      </c>
      <c r="G2416" t="s">
        <v>619</v>
      </c>
      <c r="H2416">
        <v>6</v>
      </c>
      <c r="I2416" t="s">
        <v>620</v>
      </c>
      <c r="J2416">
        <v>269</v>
      </c>
      <c r="K2416" t="s">
        <v>3695</v>
      </c>
      <c r="L2416" s="13">
        <v>43852</v>
      </c>
      <c r="M2416" t="s">
        <v>351</v>
      </c>
      <c r="N2416" t="s">
        <v>1255</v>
      </c>
      <c r="O2416">
        <v>46.23</v>
      </c>
      <c r="P2416" t="s">
        <v>52</v>
      </c>
    </row>
    <row r="2417" spans="1:16" ht="15" customHeight="1" x14ac:dyDescent="0.4">
      <c r="A2417" t="s">
        <v>15</v>
      </c>
      <c r="B2417" t="s">
        <v>16</v>
      </c>
      <c r="C2417" s="13">
        <v>43831</v>
      </c>
      <c r="D2417" s="13">
        <v>44196</v>
      </c>
      <c r="E2417" t="s">
        <v>17</v>
      </c>
      <c r="F2417">
        <v>17</v>
      </c>
      <c r="G2417" t="s">
        <v>619</v>
      </c>
      <c r="H2417">
        <v>6</v>
      </c>
      <c r="I2417" t="s">
        <v>620</v>
      </c>
      <c r="J2417">
        <v>269</v>
      </c>
      <c r="K2417" t="s">
        <v>3695</v>
      </c>
      <c r="L2417" s="13">
        <v>43912</v>
      </c>
      <c r="M2417" t="s">
        <v>351</v>
      </c>
      <c r="N2417" t="s">
        <v>1256</v>
      </c>
      <c r="O2417">
        <v>27.91</v>
      </c>
      <c r="P2417" t="s">
        <v>52</v>
      </c>
    </row>
    <row r="2418" spans="1:16" ht="15" customHeight="1" x14ac:dyDescent="0.4">
      <c r="A2418" t="s">
        <v>15</v>
      </c>
      <c r="B2418" t="s">
        <v>16</v>
      </c>
      <c r="C2418" s="13">
        <v>43831</v>
      </c>
      <c r="D2418" s="13">
        <v>44196</v>
      </c>
      <c r="E2418" t="s">
        <v>17</v>
      </c>
      <c r="F2418">
        <v>17</v>
      </c>
      <c r="G2418" t="s">
        <v>619</v>
      </c>
      <c r="H2418">
        <v>6</v>
      </c>
      <c r="I2418" t="s">
        <v>620</v>
      </c>
      <c r="J2418">
        <v>269</v>
      </c>
      <c r="K2418" t="s">
        <v>3695</v>
      </c>
      <c r="L2418" s="13">
        <v>43973</v>
      </c>
      <c r="M2418" t="s">
        <v>351</v>
      </c>
      <c r="N2418" t="s">
        <v>1257</v>
      </c>
      <c r="O2418">
        <v>25.43</v>
      </c>
      <c r="P2418" t="s">
        <v>52</v>
      </c>
    </row>
    <row r="2419" spans="1:16" ht="15" customHeight="1" x14ac:dyDescent="0.4">
      <c r="A2419" t="s">
        <v>15</v>
      </c>
      <c r="B2419" t="s">
        <v>16</v>
      </c>
      <c r="C2419" s="13">
        <v>43831</v>
      </c>
      <c r="D2419" s="13">
        <v>44196</v>
      </c>
      <c r="E2419" t="s">
        <v>17</v>
      </c>
      <c r="F2419">
        <v>17</v>
      </c>
      <c r="G2419" t="s">
        <v>619</v>
      </c>
      <c r="H2419">
        <v>6</v>
      </c>
      <c r="I2419" t="s">
        <v>620</v>
      </c>
      <c r="J2419">
        <v>269</v>
      </c>
      <c r="K2419" t="s">
        <v>3695</v>
      </c>
      <c r="L2419" s="13">
        <v>44034</v>
      </c>
      <c r="M2419" t="s">
        <v>351</v>
      </c>
      <c r="N2419" t="s">
        <v>1258</v>
      </c>
      <c r="O2419">
        <v>25.18</v>
      </c>
      <c r="P2419" t="s">
        <v>52</v>
      </c>
    </row>
    <row r="2420" spans="1:16" ht="15" customHeight="1" x14ac:dyDescent="0.4">
      <c r="A2420" t="s">
        <v>15</v>
      </c>
      <c r="B2420" t="s">
        <v>16</v>
      </c>
      <c r="C2420" s="13">
        <v>43831</v>
      </c>
      <c r="D2420" s="13">
        <v>44196</v>
      </c>
      <c r="E2420" t="s">
        <v>17</v>
      </c>
      <c r="F2420">
        <v>17</v>
      </c>
      <c r="G2420" t="s">
        <v>619</v>
      </c>
      <c r="H2420">
        <v>6</v>
      </c>
      <c r="I2420" t="s">
        <v>620</v>
      </c>
      <c r="J2420">
        <v>269</v>
      </c>
      <c r="K2420" t="s">
        <v>3695</v>
      </c>
      <c r="L2420" s="13">
        <v>44098</v>
      </c>
      <c r="M2420" t="s">
        <v>351</v>
      </c>
      <c r="N2420" t="s">
        <v>1259</v>
      </c>
      <c r="O2420">
        <v>24.33</v>
      </c>
      <c r="P2420" t="s">
        <v>52</v>
      </c>
    </row>
    <row r="2421" spans="1:16" ht="15" customHeight="1" x14ac:dyDescent="0.4">
      <c r="A2421" t="s">
        <v>15</v>
      </c>
      <c r="B2421" t="s">
        <v>16</v>
      </c>
      <c r="C2421" s="13">
        <v>43831</v>
      </c>
      <c r="D2421" s="13">
        <v>44196</v>
      </c>
      <c r="E2421" t="s">
        <v>17</v>
      </c>
      <c r="F2421">
        <v>17</v>
      </c>
      <c r="G2421" t="s">
        <v>619</v>
      </c>
      <c r="H2421">
        <v>6</v>
      </c>
      <c r="I2421" t="s">
        <v>620</v>
      </c>
      <c r="J2421">
        <v>269</v>
      </c>
      <c r="K2421" t="s">
        <v>3695</v>
      </c>
      <c r="L2421" s="13">
        <v>44157</v>
      </c>
      <c r="M2421" t="s">
        <v>351</v>
      </c>
      <c r="N2421" t="s">
        <v>1260</v>
      </c>
      <c r="O2421">
        <v>23.05</v>
      </c>
      <c r="P2421" t="s">
        <v>52</v>
      </c>
    </row>
    <row r="2422" spans="1:16" ht="15" customHeight="1" x14ac:dyDescent="0.4">
      <c r="A2422" t="s">
        <v>15</v>
      </c>
      <c r="B2422" t="s">
        <v>16</v>
      </c>
      <c r="C2422" s="13">
        <v>43466</v>
      </c>
      <c r="D2422" s="13">
        <v>43830</v>
      </c>
      <c r="E2422" t="s">
        <v>17</v>
      </c>
      <c r="F2422">
        <v>0</v>
      </c>
      <c r="G2422" t="s">
        <v>18</v>
      </c>
      <c r="H2422">
        <v>1</v>
      </c>
      <c r="I2422" t="s">
        <v>19</v>
      </c>
      <c r="J2422">
        <v>115</v>
      </c>
      <c r="K2422" t="s">
        <v>1416</v>
      </c>
      <c r="L2422" s="13">
        <v>43623</v>
      </c>
      <c r="M2422" t="s">
        <v>1417</v>
      </c>
      <c r="N2422" t="s">
        <v>1418</v>
      </c>
      <c r="O2422">
        <v>67.099999999999994</v>
      </c>
      <c r="P2422" t="s">
        <v>472</v>
      </c>
    </row>
    <row r="2423" spans="1:16" ht="15" customHeight="1" x14ac:dyDescent="0.4">
      <c r="A2423" t="s">
        <v>15</v>
      </c>
      <c r="B2423" t="s">
        <v>16</v>
      </c>
      <c r="C2423" s="13">
        <v>43466</v>
      </c>
      <c r="D2423" s="13">
        <v>43830</v>
      </c>
      <c r="E2423" t="s">
        <v>30</v>
      </c>
      <c r="F2423">
        <v>0</v>
      </c>
      <c r="G2423" t="s">
        <v>18</v>
      </c>
      <c r="H2423">
        <v>1</v>
      </c>
      <c r="I2423" t="s">
        <v>19</v>
      </c>
      <c r="J2423">
        <v>116</v>
      </c>
      <c r="K2423" t="s">
        <v>469</v>
      </c>
      <c r="L2423" s="13">
        <v>43787</v>
      </c>
      <c r="M2423" t="s">
        <v>1419</v>
      </c>
      <c r="N2423" t="s">
        <v>1420</v>
      </c>
      <c r="O2423">
        <v>195.8</v>
      </c>
      <c r="P2423" t="s">
        <v>472</v>
      </c>
    </row>
    <row r="2424" spans="1:16" ht="15" customHeight="1" x14ac:dyDescent="0.4">
      <c r="A2424" t="s">
        <v>15</v>
      </c>
      <c r="B2424" t="s">
        <v>16</v>
      </c>
      <c r="C2424" s="13">
        <v>43466</v>
      </c>
      <c r="D2424" s="13">
        <v>43830</v>
      </c>
      <c r="E2424" t="s">
        <v>17</v>
      </c>
      <c r="F2424">
        <v>0</v>
      </c>
      <c r="G2424" t="s">
        <v>18</v>
      </c>
      <c r="H2424">
        <v>1</v>
      </c>
      <c r="I2424" t="s">
        <v>19</v>
      </c>
      <c r="J2424">
        <v>171</v>
      </c>
      <c r="K2424" t="s">
        <v>20</v>
      </c>
      <c r="L2424" s="13">
        <v>43766</v>
      </c>
      <c r="M2424" t="s">
        <v>1421</v>
      </c>
      <c r="N2424" t="s">
        <v>1422</v>
      </c>
      <c r="O2424">
        <v>1704</v>
      </c>
      <c r="P2424" t="s">
        <v>23</v>
      </c>
    </row>
    <row r="2425" spans="1:16" ht="15" customHeight="1" x14ac:dyDescent="0.4">
      <c r="A2425" t="s">
        <v>15</v>
      </c>
      <c r="B2425" t="s">
        <v>16</v>
      </c>
      <c r="C2425" s="13">
        <v>43466</v>
      </c>
      <c r="D2425" s="13">
        <v>43830</v>
      </c>
      <c r="E2425" t="s">
        <v>30</v>
      </c>
      <c r="F2425">
        <v>0</v>
      </c>
      <c r="G2425" t="s">
        <v>18</v>
      </c>
      <c r="H2425">
        <v>1</v>
      </c>
      <c r="I2425" t="s">
        <v>19</v>
      </c>
      <c r="J2425">
        <v>233</v>
      </c>
      <c r="K2425" t="s">
        <v>31</v>
      </c>
      <c r="L2425" s="13">
        <v>43468</v>
      </c>
      <c r="M2425" t="s">
        <v>1423</v>
      </c>
      <c r="N2425" t="s">
        <v>1424</v>
      </c>
      <c r="O2425">
        <v>593</v>
      </c>
      <c r="P2425" t="s">
        <v>34</v>
      </c>
    </row>
    <row r="2426" spans="1:16" ht="15" customHeight="1" x14ac:dyDescent="0.4">
      <c r="A2426" t="s">
        <v>15</v>
      </c>
      <c r="B2426" t="s">
        <v>16</v>
      </c>
      <c r="C2426" s="13">
        <v>43466</v>
      </c>
      <c r="D2426" s="13">
        <v>43830</v>
      </c>
      <c r="E2426" t="s">
        <v>30</v>
      </c>
      <c r="F2426">
        <v>0</v>
      </c>
      <c r="G2426" t="s">
        <v>18</v>
      </c>
      <c r="H2426">
        <v>1</v>
      </c>
      <c r="I2426" t="s">
        <v>19</v>
      </c>
      <c r="J2426">
        <v>233</v>
      </c>
      <c r="K2426" t="s">
        <v>31</v>
      </c>
      <c r="L2426" s="13">
        <v>43594</v>
      </c>
      <c r="M2426" t="s">
        <v>32</v>
      </c>
      <c r="N2426" t="s">
        <v>1425</v>
      </c>
      <c r="O2426">
        <v>311</v>
      </c>
      <c r="P2426" t="s">
        <v>34</v>
      </c>
    </row>
    <row r="2427" spans="1:16" ht="15" customHeight="1" x14ac:dyDescent="0.4">
      <c r="A2427" t="s">
        <v>15</v>
      </c>
      <c r="B2427" t="s">
        <v>16</v>
      </c>
      <c r="C2427" s="13">
        <v>43466</v>
      </c>
      <c r="D2427" s="13">
        <v>43830</v>
      </c>
      <c r="E2427" t="s">
        <v>30</v>
      </c>
      <c r="F2427">
        <v>0</v>
      </c>
      <c r="G2427" t="s">
        <v>18</v>
      </c>
      <c r="H2427">
        <v>1</v>
      </c>
      <c r="I2427" t="s">
        <v>19</v>
      </c>
      <c r="J2427">
        <v>233</v>
      </c>
      <c r="K2427" t="s">
        <v>31</v>
      </c>
      <c r="L2427" s="13">
        <v>43817</v>
      </c>
      <c r="M2427" t="s">
        <v>1426</v>
      </c>
      <c r="N2427" t="s">
        <v>1427</v>
      </c>
      <c r="O2427">
        <v>480.58</v>
      </c>
      <c r="P2427" t="s">
        <v>34</v>
      </c>
    </row>
    <row r="2428" spans="1:16" ht="15" customHeight="1" x14ac:dyDescent="0.4">
      <c r="A2428" t="s">
        <v>15</v>
      </c>
      <c r="B2428" t="s">
        <v>16</v>
      </c>
      <c r="C2428" s="13">
        <v>43466</v>
      </c>
      <c r="D2428" s="13">
        <v>43830</v>
      </c>
      <c r="E2428" t="s">
        <v>30</v>
      </c>
      <c r="F2428">
        <v>0</v>
      </c>
      <c r="G2428" t="s">
        <v>18</v>
      </c>
      <c r="H2428">
        <v>1</v>
      </c>
      <c r="I2428" t="s">
        <v>19</v>
      </c>
      <c r="J2428">
        <v>236</v>
      </c>
      <c r="K2428" t="s">
        <v>950</v>
      </c>
      <c r="L2428" s="13">
        <v>43551</v>
      </c>
      <c r="M2428" t="s">
        <v>1428</v>
      </c>
      <c r="N2428" t="s">
        <v>1429</v>
      </c>
      <c r="O2428">
        <v>165</v>
      </c>
      <c r="P2428" t="s">
        <v>1430</v>
      </c>
    </row>
    <row r="2429" spans="1:16" ht="15" customHeight="1" x14ac:dyDescent="0.4">
      <c r="A2429" t="s">
        <v>15</v>
      </c>
      <c r="B2429" t="s">
        <v>16</v>
      </c>
      <c r="C2429" s="13">
        <v>43466</v>
      </c>
      <c r="D2429" s="13">
        <v>43830</v>
      </c>
      <c r="E2429" t="s">
        <v>30</v>
      </c>
      <c r="F2429">
        <v>0</v>
      </c>
      <c r="G2429" t="s">
        <v>18</v>
      </c>
      <c r="H2429">
        <v>1</v>
      </c>
      <c r="I2429" t="s">
        <v>19</v>
      </c>
      <c r="J2429">
        <v>236</v>
      </c>
      <c r="K2429" t="s">
        <v>950</v>
      </c>
      <c r="L2429" s="13">
        <v>43658</v>
      </c>
      <c r="M2429" t="s">
        <v>1431</v>
      </c>
      <c r="N2429" t="s">
        <v>1432</v>
      </c>
      <c r="O2429">
        <v>99</v>
      </c>
      <c r="P2429" t="s">
        <v>953</v>
      </c>
    </row>
    <row r="2430" spans="1:16" ht="15" customHeight="1" x14ac:dyDescent="0.4">
      <c r="A2430" t="s">
        <v>15</v>
      </c>
      <c r="B2430" t="s">
        <v>16</v>
      </c>
      <c r="C2430" s="13">
        <v>43466</v>
      </c>
      <c r="D2430" s="13">
        <v>43830</v>
      </c>
      <c r="E2430" t="s">
        <v>17</v>
      </c>
      <c r="F2430">
        <v>0</v>
      </c>
      <c r="G2430" t="s">
        <v>18</v>
      </c>
      <c r="H2430">
        <v>1</v>
      </c>
      <c r="I2430" t="s">
        <v>19</v>
      </c>
      <c r="J2430">
        <v>241</v>
      </c>
      <c r="K2430" t="s">
        <v>1048</v>
      </c>
      <c r="L2430" s="13">
        <v>43542</v>
      </c>
      <c r="M2430" t="s">
        <v>1433</v>
      </c>
      <c r="N2430" t="s">
        <v>1434</v>
      </c>
      <c r="O2430">
        <v>150</v>
      </c>
      <c r="P2430" t="s">
        <v>388</v>
      </c>
    </row>
    <row r="2431" spans="1:16" ht="15" customHeight="1" x14ac:dyDescent="0.4">
      <c r="A2431" t="s">
        <v>15</v>
      </c>
      <c r="B2431" t="s">
        <v>16</v>
      </c>
      <c r="C2431" s="13">
        <v>43466</v>
      </c>
      <c r="D2431" s="13">
        <v>43830</v>
      </c>
      <c r="E2431" t="s">
        <v>17</v>
      </c>
      <c r="F2431">
        <v>0</v>
      </c>
      <c r="G2431" t="s">
        <v>18</v>
      </c>
      <c r="H2431">
        <v>1</v>
      </c>
      <c r="I2431" t="s">
        <v>19</v>
      </c>
      <c r="J2431">
        <v>242</v>
      </c>
      <c r="K2431" t="s">
        <v>40</v>
      </c>
      <c r="L2431" s="13">
        <v>43483</v>
      </c>
      <c r="M2431" t="s">
        <v>1435</v>
      </c>
      <c r="N2431" t="s">
        <v>1436</v>
      </c>
      <c r="O2431">
        <v>1534.37</v>
      </c>
      <c r="P2431" t="s">
        <v>43</v>
      </c>
    </row>
    <row r="2432" spans="1:16" ht="15" customHeight="1" x14ac:dyDescent="0.4">
      <c r="A2432" t="s">
        <v>15</v>
      </c>
      <c r="B2432" t="s">
        <v>16</v>
      </c>
      <c r="C2432" s="13">
        <v>43466</v>
      </c>
      <c r="D2432" s="13">
        <v>43830</v>
      </c>
      <c r="E2432" t="s">
        <v>17</v>
      </c>
      <c r="F2432">
        <v>0</v>
      </c>
      <c r="G2432" t="s">
        <v>18</v>
      </c>
      <c r="H2432">
        <v>1</v>
      </c>
      <c r="I2432" t="s">
        <v>19</v>
      </c>
      <c r="J2432">
        <v>242</v>
      </c>
      <c r="K2432" t="s">
        <v>40</v>
      </c>
      <c r="L2432" s="13">
        <v>43830</v>
      </c>
      <c r="M2432" t="s">
        <v>44</v>
      </c>
      <c r="N2432" t="s">
        <v>45</v>
      </c>
      <c r="O2432">
        <v>-332.6</v>
      </c>
      <c r="P2432" t="s">
        <v>46</v>
      </c>
    </row>
    <row r="2433" spans="1:16" ht="15" customHeight="1" x14ac:dyDescent="0.4">
      <c r="A2433" t="s">
        <v>15</v>
      </c>
      <c r="B2433" t="s">
        <v>16</v>
      </c>
      <c r="C2433" s="13">
        <v>43466</v>
      </c>
      <c r="D2433" s="13">
        <v>43830</v>
      </c>
      <c r="E2433" t="s">
        <v>17</v>
      </c>
      <c r="F2433">
        <v>0</v>
      </c>
      <c r="G2433" t="s">
        <v>18</v>
      </c>
      <c r="H2433">
        <v>1</v>
      </c>
      <c r="I2433" t="s">
        <v>19</v>
      </c>
      <c r="J2433">
        <v>242</v>
      </c>
      <c r="K2433" t="s">
        <v>40</v>
      </c>
      <c r="L2433" s="13">
        <v>43830</v>
      </c>
      <c r="M2433" t="s">
        <v>47</v>
      </c>
      <c r="N2433" t="s">
        <v>45</v>
      </c>
      <c r="O2433">
        <v>-443.48</v>
      </c>
      <c r="P2433" t="s">
        <v>46</v>
      </c>
    </row>
    <row r="2434" spans="1:16" ht="15" customHeight="1" x14ac:dyDescent="0.4">
      <c r="A2434" t="s">
        <v>15</v>
      </c>
      <c r="B2434" t="s">
        <v>16</v>
      </c>
      <c r="C2434" s="13">
        <v>43466</v>
      </c>
      <c r="D2434" s="13">
        <v>43830</v>
      </c>
      <c r="E2434" t="s">
        <v>17</v>
      </c>
      <c r="F2434">
        <v>0</v>
      </c>
      <c r="G2434" t="s">
        <v>18</v>
      </c>
      <c r="H2434">
        <v>1</v>
      </c>
      <c r="I2434" t="s">
        <v>19</v>
      </c>
      <c r="J2434">
        <v>242</v>
      </c>
      <c r="K2434" t="s">
        <v>40</v>
      </c>
      <c r="L2434" s="13">
        <v>43830</v>
      </c>
      <c r="M2434" t="s">
        <v>48</v>
      </c>
      <c r="N2434" t="s">
        <v>45</v>
      </c>
      <c r="O2434">
        <v>-110.87</v>
      </c>
      <c r="P2434" t="s">
        <v>46</v>
      </c>
    </row>
    <row r="2435" spans="1:16" ht="15" customHeight="1" x14ac:dyDescent="0.4">
      <c r="A2435" t="s">
        <v>15</v>
      </c>
      <c r="B2435" t="s">
        <v>16</v>
      </c>
      <c r="C2435" s="13">
        <v>43466</v>
      </c>
      <c r="D2435" s="13">
        <v>43830</v>
      </c>
      <c r="E2435" t="s">
        <v>17</v>
      </c>
      <c r="F2435">
        <v>0</v>
      </c>
      <c r="G2435" t="s">
        <v>18</v>
      </c>
      <c r="H2435">
        <v>1</v>
      </c>
      <c r="I2435" t="s">
        <v>19</v>
      </c>
      <c r="J2435">
        <v>268</v>
      </c>
      <c r="K2435" t="s">
        <v>49</v>
      </c>
      <c r="L2435" s="13">
        <v>43486</v>
      </c>
      <c r="M2435" t="s">
        <v>76</v>
      </c>
      <c r="N2435" t="s">
        <v>1437</v>
      </c>
      <c r="O2435">
        <v>27.23</v>
      </c>
      <c r="P2435" t="s">
        <v>52</v>
      </c>
    </row>
    <row r="2436" spans="1:16" ht="15" customHeight="1" x14ac:dyDescent="0.4">
      <c r="A2436" t="s">
        <v>15</v>
      </c>
      <c r="B2436" t="s">
        <v>16</v>
      </c>
      <c r="C2436" s="13">
        <v>43466</v>
      </c>
      <c r="D2436" s="13">
        <v>43830</v>
      </c>
      <c r="E2436" t="s">
        <v>17</v>
      </c>
      <c r="F2436">
        <v>0</v>
      </c>
      <c r="G2436" t="s">
        <v>18</v>
      </c>
      <c r="H2436">
        <v>1</v>
      </c>
      <c r="I2436" t="s">
        <v>19</v>
      </c>
      <c r="J2436">
        <v>268</v>
      </c>
      <c r="K2436" t="s">
        <v>49</v>
      </c>
      <c r="L2436" s="13">
        <v>43546</v>
      </c>
      <c r="M2436" t="s">
        <v>76</v>
      </c>
      <c r="N2436" t="s">
        <v>1438</v>
      </c>
      <c r="O2436">
        <v>16.66</v>
      </c>
      <c r="P2436" t="s">
        <v>52</v>
      </c>
    </row>
    <row r="2437" spans="1:16" ht="15" customHeight="1" x14ac:dyDescent="0.4">
      <c r="A2437" t="s">
        <v>15</v>
      </c>
      <c r="B2437" t="s">
        <v>16</v>
      </c>
      <c r="C2437" s="13">
        <v>43466</v>
      </c>
      <c r="D2437" s="13">
        <v>43830</v>
      </c>
      <c r="E2437" t="s">
        <v>17</v>
      </c>
      <c r="F2437">
        <v>0</v>
      </c>
      <c r="G2437" t="s">
        <v>18</v>
      </c>
      <c r="H2437">
        <v>1</v>
      </c>
      <c r="I2437" t="s">
        <v>19</v>
      </c>
      <c r="J2437">
        <v>268</v>
      </c>
      <c r="K2437" t="s">
        <v>49</v>
      </c>
      <c r="L2437" s="13">
        <v>43606</v>
      </c>
      <c r="M2437" t="s">
        <v>76</v>
      </c>
      <c r="N2437" t="s">
        <v>1439</v>
      </c>
      <c r="O2437">
        <v>34.979999999999997</v>
      </c>
      <c r="P2437" t="s">
        <v>52</v>
      </c>
    </row>
    <row r="2438" spans="1:16" ht="15" customHeight="1" x14ac:dyDescent="0.4">
      <c r="A2438" t="s">
        <v>15</v>
      </c>
      <c r="B2438" t="s">
        <v>16</v>
      </c>
      <c r="C2438" s="13">
        <v>43466</v>
      </c>
      <c r="D2438" s="13">
        <v>43830</v>
      </c>
      <c r="E2438" t="s">
        <v>17</v>
      </c>
      <c r="F2438">
        <v>0</v>
      </c>
      <c r="G2438" t="s">
        <v>18</v>
      </c>
      <c r="H2438">
        <v>1</v>
      </c>
      <c r="I2438" t="s">
        <v>19</v>
      </c>
      <c r="J2438">
        <v>268</v>
      </c>
      <c r="K2438" t="s">
        <v>49</v>
      </c>
      <c r="L2438" s="13">
        <v>43666</v>
      </c>
      <c r="M2438" t="s">
        <v>76</v>
      </c>
      <c r="N2438" t="s">
        <v>1440</v>
      </c>
      <c r="O2438">
        <v>58.67</v>
      </c>
      <c r="P2438" t="s">
        <v>52</v>
      </c>
    </row>
    <row r="2439" spans="1:16" ht="15" customHeight="1" x14ac:dyDescent="0.4">
      <c r="A2439" t="s">
        <v>15</v>
      </c>
      <c r="B2439" t="s">
        <v>16</v>
      </c>
      <c r="C2439" s="13">
        <v>43466</v>
      </c>
      <c r="D2439" s="13">
        <v>43830</v>
      </c>
      <c r="E2439" t="s">
        <v>17</v>
      </c>
      <c r="F2439">
        <v>0</v>
      </c>
      <c r="G2439" t="s">
        <v>18</v>
      </c>
      <c r="H2439">
        <v>1</v>
      </c>
      <c r="I2439" t="s">
        <v>19</v>
      </c>
      <c r="J2439">
        <v>268</v>
      </c>
      <c r="K2439" t="s">
        <v>49</v>
      </c>
      <c r="L2439" s="13">
        <v>43728</v>
      </c>
      <c r="M2439" t="s">
        <v>76</v>
      </c>
      <c r="N2439" t="s">
        <v>1441</v>
      </c>
      <c r="O2439">
        <v>74.73</v>
      </c>
      <c r="P2439" t="s">
        <v>52</v>
      </c>
    </row>
    <row r="2440" spans="1:16" ht="15" customHeight="1" x14ac:dyDescent="0.4">
      <c r="A2440" t="s">
        <v>15</v>
      </c>
      <c r="B2440" t="s">
        <v>16</v>
      </c>
      <c r="C2440" s="13">
        <v>43466</v>
      </c>
      <c r="D2440" s="13">
        <v>43830</v>
      </c>
      <c r="E2440" t="s">
        <v>17</v>
      </c>
      <c r="F2440">
        <v>0</v>
      </c>
      <c r="G2440" t="s">
        <v>18</v>
      </c>
      <c r="H2440">
        <v>1</v>
      </c>
      <c r="I2440" t="s">
        <v>19</v>
      </c>
      <c r="J2440">
        <v>268</v>
      </c>
      <c r="K2440" t="s">
        <v>49</v>
      </c>
      <c r="L2440" s="13">
        <v>43789</v>
      </c>
      <c r="M2440" t="s">
        <v>76</v>
      </c>
      <c r="N2440" t="s">
        <v>1442</v>
      </c>
      <c r="O2440">
        <v>52.82</v>
      </c>
      <c r="P2440" t="s">
        <v>52</v>
      </c>
    </row>
    <row r="2441" spans="1:16" ht="15" customHeight="1" x14ac:dyDescent="0.4">
      <c r="A2441" t="s">
        <v>15</v>
      </c>
      <c r="B2441" t="s">
        <v>16</v>
      </c>
      <c r="C2441" s="13">
        <v>43466</v>
      </c>
      <c r="D2441" s="13">
        <v>43830</v>
      </c>
      <c r="E2441" t="s">
        <v>17</v>
      </c>
      <c r="F2441">
        <v>0</v>
      </c>
      <c r="G2441" t="s">
        <v>18</v>
      </c>
      <c r="H2441">
        <v>1</v>
      </c>
      <c r="I2441" t="s">
        <v>19</v>
      </c>
      <c r="J2441">
        <v>269</v>
      </c>
      <c r="K2441" t="s">
        <v>75</v>
      </c>
      <c r="L2441" s="13">
        <v>43486</v>
      </c>
      <c r="M2441" t="s">
        <v>76</v>
      </c>
      <c r="N2441" t="s">
        <v>1437</v>
      </c>
      <c r="O2441">
        <v>204.26</v>
      </c>
      <c r="P2441" t="s">
        <v>52</v>
      </c>
    </row>
    <row r="2442" spans="1:16" ht="15" customHeight="1" x14ac:dyDescent="0.4">
      <c r="A2442" t="s">
        <v>15</v>
      </c>
      <c r="B2442" t="s">
        <v>16</v>
      </c>
      <c r="C2442" s="13">
        <v>43466</v>
      </c>
      <c r="D2442" s="13">
        <v>43830</v>
      </c>
      <c r="E2442" t="s">
        <v>17</v>
      </c>
      <c r="F2442">
        <v>0</v>
      </c>
      <c r="G2442" t="s">
        <v>18</v>
      </c>
      <c r="H2442">
        <v>1</v>
      </c>
      <c r="I2442" t="s">
        <v>19</v>
      </c>
      <c r="J2442">
        <v>269</v>
      </c>
      <c r="K2442" t="s">
        <v>75</v>
      </c>
      <c r="L2442" s="13">
        <v>43546</v>
      </c>
      <c r="M2442" t="s">
        <v>76</v>
      </c>
      <c r="N2442" t="s">
        <v>1438</v>
      </c>
      <c r="O2442">
        <v>124.97</v>
      </c>
      <c r="P2442" t="s">
        <v>52</v>
      </c>
    </row>
    <row r="2443" spans="1:16" ht="15" customHeight="1" x14ac:dyDescent="0.4">
      <c r="A2443" t="s">
        <v>15</v>
      </c>
      <c r="B2443" t="s">
        <v>16</v>
      </c>
      <c r="C2443" s="13">
        <v>43466</v>
      </c>
      <c r="D2443" s="13">
        <v>43830</v>
      </c>
      <c r="E2443" t="s">
        <v>17</v>
      </c>
      <c r="F2443">
        <v>0</v>
      </c>
      <c r="G2443" t="s">
        <v>18</v>
      </c>
      <c r="H2443">
        <v>1</v>
      </c>
      <c r="I2443" t="s">
        <v>19</v>
      </c>
      <c r="J2443">
        <v>269</v>
      </c>
      <c r="K2443" t="s">
        <v>75</v>
      </c>
      <c r="L2443" s="13">
        <v>43606</v>
      </c>
      <c r="M2443" t="s">
        <v>76</v>
      </c>
      <c r="N2443" t="s">
        <v>1439</v>
      </c>
      <c r="O2443">
        <v>262.31</v>
      </c>
      <c r="P2443" t="s">
        <v>52</v>
      </c>
    </row>
    <row r="2444" spans="1:16" ht="15" customHeight="1" x14ac:dyDescent="0.4">
      <c r="A2444" t="s">
        <v>15</v>
      </c>
      <c r="B2444" t="s">
        <v>16</v>
      </c>
      <c r="C2444" s="13">
        <v>43466</v>
      </c>
      <c r="D2444" s="13">
        <v>43830</v>
      </c>
      <c r="E2444" t="s">
        <v>17</v>
      </c>
      <c r="F2444">
        <v>0</v>
      </c>
      <c r="G2444" t="s">
        <v>18</v>
      </c>
      <c r="H2444">
        <v>1</v>
      </c>
      <c r="I2444" t="s">
        <v>19</v>
      </c>
      <c r="J2444">
        <v>269</v>
      </c>
      <c r="K2444" t="s">
        <v>75</v>
      </c>
      <c r="L2444" s="13">
        <v>43666</v>
      </c>
      <c r="M2444" t="s">
        <v>76</v>
      </c>
      <c r="N2444" t="s">
        <v>1440</v>
      </c>
      <c r="O2444">
        <v>440.01</v>
      </c>
      <c r="P2444" t="s">
        <v>52</v>
      </c>
    </row>
    <row r="2445" spans="1:16" ht="15" customHeight="1" x14ac:dyDescent="0.4">
      <c r="A2445" t="s">
        <v>15</v>
      </c>
      <c r="B2445" t="s">
        <v>16</v>
      </c>
      <c r="C2445" s="13">
        <v>43466</v>
      </c>
      <c r="D2445" s="13">
        <v>43830</v>
      </c>
      <c r="E2445" t="s">
        <v>17</v>
      </c>
      <c r="F2445">
        <v>0</v>
      </c>
      <c r="G2445" t="s">
        <v>18</v>
      </c>
      <c r="H2445">
        <v>1</v>
      </c>
      <c r="I2445" t="s">
        <v>19</v>
      </c>
      <c r="J2445">
        <v>269</v>
      </c>
      <c r="K2445" t="s">
        <v>75</v>
      </c>
      <c r="L2445" s="13">
        <v>43728</v>
      </c>
      <c r="M2445" t="s">
        <v>76</v>
      </c>
      <c r="N2445" t="s">
        <v>1441</v>
      </c>
      <c r="O2445">
        <v>560.45000000000005</v>
      </c>
      <c r="P2445" t="s">
        <v>52</v>
      </c>
    </row>
    <row r="2446" spans="1:16" ht="15" customHeight="1" x14ac:dyDescent="0.4">
      <c r="A2446" t="s">
        <v>15</v>
      </c>
      <c r="B2446" t="s">
        <v>16</v>
      </c>
      <c r="C2446" s="13">
        <v>43466</v>
      </c>
      <c r="D2446" s="13">
        <v>43830</v>
      </c>
      <c r="E2446" t="s">
        <v>17</v>
      </c>
      <c r="F2446">
        <v>0</v>
      </c>
      <c r="G2446" t="s">
        <v>18</v>
      </c>
      <c r="H2446">
        <v>1</v>
      </c>
      <c r="I2446" t="s">
        <v>19</v>
      </c>
      <c r="J2446">
        <v>269</v>
      </c>
      <c r="K2446" t="s">
        <v>75</v>
      </c>
      <c r="L2446" s="13">
        <v>43789</v>
      </c>
      <c r="M2446" t="s">
        <v>76</v>
      </c>
      <c r="N2446" t="s">
        <v>1442</v>
      </c>
      <c r="O2446">
        <v>396.11</v>
      </c>
      <c r="P2446" t="s">
        <v>52</v>
      </c>
    </row>
    <row r="2447" spans="1:16" ht="15" customHeight="1" x14ac:dyDescent="0.4">
      <c r="A2447" t="s">
        <v>15</v>
      </c>
      <c r="B2447" t="s">
        <v>16</v>
      </c>
      <c r="C2447" s="13">
        <v>43466</v>
      </c>
      <c r="D2447" s="13">
        <v>43830</v>
      </c>
      <c r="E2447" t="s">
        <v>17</v>
      </c>
      <c r="F2447">
        <v>0</v>
      </c>
      <c r="G2447" t="s">
        <v>18</v>
      </c>
      <c r="H2447">
        <v>1</v>
      </c>
      <c r="I2447" t="s">
        <v>19</v>
      </c>
      <c r="J2447">
        <v>269</v>
      </c>
      <c r="K2447" t="s">
        <v>75</v>
      </c>
      <c r="L2447" s="13">
        <v>43830</v>
      </c>
      <c r="M2447" t="s">
        <v>1443</v>
      </c>
      <c r="N2447" t="s">
        <v>1443</v>
      </c>
      <c r="O2447">
        <v>-1988.11</v>
      </c>
      <c r="P2447" t="s">
        <v>1444</v>
      </c>
    </row>
    <row r="2448" spans="1:16" ht="15" customHeight="1" x14ac:dyDescent="0.4">
      <c r="A2448" t="s">
        <v>15</v>
      </c>
      <c r="B2448" t="s">
        <v>16</v>
      </c>
      <c r="C2448" s="13">
        <v>43466</v>
      </c>
      <c r="D2448" s="13">
        <v>43830</v>
      </c>
      <c r="E2448" t="s">
        <v>17</v>
      </c>
      <c r="F2448">
        <v>0</v>
      </c>
      <c r="G2448" t="s">
        <v>18</v>
      </c>
      <c r="H2448">
        <v>1</v>
      </c>
      <c r="I2448" t="s">
        <v>19</v>
      </c>
      <c r="J2448">
        <v>281</v>
      </c>
      <c r="K2448" t="s">
        <v>78</v>
      </c>
      <c r="L2448" s="13">
        <v>43518</v>
      </c>
      <c r="M2448" t="s">
        <v>1445</v>
      </c>
      <c r="N2448" t="s">
        <v>1446</v>
      </c>
      <c r="O2448">
        <v>5757.58</v>
      </c>
      <c r="P2448" t="s">
        <v>81</v>
      </c>
    </row>
    <row r="2449" spans="1:16" ht="15" customHeight="1" x14ac:dyDescent="0.4">
      <c r="A2449" t="s">
        <v>15</v>
      </c>
      <c r="B2449" t="s">
        <v>16</v>
      </c>
      <c r="C2449" s="13">
        <v>43466</v>
      </c>
      <c r="D2449" s="13">
        <v>43830</v>
      </c>
      <c r="E2449" t="s">
        <v>17</v>
      </c>
      <c r="F2449">
        <v>0</v>
      </c>
      <c r="G2449" t="s">
        <v>18</v>
      </c>
      <c r="H2449">
        <v>1</v>
      </c>
      <c r="I2449" t="s">
        <v>19</v>
      </c>
      <c r="J2449">
        <v>281</v>
      </c>
      <c r="K2449" t="s">
        <v>78</v>
      </c>
      <c r="L2449" s="13">
        <v>43706</v>
      </c>
      <c r="M2449" t="s">
        <v>1445</v>
      </c>
      <c r="N2449" t="s">
        <v>1447</v>
      </c>
      <c r="O2449">
        <v>5896.65</v>
      </c>
      <c r="P2449" t="s">
        <v>81</v>
      </c>
    </row>
    <row r="2450" spans="1:16" ht="15" customHeight="1" x14ac:dyDescent="0.4">
      <c r="A2450" t="s">
        <v>15</v>
      </c>
      <c r="B2450" t="s">
        <v>16</v>
      </c>
      <c r="C2450" s="13">
        <v>43466</v>
      </c>
      <c r="D2450" s="13">
        <v>43830</v>
      </c>
      <c r="E2450" t="s">
        <v>17</v>
      </c>
      <c r="F2450">
        <v>0</v>
      </c>
      <c r="G2450" t="s">
        <v>18</v>
      </c>
      <c r="H2450">
        <v>1</v>
      </c>
      <c r="I2450" t="s">
        <v>19</v>
      </c>
      <c r="J2450">
        <v>281</v>
      </c>
      <c r="K2450" t="s">
        <v>78</v>
      </c>
      <c r="L2450" s="13">
        <v>43830</v>
      </c>
      <c r="M2450" t="s">
        <v>89</v>
      </c>
      <c r="N2450" t="s">
        <v>86</v>
      </c>
      <c r="O2450">
        <v>-1101.9100000000001</v>
      </c>
      <c r="P2450" t="s">
        <v>46</v>
      </c>
    </row>
    <row r="2451" spans="1:16" ht="15" customHeight="1" x14ac:dyDescent="0.4">
      <c r="A2451" t="s">
        <v>15</v>
      </c>
      <c r="B2451" t="s">
        <v>16</v>
      </c>
      <c r="C2451" s="13">
        <v>43466</v>
      </c>
      <c r="D2451" s="13">
        <v>43830</v>
      </c>
      <c r="E2451" t="s">
        <v>17</v>
      </c>
      <c r="F2451">
        <v>0</v>
      </c>
      <c r="G2451" t="s">
        <v>18</v>
      </c>
      <c r="H2451">
        <v>1</v>
      </c>
      <c r="I2451" t="s">
        <v>19</v>
      </c>
      <c r="J2451">
        <v>281</v>
      </c>
      <c r="K2451" t="s">
        <v>78</v>
      </c>
      <c r="L2451" s="13">
        <v>43830</v>
      </c>
      <c r="M2451" t="s">
        <v>90</v>
      </c>
      <c r="N2451" t="s">
        <v>86</v>
      </c>
      <c r="O2451">
        <v>-1350.61</v>
      </c>
      <c r="P2451" t="s">
        <v>46</v>
      </c>
    </row>
    <row r="2452" spans="1:16" ht="15" customHeight="1" x14ac:dyDescent="0.4">
      <c r="A2452" t="s">
        <v>15</v>
      </c>
      <c r="B2452" t="s">
        <v>16</v>
      </c>
      <c r="C2452" s="13">
        <v>43466</v>
      </c>
      <c r="D2452" s="13">
        <v>43830</v>
      </c>
      <c r="E2452" t="s">
        <v>17</v>
      </c>
      <c r="F2452">
        <v>0</v>
      </c>
      <c r="G2452" t="s">
        <v>18</v>
      </c>
      <c r="H2452">
        <v>1</v>
      </c>
      <c r="I2452" t="s">
        <v>19</v>
      </c>
      <c r="J2452">
        <v>281</v>
      </c>
      <c r="K2452" t="s">
        <v>78</v>
      </c>
      <c r="L2452" s="13">
        <v>43830</v>
      </c>
      <c r="M2452" t="s">
        <v>87</v>
      </c>
      <c r="N2452" t="s">
        <v>86</v>
      </c>
      <c r="O2452">
        <v>-1641.39</v>
      </c>
      <c r="P2452" t="s">
        <v>46</v>
      </c>
    </row>
    <row r="2453" spans="1:16" ht="15" customHeight="1" x14ac:dyDescent="0.4">
      <c r="A2453" t="s">
        <v>15</v>
      </c>
      <c r="B2453" t="s">
        <v>16</v>
      </c>
      <c r="C2453" s="13">
        <v>43466</v>
      </c>
      <c r="D2453" s="13">
        <v>43830</v>
      </c>
      <c r="E2453" t="s">
        <v>17</v>
      </c>
      <c r="F2453">
        <v>0</v>
      </c>
      <c r="G2453" t="s">
        <v>18</v>
      </c>
      <c r="H2453">
        <v>1</v>
      </c>
      <c r="I2453" t="s">
        <v>19</v>
      </c>
      <c r="J2453">
        <v>281</v>
      </c>
      <c r="K2453" t="s">
        <v>78</v>
      </c>
      <c r="L2453" s="13">
        <v>43830</v>
      </c>
      <c r="M2453" t="s">
        <v>88</v>
      </c>
      <c r="N2453" t="s">
        <v>86</v>
      </c>
      <c r="O2453">
        <v>-15.3</v>
      </c>
      <c r="P2453" t="s">
        <v>46</v>
      </c>
    </row>
    <row r="2454" spans="1:16" ht="15" customHeight="1" x14ac:dyDescent="0.4">
      <c r="A2454" t="s">
        <v>15</v>
      </c>
      <c r="B2454" t="s">
        <v>16</v>
      </c>
      <c r="C2454" s="13">
        <v>43466</v>
      </c>
      <c r="D2454" s="13">
        <v>43830</v>
      </c>
      <c r="E2454" t="s">
        <v>17</v>
      </c>
      <c r="F2454">
        <v>0</v>
      </c>
      <c r="G2454" t="s">
        <v>18</v>
      </c>
      <c r="H2454">
        <v>1</v>
      </c>
      <c r="I2454" t="s">
        <v>19</v>
      </c>
      <c r="J2454">
        <v>281</v>
      </c>
      <c r="K2454" t="s">
        <v>78</v>
      </c>
      <c r="L2454" s="13">
        <v>43830</v>
      </c>
      <c r="M2454" t="s">
        <v>85</v>
      </c>
      <c r="N2454" t="s">
        <v>86</v>
      </c>
      <c r="O2454">
        <v>-7587.11</v>
      </c>
      <c r="P2454" t="s">
        <v>46</v>
      </c>
    </row>
    <row r="2455" spans="1:16" ht="15" customHeight="1" x14ac:dyDescent="0.4">
      <c r="A2455" t="s">
        <v>15</v>
      </c>
      <c r="B2455" t="s">
        <v>16</v>
      </c>
      <c r="C2455" s="13">
        <v>43466</v>
      </c>
      <c r="D2455" s="13">
        <v>43830</v>
      </c>
      <c r="E2455" t="s">
        <v>17</v>
      </c>
      <c r="F2455">
        <v>0</v>
      </c>
      <c r="G2455" t="s">
        <v>18</v>
      </c>
      <c r="H2455">
        <v>1</v>
      </c>
      <c r="I2455" t="s">
        <v>19</v>
      </c>
      <c r="J2455">
        <v>281</v>
      </c>
      <c r="K2455" t="s">
        <v>78</v>
      </c>
      <c r="L2455" s="13">
        <v>43830</v>
      </c>
      <c r="M2455" t="s">
        <v>1448</v>
      </c>
      <c r="N2455" t="s">
        <v>1449</v>
      </c>
      <c r="O2455">
        <v>42.09</v>
      </c>
      <c r="P2455" t="s">
        <v>1444</v>
      </c>
    </row>
    <row r="2456" spans="1:16" ht="15" customHeight="1" x14ac:dyDescent="0.4">
      <c r="A2456" t="s">
        <v>15</v>
      </c>
      <c r="B2456" t="s">
        <v>16</v>
      </c>
      <c r="C2456" s="13">
        <v>43466</v>
      </c>
      <c r="D2456" s="13">
        <v>43830</v>
      </c>
      <c r="E2456" t="s">
        <v>17</v>
      </c>
      <c r="F2456">
        <v>0</v>
      </c>
      <c r="G2456" t="s">
        <v>18</v>
      </c>
      <c r="H2456">
        <v>1</v>
      </c>
      <c r="I2456" t="s">
        <v>19</v>
      </c>
      <c r="J2456">
        <v>285</v>
      </c>
      <c r="K2456" t="s">
        <v>91</v>
      </c>
      <c r="L2456" s="13">
        <v>43517</v>
      </c>
      <c r="M2456" t="s">
        <v>1064</v>
      </c>
      <c r="N2456" t="s">
        <v>1450</v>
      </c>
      <c r="O2456">
        <v>1748.59</v>
      </c>
      <c r="P2456" t="s">
        <v>1444</v>
      </c>
    </row>
    <row r="2457" spans="1:16" ht="15" customHeight="1" x14ac:dyDescent="0.4">
      <c r="A2457" t="s">
        <v>15</v>
      </c>
      <c r="B2457" t="s">
        <v>16</v>
      </c>
      <c r="C2457" s="13">
        <v>43466</v>
      </c>
      <c r="D2457" s="13">
        <v>43830</v>
      </c>
      <c r="E2457" t="s">
        <v>17</v>
      </c>
      <c r="F2457">
        <v>0</v>
      </c>
      <c r="G2457" t="s">
        <v>18</v>
      </c>
      <c r="H2457">
        <v>1</v>
      </c>
      <c r="I2457" t="s">
        <v>19</v>
      </c>
      <c r="J2457">
        <v>285</v>
      </c>
      <c r="K2457" t="s">
        <v>91</v>
      </c>
      <c r="L2457" s="13">
        <v>43706</v>
      </c>
      <c r="M2457" t="s">
        <v>1064</v>
      </c>
      <c r="N2457" t="s">
        <v>1450</v>
      </c>
      <c r="O2457">
        <v>2973.7</v>
      </c>
      <c r="P2457" t="s">
        <v>1444</v>
      </c>
    </row>
    <row r="2458" spans="1:16" ht="15" customHeight="1" x14ac:dyDescent="0.4">
      <c r="A2458" t="s">
        <v>15</v>
      </c>
      <c r="B2458" t="s">
        <v>16</v>
      </c>
      <c r="C2458" s="13">
        <v>43466</v>
      </c>
      <c r="D2458" s="13">
        <v>43830</v>
      </c>
      <c r="E2458" t="s">
        <v>17</v>
      </c>
      <c r="F2458">
        <v>0</v>
      </c>
      <c r="G2458" t="s">
        <v>18</v>
      </c>
      <c r="H2458">
        <v>1</v>
      </c>
      <c r="I2458" t="s">
        <v>19</v>
      </c>
      <c r="J2458">
        <v>289</v>
      </c>
      <c r="K2458" t="s">
        <v>96</v>
      </c>
      <c r="L2458" s="13">
        <v>43830</v>
      </c>
      <c r="M2458" t="s">
        <v>1451</v>
      </c>
      <c r="N2458" t="s">
        <v>86</v>
      </c>
      <c r="O2458">
        <v>15.3</v>
      </c>
      <c r="P2458" t="s">
        <v>46</v>
      </c>
    </row>
    <row r="2459" spans="1:16" ht="15" customHeight="1" x14ac:dyDescent="0.4">
      <c r="A2459" t="s">
        <v>15</v>
      </c>
      <c r="B2459" t="s">
        <v>16</v>
      </c>
      <c r="C2459" s="13">
        <v>43466</v>
      </c>
      <c r="D2459" s="13">
        <v>43830</v>
      </c>
      <c r="E2459" t="s">
        <v>17</v>
      </c>
      <c r="F2459">
        <v>0</v>
      </c>
      <c r="G2459" t="s">
        <v>18</v>
      </c>
      <c r="H2459">
        <v>1</v>
      </c>
      <c r="I2459" t="s">
        <v>19</v>
      </c>
      <c r="J2459">
        <v>289</v>
      </c>
      <c r="K2459" t="s">
        <v>96</v>
      </c>
      <c r="L2459" s="13">
        <v>43830</v>
      </c>
      <c r="M2459" t="s">
        <v>1452</v>
      </c>
      <c r="N2459" t="s">
        <v>98</v>
      </c>
      <c r="O2459">
        <v>22.05</v>
      </c>
      <c r="P2459" t="s">
        <v>46</v>
      </c>
    </row>
    <row r="2460" spans="1:16" ht="15" customHeight="1" x14ac:dyDescent="0.4">
      <c r="A2460" t="s">
        <v>15</v>
      </c>
      <c r="B2460" t="s">
        <v>16</v>
      </c>
      <c r="C2460" s="13">
        <v>43466</v>
      </c>
      <c r="D2460" s="13">
        <v>43830</v>
      </c>
      <c r="E2460" t="s">
        <v>17</v>
      </c>
      <c r="F2460">
        <v>0</v>
      </c>
      <c r="G2460" t="s">
        <v>18</v>
      </c>
      <c r="H2460">
        <v>1</v>
      </c>
      <c r="I2460" t="s">
        <v>19</v>
      </c>
      <c r="J2460">
        <v>308</v>
      </c>
      <c r="K2460" t="s">
        <v>100</v>
      </c>
      <c r="L2460" s="13">
        <v>43585</v>
      </c>
      <c r="M2460" t="s">
        <v>1453</v>
      </c>
      <c r="N2460" t="s">
        <v>659</v>
      </c>
      <c r="O2460">
        <v>87.6</v>
      </c>
      <c r="P2460" t="s">
        <v>103</v>
      </c>
    </row>
    <row r="2461" spans="1:16" ht="15" customHeight="1" x14ac:dyDescent="0.4">
      <c r="A2461" t="s">
        <v>15</v>
      </c>
      <c r="B2461" t="s">
        <v>16</v>
      </c>
      <c r="C2461" s="13">
        <v>43466</v>
      </c>
      <c r="D2461" s="13">
        <v>43830</v>
      </c>
      <c r="E2461" t="s">
        <v>17</v>
      </c>
      <c r="F2461">
        <v>0</v>
      </c>
      <c r="G2461" t="s">
        <v>18</v>
      </c>
      <c r="H2461">
        <v>1</v>
      </c>
      <c r="I2461" t="s">
        <v>19</v>
      </c>
      <c r="J2461">
        <v>321</v>
      </c>
      <c r="K2461" t="s">
        <v>104</v>
      </c>
      <c r="L2461" s="13">
        <v>43497</v>
      </c>
      <c r="M2461" t="s">
        <v>1454</v>
      </c>
      <c r="N2461" t="s">
        <v>1455</v>
      </c>
      <c r="O2461">
        <v>2166.4699999999998</v>
      </c>
      <c r="P2461" t="s">
        <v>34</v>
      </c>
    </row>
    <row r="2462" spans="1:16" ht="15" customHeight="1" x14ac:dyDescent="0.4">
      <c r="A2462" t="s">
        <v>15</v>
      </c>
      <c r="B2462" t="s">
        <v>16</v>
      </c>
      <c r="C2462" s="13">
        <v>43466</v>
      </c>
      <c r="D2462" s="13">
        <v>43830</v>
      </c>
      <c r="E2462" t="s">
        <v>17</v>
      </c>
      <c r="F2462">
        <v>0</v>
      </c>
      <c r="G2462" t="s">
        <v>18</v>
      </c>
      <c r="H2462">
        <v>1</v>
      </c>
      <c r="I2462" t="s">
        <v>19</v>
      </c>
      <c r="J2462">
        <v>321</v>
      </c>
      <c r="K2462" t="s">
        <v>104</v>
      </c>
      <c r="L2462" s="13">
        <v>43523</v>
      </c>
      <c r="M2462" t="s">
        <v>1456</v>
      </c>
      <c r="N2462" t="s">
        <v>1457</v>
      </c>
      <c r="O2462">
        <v>1000</v>
      </c>
      <c r="P2462" t="s">
        <v>34</v>
      </c>
    </row>
    <row r="2463" spans="1:16" ht="15" customHeight="1" x14ac:dyDescent="0.4">
      <c r="A2463" t="s">
        <v>15</v>
      </c>
      <c r="B2463" t="s">
        <v>16</v>
      </c>
      <c r="C2463" s="13">
        <v>43466</v>
      </c>
      <c r="D2463" s="13">
        <v>43830</v>
      </c>
      <c r="E2463" t="s">
        <v>17</v>
      </c>
      <c r="F2463">
        <v>0</v>
      </c>
      <c r="G2463" t="s">
        <v>18</v>
      </c>
      <c r="H2463">
        <v>1</v>
      </c>
      <c r="I2463" t="s">
        <v>19</v>
      </c>
      <c r="J2463">
        <v>321</v>
      </c>
      <c r="K2463" t="s">
        <v>104</v>
      </c>
      <c r="L2463" s="13">
        <v>43523</v>
      </c>
      <c r="M2463" t="s">
        <v>1458</v>
      </c>
      <c r="N2463" t="s">
        <v>1457</v>
      </c>
      <c r="O2463">
        <v>2166.4699999999998</v>
      </c>
      <c r="P2463" t="s">
        <v>34</v>
      </c>
    </row>
    <row r="2464" spans="1:16" ht="15" customHeight="1" x14ac:dyDescent="0.4">
      <c r="A2464" t="s">
        <v>15</v>
      </c>
      <c r="B2464" t="s">
        <v>16</v>
      </c>
      <c r="C2464" s="13">
        <v>43466</v>
      </c>
      <c r="D2464" s="13">
        <v>43830</v>
      </c>
      <c r="E2464" t="s">
        <v>17</v>
      </c>
      <c r="F2464">
        <v>0</v>
      </c>
      <c r="G2464" t="s">
        <v>18</v>
      </c>
      <c r="H2464">
        <v>1</v>
      </c>
      <c r="I2464" t="s">
        <v>19</v>
      </c>
      <c r="J2464">
        <v>321</v>
      </c>
      <c r="K2464" t="s">
        <v>104</v>
      </c>
      <c r="L2464" s="13">
        <v>43553</v>
      </c>
      <c r="M2464" t="s">
        <v>1459</v>
      </c>
      <c r="N2464" t="s">
        <v>1460</v>
      </c>
      <c r="O2464">
        <v>2166.4699999999998</v>
      </c>
      <c r="P2464" t="s">
        <v>34</v>
      </c>
    </row>
    <row r="2465" spans="1:16" ht="15" customHeight="1" x14ac:dyDescent="0.4">
      <c r="A2465" t="s">
        <v>15</v>
      </c>
      <c r="B2465" t="s">
        <v>16</v>
      </c>
      <c r="C2465" s="13">
        <v>43466</v>
      </c>
      <c r="D2465" s="13">
        <v>43830</v>
      </c>
      <c r="E2465" t="s">
        <v>17</v>
      </c>
      <c r="F2465">
        <v>0</v>
      </c>
      <c r="G2465" t="s">
        <v>18</v>
      </c>
      <c r="H2465">
        <v>1</v>
      </c>
      <c r="I2465" t="s">
        <v>19</v>
      </c>
      <c r="J2465">
        <v>321</v>
      </c>
      <c r="K2465" t="s">
        <v>104</v>
      </c>
      <c r="L2465" s="13">
        <v>43585</v>
      </c>
      <c r="M2465" t="s">
        <v>1461</v>
      </c>
      <c r="N2465" t="s">
        <v>1462</v>
      </c>
      <c r="O2465">
        <v>2166.4699999999998</v>
      </c>
      <c r="P2465" t="s">
        <v>34</v>
      </c>
    </row>
    <row r="2466" spans="1:16" ht="15" customHeight="1" x14ac:dyDescent="0.4">
      <c r="A2466" t="s">
        <v>15</v>
      </c>
      <c r="B2466" t="s">
        <v>16</v>
      </c>
      <c r="C2466" s="13">
        <v>43466</v>
      </c>
      <c r="D2466" s="13">
        <v>43830</v>
      </c>
      <c r="E2466" t="s">
        <v>17</v>
      </c>
      <c r="F2466">
        <v>0</v>
      </c>
      <c r="G2466" t="s">
        <v>18</v>
      </c>
      <c r="H2466">
        <v>1</v>
      </c>
      <c r="I2466" t="s">
        <v>19</v>
      </c>
      <c r="J2466">
        <v>321</v>
      </c>
      <c r="K2466" t="s">
        <v>104</v>
      </c>
      <c r="L2466" s="13">
        <v>43613</v>
      </c>
      <c r="M2466" t="s">
        <v>1463</v>
      </c>
      <c r="N2466" t="s">
        <v>1464</v>
      </c>
      <c r="O2466">
        <v>2166.4699999999998</v>
      </c>
      <c r="P2466" t="s">
        <v>34</v>
      </c>
    </row>
    <row r="2467" spans="1:16" ht="15" customHeight="1" x14ac:dyDescent="0.4">
      <c r="A2467" t="s">
        <v>15</v>
      </c>
      <c r="B2467" t="s">
        <v>16</v>
      </c>
      <c r="C2467" s="13">
        <v>43466</v>
      </c>
      <c r="D2467" s="13">
        <v>43830</v>
      </c>
      <c r="E2467" t="s">
        <v>17</v>
      </c>
      <c r="F2467">
        <v>0</v>
      </c>
      <c r="G2467" t="s">
        <v>18</v>
      </c>
      <c r="H2467">
        <v>1</v>
      </c>
      <c r="I2467" t="s">
        <v>19</v>
      </c>
      <c r="J2467">
        <v>321</v>
      </c>
      <c r="K2467" t="s">
        <v>104</v>
      </c>
      <c r="L2467" s="13">
        <v>43643</v>
      </c>
      <c r="M2467" t="s">
        <v>1465</v>
      </c>
      <c r="N2467" t="s">
        <v>1466</v>
      </c>
      <c r="O2467">
        <v>2166.4699999999998</v>
      </c>
      <c r="P2467" t="s">
        <v>34</v>
      </c>
    </row>
    <row r="2468" spans="1:16" ht="15" customHeight="1" x14ac:dyDescent="0.4">
      <c r="A2468" t="s">
        <v>15</v>
      </c>
      <c r="B2468" t="s">
        <v>16</v>
      </c>
      <c r="C2468" s="13">
        <v>43466</v>
      </c>
      <c r="D2468" s="13">
        <v>43830</v>
      </c>
      <c r="E2468" t="s">
        <v>17</v>
      </c>
      <c r="F2468">
        <v>0</v>
      </c>
      <c r="G2468" t="s">
        <v>18</v>
      </c>
      <c r="H2468">
        <v>1</v>
      </c>
      <c r="I2468" t="s">
        <v>19</v>
      </c>
      <c r="J2468">
        <v>321</v>
      </c>
      <c r="K2468" t="s">
        <v>104</v>
      </c>
      <c r="L2468" s="13">
        <v>43675</v>
      </c>
      <c r="M2468" t="s">
        <v>1467</v>
      </c>
      <c r="N2468" t="s">
        <v>1468</v>
      </c>
      <c r="O2468">
        <v>2166.4699999999998</v>
      </c>
      <c r="P2468" t="s">
        <v>34</v>
      </c>
    </row>
    <row r="2469" spans="1:16" ht="15" customHeight="1" x14ac:dyDescent="0.4">
      <c r="A2469" t="s">
        <v>15</v>
      </c>
      <c r="B2469" t="s">
        <v>16</v>
      </c>
      <c r="C2469" s="13">
        <v>43466</v>
      </c>
      <c r="D2469" s="13">
        <v>43830</v>
      </c>
      <c r="E2469" t="s">
        <v>17</v>
      </c>
      <c r="F2469">
        <v>0</v>
      </c>
      <c r="G2469" t="s">
        <v>18</v>
      </c>
      <c r="H2469">
        <v>1</v>
      </c>
      <c r="I2469" t="s">
        <v>19</v>
      </c>
      <c r="J2469">
        <v>321</v>
      </c>
      <c r="K2469" t="s">
        <v>104</v>
      </c>
      <c r="L2469" s="13">
        <v>43707</v>
      </c>
      <c r="M2469" t="s">
        <v>1469</v>
      </c>
      <c r="N2469" t="s">
        <v>1470</v>
      </c>
      <c r="O2469">
        <v>2166.4699999999998</v>
      </c>
      <c r="P2469" t="s">
        <v>34</v>
      </c>
    </row>
    <row r="2470" spans="1:16" ht="15" customHeight="1" x14ac:dyDescent="0.4">
      <c r="A2470" t="s">
        <v>15</v>
      </c>
      <c r="B2470" t="s">
        <v>16</v>
      </c>
      <c r="C2470" s="13">
        <v>43466</v>
      </c>
      <c r="D2470" s="13">
        <v>43830</v>
      </c>
      <c r="E2470" t="s">
        <v>17</v>
      </c>
      <c r="F2470">
        <v>0</v>
      </c>
      <c r="G2470" t="s">
        <v>18</v>
      </c>
      <c r="H2470">
        <v>1</v>
      </c>
      <c r="I2470" t="s">
        <v>19</v>
      </c>
      <c r="J2470">
        <v>321</v>
      </c>
      <c r="K2470" t="s">
        <v>104</v>
      </c>
      <c r="L2470" s="13">
        <v>43735</v>
      </c>
      <c r="M2470" t="s">
        <v>1471</v>
      </c>
      <c r="N2470" t="s">
        <v>1472</v>
      </c>
      <c r="O2470">
        <v>2199.02</v>
      </c>
      <c r="P2470" t="s">
        <v>34</v>
      </c>
    </row>
    <row r="2471" spans="1:16" ht="15" customHeight="1" x14ac:dyDescent="0.4">
      <c r="A2471" t="s">
        <v>15</v>
      </c>
      <c r="B2471" t="s">
        <v>16</v>
      </c>
      <c r="C2471" s="13">
        <v>43466</v>
      </c>
      <c r="D2471" s="13">
        <v>43830</v>
      </c>
      <c r="E2471" t="s">
        <v>17</v>
      </c>
      <c r="F2471">
        <v>0</v>
      </c>
      <c r="G2471" t="s">
        <v>18</v>
      </c>
      <c r="H2471">
        <v>1</v>
      </c>
      <c r="I2471" t="s">
        <v>19</v>
      </c>
      <c r="J2471">
        <v>321</v>
      </c>
      <c r="K2471" t="s">
        <v>104</v>
      </c>
      <c r="L2471" s="13">
        <v>43766</v>
      </c>
      <c r="M2471" t="s">
        <v>1473</v>
      </c>
      <c r="N2471" t="s">
        <v>1474</v>
      </c>
      <c r="O2471">
        <v>2476.35</v>
      </c>
      <c r="P2471" t="s">
        <v>34</v>
      </c>
    </row>
    <row r="2472" spans="1:16" ht="15" customHeight="1" x14ac:dyDescent="0.4">
      <c r="A2472" t="s">
        <v>15</v>
      </c>
      <c r="B2472" t="s">
        <v>16</v>
      </c>
      <c r="C2472" s="13">
        <v>43466</v>
      </c>
      <c r="D2472" s="13">
        <v>43830</v>
      </c>
      <c r="E2472" t="s">
        <v>17</v>
      </c>
      <c r="F2472">
        <v>0</v>
      </c>
      <c r="G2472" t="s">
        <v>18</v>
      </c>
      <c r="H2472">
        <v>1</v>
      </c>
      <c r="I2472" t="s">
        <v>19</v>
      </c>
      <c r="J2472">
        <v>321</v>
      </c>
      <c r="K2472" t="s">
        <v>104</v>
      </c>
      <c r="L2472" s="13">
        <v>43797</v>
      </c>
      <c r="M2472" t="s">
        <v>1475</v>
      </c>
      <c r="N2472" t="s">
        <v>1476</v>
      </c>
      <c r="O2472">
        <v>2203.27</v>
      </c>
      <c r="P2472" t="s">
        <v>34</v>
      </c>
    </row>
    <row r="2473" spans="1:16" ht="15" customHeight="1" x14ac:dyDescent="0.4">
      <c r="A2473" t="s">
        <v>15</v>
      </c>
      <c r="B2473" t="s">
        <v>16</v>
      </c>
      <c r="C2473" s="13">
        <v>43466</v>
      </c>
      <c r="D2473" s="13">
        <v>43830</v>
      </c>
      <c r="E2473" t="s">
        <v>17</v>
      </c>
      <c r="F2473">
        <v>0</v>
      </c>
      <c r="G2473" t="s">
        <v>18</v>
      </c>
      <c r="H2473">
        <v>1</v>
      </c>
      <c r="I2473" t="s">
        <v>19</v>
      </c>
      <c r="J2473">
        <v>321</v>
      </c>
      <c r="K2473" t="s">
        <v>104</v>
      </c>
      <c r="L2473" s="13">
        <v>43823</v>
      </c>
      <c r="M2473" t="s">
        <v>1477</v>
      </c>
      <c r="N2473" t="s">
        <v>1478</v>
      </c>
      <c r="O2473">
        <v>4263.17</v>
      </c>
      <c r="P2473" t="s">
        <v>34</v>
      </c>
    </row>
    <row r="2474" spans="1:16" ht="15" customHeight="1" x14ac:dyDescent="0.4">
      <c r="A2474" t="s">
        <v>15</v>
      </c>
      <c r="B2474" t="s">
        <v>16</v>
      </c>
      <c r="C2474" s="13">
        <v>43466</v>
      </c>
      <c r="D2474" s="13">
        <v>43830</v>
      </c>
      <c r="E2474" t="s">
        <v>17</v>
      </c>
      <c r="F2474">
        <v>0</v>
      </c>
      <c r="G2474" t="s">
        <v>18</v>
      </c>
      <c r="H2474">
        <v>1</v>
      </c>
      <c r="I2474" t="s">
        <v>19</v>
      </c>
      <c r="J2474">
        <v>322</v>
      </c>
      <c r="K2474" t="s">
        <v>143</v>
      </c>
      <c r="L2474" s="13">
        <v>43476</v>
      </c>
      <c r="M2474" t="s">
        <v>1479</v>
      </c>
      <c r="N2474" t="s">
        <v>1480</v>
      </c>
      <c r="O2474">
        <v>-0.08</v>
      </c>
      <c r="P2474" t="s">
        <v>1481</v>
      </c>
    </row>
    <row r="2475" spans="1:16" ht="15" customHeight="1" x14ac:dyDescent="0.4">
      <c r="A2475" t="s">
        <v>15</v>
      </c>
      <c r="B2475" t="s">
        <v>16</v>
      </c>
      <c r="C2475" s="13">
        <v>43466</v>
      </c>
      <c r="D2475" s="13">
        <v>43830</v>
      </c>
      <c r="E2475" t="s">
        <v>17</v>
      </c>
      <c r="F2475">
        <v>0</v>
      </c>
      <c r="G2475" t="s">
        <v>18</v>
      </c>
      <c r="H2475">
        <v>1</v>
      </c>
      <c r="I2475" t="s">
        <v>19</v>
      </c>
      <c r="J2475">
        <v>322</v>
      </c>
      <c r="K2475" t="s">
        <v>143</v>
      </c>
      <c r="L2475" s="13">
        <v>43497</v>
      </c>
      <c r="M2475" t="s">
        <v>1482</v>
      </c>
      <c r="N2475" t="s">
        <v>1455</v>
      </c>
      <c r="O2475">
        <v>518.25</v>
      </c>
      <c r="P2475" t="s">
        <v>34</v>
      </c>
    </row>
    <row r="2476" spans="1:16" ht="15" customHeight="1" x14ac:dyDescent="0.4">
      <c r="A2476" t="s">
        <v>15</v>
      </c>
      <c r="B2476" t="s">
        <v>16</v>
      </c>
      <c r="C2476" s="13">
        <v>43466</v>
      </c>
      <c r="D2476" s="13">
        <v>43830</v>
      </c>
      <c r="E2476" t="s">
        <v>17</v>
      </c>
      <c r="F2476">
        <v>0</v>
      </c>
      <c r="G2476" t="s">
        <v>18</v>
      </c>
      <c r="H2476">
        <v>1</v>
      </c>
      <c r="I2476" t="s">
        <v>19</v>
      </c>
      <c r="J2476">
        <v>322</v>
      </c>
      <c r="K2476" t="s">
        <v>143</v>
      </c>
      <c r="L2476" s="13">
        <v>43510</v>
      </c>
      <c r="M2476" t="s">
        <v>1483</v>
      </c>
      <c r="N2476" t="s">
        <v>1484</v>
      </c>
      <c r="O2476">
        <v>0.11</v>
      </c>
      <c r="P2476" t="s">
        <v>146</v>
      </c>
    </row>
    <row r="2477" spans="1:16" ht="15" customHeight="1" x14ac:dyDescent="0.4">
      <c r="A2477" t="s">
        <v>15</v>
      </c>
      <c r="B2477" t="s">
        <v>16</v>
      </c>
      <c r="C2477" s="13">
        <v>43466</v>
      </c>
      <c r="D2477" s="13">
        <v>43830</v>
      </c>
      <c r="E2477" t="s">
        <v>17</v>
      </c>
      <c r="F2477">
        <v>0</v>
      </c>
      <c r="G2477" t="s">
        <v>18</v>
      </c>
      <c r="H2477">
        <v>1</v>
      </c>
      <c r="I2477" t="s">
        <v>19</v>
      </c>
      <c r="J2477">
        <v>322</v>
      </c>
      <c r="K2477" t="s">
        <v>143</v>
      </c>
      <c r="L2477" s="13">
        <v>43523</v>
      </c>
      <c r="M2477" t="s">
        <v>1485</v>
      </c>
      <c r="N2477" t="s">
        <v>1457</v>
      </c>
      <c r="O2477">
        <v>518.25</v>
      </c>
      <c r="P2477" t="s">
        <v>34</v>
      </c>
    </row>
    <row r="2478" spans="1:16" ht="15" customHeight="1" x14ac:dyDescent="0.4">
      <c r="A2478" t="s">
        <v>15</v>
      </c>
      <c r="B2478" t="s">
        <v>16</v>
      </c>
      <c r="C2478" s="13">
        <v>43466</v>
      </c>
      <c r="D2478" s="13">
        <v>43830</v>
      </c>
      <c r="E2478" t="s">
        <v>17</v>
      </c>
      <c r="F2478">
        <v>0</v>
      </c>
      <c r="G2478" t="s">
        <v>18</v>
      </c>
      <c r="H2478">
        <v>1</v>
      </c>
      <c r="I2478" t="s">
        <v>19</v>
      </c>
      <c r="J2478">
        <v>322</v>
      </c>
      <c r="K2478" t="s">
        <v>143</v>
      </c>
      <c r="L2478" s="13">
        <v>43531</v>
      </c>
      <c r="M2478" t="s">
        <v>1486</v>
      </c>
      <c r="N2478" t="s">
        <v>1487</v>
      </c>
      <c r="O2478">
        <v>0.1</v>
      </c>
      <c r="P2478" t="s">
        <v>146</v>
      </c>
    </row>
    <row r="2479" spans="1:16" ht="15" customHeight="1" x14ac:dyDescent="0.4">
      <c r="A2479" t="s">
        <v>15</v>
      </c>
      <c r="B2479" t="s">
        <v>16</v>
      </c>
      <c r="C2479" s="13">
        <v>43466</v>
      </c>
      <c r="D2479" s="13">
        <v>43830</v>
      </c>
      <c r="E2479" t="s">
        <v>17</v>
      </c>
      <c r="F2479">
        <v>0</v>
      </c>
      <c r="G2479" t="s">
        <v>18</v>
      </c>
      <c r="H2479">
        <v>1</v>
      </c>
      <c r="I2479" t="s">
        <v>19</v>
      </c>
      <c r="J2479">
        <v>322</v>
      </c>
      <c r="K2479" t="s">
        <v>143</v>
      </c>
      <c r="L2479" s="13">
        <v>43553</v>
      </c>
      <c r="M2479" t="s">
        <v>1488</v>
      </c>
      <c r="N2479" t="s">
        <v>1460</v>
      </c>
      <c r="O2479">
        <v>518.25</v>
      </c>
      <c r="P2479" t="s">
        <v>34</v>
      </c>
    </row>
    <row r="2480" spans="1:16" ht="15" customHeight="1" x14ac:dyDescent="0.4">
      <c r="A2480" t="s">
        <v>15</v>
      </c>
      <c r="B2480" t="s">
        <v>16</v>
      </c>
      <c r="C2480" s="13">
        <v>43466</v>
      </c>
      <c r="D2480" s="13">
        <v>43830</v>
      </c>
      <c r="E2480" t="s">
        <v>17</v>
      </c>
      <c r="F2480">
        <v>0</v>
      </c>
      <c r="G2480" t="s">
        <v>18</v>
      </c>
      <c r="H2480">
        <v>1</v>
      </c>
      <c r="I2480" t="s">
        <v>19</v>
      </c>
      <c r="J2480">
        <v>322</v>
      </c>
      <c r="K2480" t="s">
        <v>143</v>
      </c>
      <c r="L2480" s="13">
        <v>43564</v>
      </c>
      <c r="M2480" t="s">
        <v>1489</v>
      </c>
      <c r="N2480" t="s">
        <v>1490</v>
      </c>
      <c r="O2480">
        <v>0.1</v>
      </c>
      <c r="P2480" t="s">
        <v>146</v>
      </c>
    </row>
    <row r="2481" spans="1:16" ht="15" customHeight="1" x14ac:dyDescent="0.4">
      <c r="A2481" t="s">
        <v>15</v>
      </c>
      <c r="B2481" t="s">
        <v>16</v>
      </c>
      <c r="C2481" s="13">
        <v>43466</v>
      </c>
      <c r="D2481" s="13">
        <v>43830</v>
      </c>
      <c r="E2481" t="s">
        <v>17</v>
      </c>
      <c r="F2481">
        <v>0</v>
      </c>
      <c r="G2481" t="s">
        <v>18</v>
      </c>
      <c r="H2481">
        <v>1</v>
      </c>
      <c r="I2481" t="s">
        <v>19</v>
      </c>
      <c r="J2481">
        <v>322</v>
      </c>
      <c r="K2481" t="s">
        <v>143</v>
      </c>
      <c r="L2481" s="13">
        <v>43585</v>
      </c>
      <c r="M2481" t="s">
        <v>1491</v>
      </c>
      <c r="N2481" t="s">
        <v>1462</v>
      </c>
      <c r="O2481">
        <v>518.25</v>
      </c>
      <c r="P2481" t="s">
        <v>34</v>
      </c>
    </row>
    <row r="2482" spans="1:16" ht="15" customHeight="1" x14ac:dyDescent="0.4">
      <c r="A2482" t="s">
        <v>15</v>
      </c>
      <c r="B2482" t="s">
        <v>16</v>
      </c>
      <c r="C2482" s="13">
        <v>43466</v>
      </c>
      <c r="D2482" s="13">
        <v>43830</v>
      </c>
      <c r="E2482" t="s">
        <v>17</v>
      </c>
      <c r="F2482">
        <v>0</v>
      </c>
      <c r="G2482" t="s">
        <v>18</v>
      </c>
      <c r="H2482">
        <v>1</v>
      </c>
      <c r="I2482" t="s">
        <v>19</v>
      </c>
      <c r="J2482">
        <v>322</v>
      </c>
      <c r="K2482" t="s">
        <v>143</v>
      </c>
      <c r="L2482" s="13">
        <v>43594</v>
      </c>
      <c r="M2482" t="s">
        <v>1492</v>
      </c>
      <c r="N2482" t="s">
        <v>1493</v>
      </c>
      <c r="O2482">
        <v>0.1</v>
      </c>
      <c r="P2482" t="s">
        <v>146</v>
      </c>
    </row>
    <row r="2483" spans="1:16" ht="15" customHeight="1" x14ac:dyDescent="0.4">
      <c r="A2483" t="s">
        <v>15</v>
      </c>
      <c r="B2483" t="s">
        <v>16</v>
      </c>
      <c r="C2483" s="13">
        <v>43466</v>
      </c>
      <c r="D2483" s="13">
        <v>43830</v>
      </c>
      <c r="E2483" t="s">
        <v>17</v>
      </c>
      <c r="F2483">
        <v>0</v>
      </c>
      <c r="G2483" t="s">
        <v>18</v>
      </c>
      <c r="H2483">
        <v>1</v>
      </c>
      <c r="I2483" t="s">
        <v>19</v>
      </c>
      <c r="J2483">
        <v>322</v>
      </c>
      <c r="K2483" t="s">
        <v>143</v>
      </c>
      <c r="L2483" s="13">
        <v>43613</v>
      </c>
      <c r="M2483" t="s">
        <v>1494</v>
      </c>
      <c r="N2483" t="s">
        <v>1464</v>
      </c>
      <c r="O2483">
        <v>518.25</v>
      </c>
      <c r="P2483" t="s">
        <v>34</v>
      </c>
    </row>
    <row r="2484" spans="1:16" ht="15" customHeight="1" x14ac:dyDescent="0.4">
      <c r="A2484" t="s">
        <v>15</v>
      </c>
      <c r="B2484" t="s">
        <v>16</v>
      </c>
      <c r="C2484" s="13">
        <v>43466</v>
      </c>
      <c r="D2484" s="13">
        <v>43830</v>
      </c>
      <c r="E2484" t="s">
        <v>17</v>
      </c>
      <c r="F2484">
        <v>0</v>
      </c>
      <c r="G2484" t="s">
        <v>18</v>
      </c>
      <c r="H2484">
        <v>1</v>
      </c>
      <c r="I2484" t="s">
        <v>19</v>
      </c>
      <c r="J2484">
        <v>322</v>
      </c>
      <c r="K2484" t="s">
        <v>143</v>
      </c>
      <c r="L2484" s="13">
        <v>43623</v>
      </c>
      <c r="M2484" t="s">
        <v>1495</v>
      </c>
      <c r="N2484" t="s">
        <v>1496</v>
      </c>
      <c r="O2484">
        <v>0.1</v>
      </c>
      <c r="P2484" t="s">
        <v>146</v>
      </c>
    </row>
    <row r="2485" spans="1:16" ht="15" customHeight="1" x14ac:dyDescent="0.4">
      <c r="A2485" t="s">
        <v>15</v>
      </c>
      <c r="B2485" t="s">
        <v>16</v>
      </c>
      <c r="C2485" s="13">
        <v>43466</v>
      </c>
      <c r="D2485" s="13">
        <v>43830</v>
      </c>
      <c r="E2485" t="s">
        <v>17</v>
      </c>
      <c r="F2485">
        <v>0</v>
      </c>
      <c r="G2485" t="s">
        <v>18</v>
      </c>
      <c r="H2485">
        <v>1</v>
      </c>
      <c r="I2485" t="s">
        <v>19</v>
      </c>
      <c r="J2485">
        <v>322</v>
      </c>
      <c r="K2485" t="s">
        <v>143</v>
      </c>
      <c r="L2485" s="13">
        <v>43643</v>
      </c>
      <c r="M2485" t="s">
        <v>1497</v>
      </c>
      <c r="N2485" t="s">
        <v>1466</v>
      </c>
      <c r="O2485">
        <v>518.25</v>
      </c>
      <c r="P2485" t="s">
        <v>34</v>
      </c>
    </row>
    <row r="2486" spans="1:16" ht="15" customHeight="1" x14ac:dyDescent="0.4">
      <c r="A2486" t="s">
        <v>15</v>
      </c>
      <c r="B2486" t="s">
        <v>16</v>
      </c>
      <c r="C2486" s="13">
        <v>43466</v>
      </c>
      <c r="D2486" s="13">
        <v>43830</v>
      </c>
      <c r="E2486" t="s">
        <v>17</v>
      </c>
      <c r="F2486">
        <v>0</v>
      </c>
      <c r="G2486" t="s">
        <v>18</v>
      </c>
      <c r="H2486">
        <v>1</v>
      </c>
      <c r="I2486" t="s">
        <v>19</v>
      </c>
      <c r="J2486">
        <v>322</v>
      </c>
      <c r="K2486" t="s">
        <v>143</v>
      </c>
      <c r="L2486" s="13">
        <v>43650</v>
      </c>
      <c r="M2486" t="s">
        <v>1498</v>
      </c>
      <c r="N2486" t="s">
        <v>1499</v>
      </c>
      <c r="O2486">
        <v>0.1</v>
      </c>
      <c r="P2486" t="s">
        <v>146</v>
      </c>
    </row>
    <row r="2487" spans="1:16" ht="15" customHeight="1" x14ac:dyDescent="0.4">
      <c r="A2487" t="s">
        <v>15</v>
      </c>
      <c r="B2487" t="s">
        <v>16</v>
      </c>
      <c r="C2487" s="13">
        <v>43466</v>
      </c>
      <c r="D2487" s="13">
        <v>43830</v>
      </c>
      <c r="E2487" t="s">
        <v>17</v>
      </c>
      <c r="F2487">
        <v>0</v>
      </c>
      <c r="G2487" t="s">
        <v>18</v>
      </c>
      <c r="H2487">
        <v>1</v>
      </c>
      <c r="I2487" t="s">
        <v>19</v>
      </c>
      <c r="J2487">
        <v>322</v>
      </c>
      <c r="K2487" t="s">
        <v>143</v>
      </c>
      <c r="L2487" s="13">
        <v>43675</v>
      </c>
      <c r="M2487" t="s">
        <v>1500</v>
      </c>
      <c r="N2487" t="s">
        <v>1468</v>
      </c>
      <c r="O2487">
        <v>518.25</v>
      </c>
      <c r="P2487" t="s">
        <v>34</v>
      </c>
    </row>
    <row r="2488" spans="1:16" ht="15" customHeight="1" x14ac:dyDescent="0.4">
      <c r="A2488" t="s">
        <v>15</v>
      </c>
      <c r="B2488" t="s">
        <v>16</v>
      </c>
      <c r="C2488" s="13">
        <v>43466</v>
      </c>
      <c r="D2488" s="13">
        <v>43830</v>
      </c>
      <c r="E2488" t="s">
        <v>17</v>
      </c>
      <c r="F2488">
        <v>0</v>
      </c>
      <c r="G2488" t="s">
        <v>18</v>
      </c>
      <c r="H2488">
        <v>1</v>
      </c>
      <c r="I2488" t="s">
        <v>19</v>
      </c>
      <c r="J2488">
        <v>322</v>
      </c>
      <c r="K2488" t="s">
        <v>143</v>
      </c>
      <c r="L2488" s="13">
        <v>43677</v>
      </c>
      <c r="M2488" t="s">
        <v>1501</v>
      </c>
      <c r="N2488" t="s">
        <v>1502</v>
      </c>
      <c r="O2488">
        <v>0.1</v>
      </c>
      <c r="P2488" t="s">
        <v>146</v>
      </c>
    </row>
    <row r="2489" spans="1:16" ht="15" customHeight="1" x14ac:dyDescent="0.4">
      <c r="A2489" t="s">
        <v>15</v>
      </c>
      <c r="B2489" t="s">
        <v>16</v>
      </c>
      <c r="C2489" s="13">
        <v>43466</v>
      </c>
      <c r="D2489" s="13">
        <v>43830</v>
      </c>
      <c r="E2489" t="s">
        <v>17</v>
      </c>
      <c r="F2489">
        <v>0</v>
      </c>
      <c r="G2489" t="s">
        <v>18</v>
      </c>
      <c r="H2489">
        <v>1</v>
      </c>
      <c r="I2489" t="s">
        <v>19</v>
      </c>
      <c r="J2489">
        <v>322</v>
      </c>
      <c r="K2489" t="s">
        <v>143</v>
      </c>
      <c r="L2489" s="13">
        <v>43707</v>
      </c>
      <c r="M2489" t="s">
        <v>1503</v>
      </c>
      <c r="N2489" t="s">
        <v>1470</v>
      </c>
      <c r="O2489">
        <v>518.25</v>
      </c>
      <c r="P2489" t="s">
        <v>34</v>
      </c>
    </row>
    <row r="2490" spans="1:16" ht="15" customHeight="1" x14ac:dyDescent="0.4">
      <c r="A2490" t="s">
        <v>15</v>
      </c>
      <c r="B2490" t="s">
        <v>16</v>
      </c>
      <c r="C2490" s="13">
        <v>43466</v>
      </c>
      <c r="D2490" s="13">
        <v>43830</v>
      </c>
      <c r="E2490" t="s">
        <v>17</v>
      </c>
      <c r="F2490">
        <v>0</v>
      </c>
      <c r="G2490" t="s">
        <v>18</v>
      </c>
      <c r="H2490">
        <v>1</v>
      </c>
      <c r="I2490" t="s">
        <v>19</v>
      </c>
      <c r="J2490">
        <v>322</v>
      </c>
      <c r="K2490" t="s">
        <v>143</v>
      </c>
      <c r="L2490" s="13">
        <v>43713</v>
      </c>
      <c r="M2490" t="s">
        <v>1504</v>
      </c>
      <c r="N2490" t="s">
        <v>1505</v>
      </c>
      <c r="O2490">
        <v>0.1</v>
      </c>
      <c r="P2490" t="s">
        <v>146</v>
      </c>
    </row>
    <row r="2491" spans="1:16" ht="15" customHeight="1" x14ac:dyDescent="0.4">
      <c r="A2491" t="s">
        <v>15</v>
      </c>
      <c r="B2491" t="s">
        <v>16</v>
      </c>
      <c r="C2491" s="13">
        <v>43466</v>
      </c>
      <c r="D2491" s="13">
        <v>43830</v>
      </c>
      <c r="E2491" t="s">
        <v>17</v>
      </c>
      <c r="F2491">
        <v>0</v>
      </c>
      <c r="G2491" t="s">
        <v>18</v>
      </c>
      <c r="H2491">
        <v>1</v>
      </c>
      <c r="I2491" t="s">
        <v>19</v>
      </c>
      <c r="J2491">
        <v>322</v>
      </c>
      <c r="K2491" t="s">
        <v>143</v>
      </c>
      <c r="L2491" s="13">
        <v>43735</v>
      </c>
      <c r="M2491" t="s">
        <v>1506</v>
      </c>
      <c r="N2491" t="s">
        <v>1472</v>
      </c>
      <c r="O2491">
        <v>539.51</v>
      </c>
      <c r="P2491" t="s">
        <v>34</v>
      </c>
    </row>
    <row r="2492" spans="1:16" ht="15" customHeight="1" x14ac:dyDescent="0.4">
      <c r="A2492" t="s">
        <v>15</v>
      </c>
      <c r="B2492" t="s">
        <v>16</v>
      </c>
      <c r="C2492" s="13">
        <v>43466</v>
      </c>
      <c r="D2492" s="13">
        <v>43830</v>
      </c>
      <c r="E2492" t="s">
        <v>17</v>
      </c>
      <c r="F2492">
        <v>0</v>
      </c>
      <c r="G2492" t="s">
        <v>18</v>
      </c>
      <c r="H2492">
        <v>1</v>
      </c>
      <c r="I2492" t="s">
        <v>19</v>
      </c>
      <c r="J2492">
        <v>322</v>
      </c>
      <c r="K2492" t="s">
        <v>143</v>
      </c>
      <c r="L2492" s="13">
        <v>43742</v>
      </c>
      <c r="M2492" t="s">
        <v>1507</v>
      </c>
      <c r="N2492" t="s">
        <v>1508</v>
      </c>
      <c r="O2492">
        <v>0.36</v>
      </c>
      <c r="P2492" t="s">
        <v>146</v>
      </c>
    </row>
    <row r="2493" spans="1:16" ht="15" customHeight="1" x14ac:dyDescent="0.4">
      <c r="A2493" t="s">
        <v>15</v>
      </c>
      <c r="B2493" t="s">
        <v>16</v>
      </c>
      <c r="C2493" s="13">
        <v>43466</v>
      </c>
      <c r="D2493" s="13">
        <v>43830</v>
      </c>
      <c r="E2493" t="s">
        <v>17</v>
      </c>
      <c r="F2493">
        <v>0</v>
      </c>
      <c r="G2493" t="s">
        <v>18</v>
      </c>
      <c r="H2493">
        <v>1</v>
      </c>
      <c r="I2493" t="s">
        <v>19</v>
      </c>
      <c r="J2493">
        <v>322</v>
      </c>
      <c r="K2493" t="s">
        <v>143</v>
      </c>
      <c r="L2493" s="13">
        <v>43766</v>
      </c>
      <c r="M2493" t="s">
        <v>1509</v>
      </c>
      <c r="N2493" t="s">
        <v>1474</v>
      </c>
      <c r="O2493">
        <v>706.63</v>
      </c>
      <c r="P2493" t="s">
        <v>34</v>
      </c>
    </row>
    <row r="2494" spans="1:16" ht="15" customHeight="1" x14ac:dyDescent="0.4">
      <c r="A2494" t="s">
        <v>15</v>
      </c>
      <c r="B2494" t="s">
        <v>16</v>
      </c>
      <c r="C2494" s="13">
        <v>43466</v>
      </c>
      <c r="D2494" s="13">
        <v>43830</v>
      </c>
      <c r="E2494" t="s">
        <v>17</v>
      </c>
      <c r="F2494">
        <v>0</v>
      </c>
      <c r="G2494" t="s">
        <v>18</v>
      </c>
      <c r="H2494">
        <v>1</v>
      </c>
      <c r="I2494" t="s">
        <v>19</v>
      </c>
      <c r="J2494">
        <v>322</v>
      </c>
      <c r="K2494" t="s">
        <v>143</v>
      </c>
      <c r="L2494" s="13">
        <v>43777</v>
      </c>
      <c r="M2494" t="s">
        <v>1510</v>
      </c>
      <c r="N2494" t="s">
        <v>1511</v>
      </c>
      <c r="O2494">
        <v>-0.57999999999999996</v>
      </c>
      <c r="P2494" t="s">
        <v>146</v>
      </c>
    </row>
    <row r="2495" spans="1:16" ht="15" customHeight="1" x14ac:dyDescent="0.4">
      <c r="A2495" t="s">
        <v>15</v>
      </c>
      <c r="B2495" t="s">
        <v>16</v>
      </c>
      <c r="C2495" s="13">
        <v>43466</v>
      </c>
      <c r="D2495" s="13">
        <v>43830</v>
      </c>
      <c r="E2495" t="s">
        <v>17</v>
      </c>
      <c r="F2495">
        <v>0</v>
      </c>
      <c r="G2495" t="s">
        <v>18</v>
      </c>
      <c r="H2495">
        <v>1</v>
      </c>
      <c r="I2495" t="s">
        <v>19</v>
      </c>
      <c r="J2495">
        <v>322</v>
      </c>
      <c r="K2495" t="s">
        <v>143</v>
      </c>
      <c r="L2495" s="13">
        <v>43797</v>
      </c>
      <c r="M2495" t="s">
        <v>1512</v>
      </c>
      <c r="N2495" t="s">
        <v>1476</v>
      </c>
      <c r="O2495">
        <v>526.58000000000004</v>
      </c>
      <c r="P2495" t="s">
        <v>34</v>
      </c>
    </row>
    <row r="2496" spans="1:16" ht="15" customHeight="1" x14ac:dyDescent="0.4">
      <c r="A2496" t="s">
        <v>15</v>
      </c>
      <c r="B2496" t="s">
        <v>16</v>
      </c>
      <c r="C2496" s="13">
        <v>43466</v>
      </c>
      <c r="D2496" s="13">
        <v>43830</v>
      </c>
      <c r="E2496" t="s">
        <v>17</v>
      </c>
      <c r="F2496">
        <v>0</v>
      </c>
      <c r="G2496" t="s">
        <v>18</v>
      </c>
      <c r="H2496">
        <v>1</v>
      </c>
      <c r="I2496" t="s">
        <v>19</v>
      </c>
      <c r="J2496">
        <v>322</v>
      </c>
      <c r="K2496" t="s">
        <v>143</v>
      </c>
      <c r="L2496" s="13">
        <v>43803</v>
      </c>
      <c r="M2496" t="s">
        <v>1513</v>
      </c>
      <c r="N2496" t="s">
        <v>1514</v>
      </c>
      <c r="O2496">
        <v>-0.41</v>
      </c>
      <c r="P2496" t="s">
        <v>146</v>
      </c>
    </row>
    <row r="2497" spans="1:16" ht="15" customHeight="1" x14ac:dyDescent="0.4">
      <c r="A2497" t="s">
        <v>15</v>
      </c>
      <c r="B2497" t="s">
        <v>16</v>
      </c>
      <c r="C2497" s="13">
        <v>43466</v>
      </c>
      <c r="D2497" s="13">
        <v>43830</v>
      </c>
      <c r="E2497" t="s">
        <v>17</v>
      </c>
      <c r="F2497">
        <v>0</v>
      </c>
      <c r="G2497" t="s">
        <v>18</v>
      </c>
      <c r="H2497">
        <v>1</v>
      </c>
      <c r="I2497" t="s">
        <v>19</v>
      </c>
      <c r="J2497">
        <v>322</v>
      </c>
      <c r="K2497" t="s">
        <v>143</v>
      </c>
      <c r="L2497" s="13">
        <v>43823</v>
      </c>
      <c r="M2497" t="s">
        <v>1515</v>
      </c>
      <c r="N2497" t="s">
        <v>1478</v>
      </c>
      <c r="O2497">
        <v>1924.31</v>
      </c>
      <c r="P2497" t="s">
        <v>34</v>
      </c>
    </row>
    <row r="2498" spans="1:16" ht="15" customHeight="1" x14ac:dyDescent="0.4">
      <c r="A2498" t="s">
        <v>15</v>
      </c>
      <c r="B2498" t="s">
        <v>16</v>
      </c>
      <c r="C2498" s="13">
        <v>43466</v>
      </c>
      <c r="D2498" s="13">
        <v>43830</v>
      </c>
      <c r="E2498" t="s">
        <v>17</v>
      </c>
      <c r="F2498">
        <v>0</v>
      </c>
      <c r="G2498" t="s">
        <v>18</v>
      </c>
      <c r="H2498">
        <v>1</v>
      </c>
      <c r="I2498" t="s">
        <v>19</v>
      </c>
      <c r="J2498">
        <v>323</v>
      </c>
      <c r="K2498" t="s">
        <v>181</v>
      </c>
      <c r="L2498" s="13">
        <v>43497</v>
      </c>
      <c r="M2498" t="s">
        <v>1516</v>
      </c>
      <c r="N2498" t="s">
        <v>1455</v>
      </c>
      <c r="O2498">
        <v>122.26</v>
      </c>
      <c r="P2498" t="s">
        <v>34</v>
      </c>
    </row>
    <row r="2499" spans="1:16" ht="15" customHeight="1" x14ac:dyDescent="0.4">
      <c r="A2499" t="s">
        <v>15</v>
      </c>
      <c r="B2499" t="s">
        <v>16</v>
      </c>
      <c r="C2499" s="13">
        <v>43466</v>
      </c>
      <c r="D2499" s="13">
        <v>43830</v>
      </c>
      <c r="E2499" t="s">
        <v>17</v>
      </c>
      <c r="F2499">
        <v>0</v>
      </c>
      <c r="G2499" t="s">
        <v>18</v>
      </c>
      <c r="H2499">
        <v>1</v>
      </c>
      <c r="I2499" t="s">
        <v>19</v>
      </c>
      <c r="J2499">
        <v>323</v>
      </c>
      <c r="K2499" t="s">
        <v>181</v>
      </c>
      <c r="L2499" s="13">
        <v>43510</v>
      </c>
      <c r="M2499" t="s">
        <v>1517</v>
      </c>
      <c r="N2499" t="s">
        <v>731</v>
      </c>
      <c r="O2499">
        <v>-0.01</v>
      </c>
      <c r="P2499" t="s">
        <v>184</v>
      </c>
    </row>
    <row r="2500" spans="1:16" ht="15" customHeight="1" x14ac:dyDescent="0.4">
      <c r="A2500" t="s">
        <v>15</v>
      </c>
      <c r="B2500" t="s">
        <v>16</v>
      </c>
      <c r="C2500" s="13">
        <v>43466</v>
      </c>
      <c r="D2500" s="13">
        <v>43830</v>
      </c>
      <c r="E2500" t="s">
        <v>17</v>
      </c>
      <c r="F2500">
        <v>0</v>
      </c>
      <c r="G2500" t="s">
        <v>18</v>
      </c>
      <c r="H2500">
        <v>1</v>
      </c>
      <c r="I2500" t="s">
        <v>19</v>
      </c>
      <c r="J2500">
        <v>323</v>
      </c>
      <c r="K2500" t="s">
        <v>181</v>
      </c>
      <c r="L2500" s="13">
        <v>43523</v>
      </c>
      <c r="M2500" t="s">
        <v>1518</v>
      </c>
      <c r="N2500" t="s">
        <v>1457</v>
      </c>
      <c r="O2500">
        <v>122.26</v>
      </c>
      <c r="P2500" t="s">
        <v>34</v>
      </c>
    </row>
    <row r="2501" spans="1:16" ht="15" customHeight="1" x14ac:dyDescent="0.4">
      <c r="A2501" t="s">
        <v>15</v>
      </c>
      <c r="B2501" t="s">
        <v>16</v>
      </c>
      <c r="C2501" s="13">
        <v>43466</v>
      </c>
      <c r="D2501" s="13">
        <v>43830</v>
      </c>
      <c r="E2501" t="s">
        <v>17</v>
      </c>
      <c r="F2501">
        <v>0</v>
      </c>
      <c r="G2501" t="s">
        <v>18</v>
      </c>
      <c r="H2501">
        <v>1</v>
      </c>
      <c r="I2501" t="s">
        <v>19</v>
      </c>
      <c r="J2501">
        <v>323</v>
      </c>
      <c r="K2501" t="s">
        <v>181</v>
      </c>
      <c r="L2501" s="13">
        <v>43531</v>
      </c>
      <c r="M2501" t="s">
        <v>1519</v>
      </c>
      <c r="N2501" t="s">
        <v>731</v>
      </c>
      <c r="O2501">
        <v>-0.01</v>
      </c>
      <c r="P2501" t="s">
        <v>184</v>
      </c>
    </row>
    <row r="2502" spans="1:16" ht="15" customHeight="1" x14ac:dyDescent="0.4">
      <c r="A2502" t="s">
        <v>15</v>
      </c>
      <c r="B2502" t="s">
        <v>16</v>
      </c>
      <c r="C2502" s="13">
        <v>43466</v>
      </c>
      <c r="D2502" s="13">
        <v>43830</v>
      </c>
      <c r="E2502" t="s">
        <v>17</v>
      </c>
      <c r="F2502">
        <v>0</v>
      </c>
      <c r="G2502" t="s">
        <v>18</v>
      </c>
      <c r="H2502">
        <v>1</v>
      </c>
      <c r="I2502" t="s">
        <v>19</v>
      </c>
      <c r="J2502">
        <v>323</v>
      </c>
      <c r="K2502" t="s">
        <v>181</v>
      </c>
      <c r="L2502" s="13">
        <v>43553</v>
      </c>
      <c r="M2502" t="s">
        <v>1520</v>
      </c>
      <c r="N2502" t="s">
        <v>1460</v>
      </c>
      <c r="O2502">
        <v>122.26</v>
      </c>
      <c r="P2502" t="s">
        <v>34</v>
      </c>
    </row>
    <row r="2503" spans="1:16" ht="15" customHeight="1" x14ac:dyDescent="0.4">
      <c r="A2503" t="s">
        <v>15</v>
      </c>
      <c r="B2503" t="s">
        <v>16</v>
      </c>
      <c r="C2503" s="13">
        <v>43466</v>
      </c>
      <c r="D2503" s="13">
        <v>43830</v>
      </c>
      <c r="E2503" t="s">
        <v>17</v>
      </c>
      <c r="F2503">
        <v>0</v>
      </c>
      <c r="G2503" t="s">
        <v>18</v>
      </c>
      <c r="H2503">
        <v>1</v>
      </c>
      <c r="I2503" t="s">
        <v>19</v>
      </c>
      <c r="J2503">
        <v>323</v>
      </c>
      <c r="K2503" t="s">
        <v>181</v>
      </c>
      <c r="L2503" s="13">
        <v>43564</v>
      </c>
      <c r="M2503" t="s">
        <v>1521</v>
      </c>
      <c r="N2503" t="s">
        <v>731</v>
      </c>
      <c r="O2503">
        <v>-0.01</v>
      </c>
      <c r="P2503" t="s">
        <v>184</v>
      </c>
    </row>
    <row r="2504" spans="1:16" ht="15" customHeight="1" x14ac:dyDescent="0.4">
      <c r="A2504" t="s">
        <v>15</v>
      </c>
      <c r="B2504" t="s">
        <v>16</v>
      </c>
      <c r="C2504" s="13">
        <v>43466</v>
      </c>
      <c r="D2504" s="13">
        <v>43830</v>
      </c>
      <c r="E2504" t="s">
        <v>17</v>
      </c>
      <c r="F2504">
        <v>0</v>
      </c>
      <c r="G2504" t="s">
        <v>18</v>
      </c>
      <c r="H2504">
        <v>1</v>
      </c>
      <c r="I2504" t="s">
        <v>19</v>
      </c>
      <c r="J2504">
        <v>323</v>
      </c>
      <c r="K2504" t="s">
        <v>181</v>
      </c>
      <c r="L2504" s="13">
        <v>43585</v>
      </c>
      <c r="M2504" t="s">
        <v>1522</v>
      </c>
      <c r="N2504" t="s">
        <v>1462</v>
      </c>
      <c r="O2504">
        <v>122.26</v>
      </c>
      <c r="P2504" t="s">
        <v>34</v>
      </c>
    </row>
    <row r="2505" spans="1:16" ht="15" customHeight="1" x14ac:dyDescent="0.4">
      <c r="A2505" t="s">
        <v>15</v>
      </c>
      <c r="B2505" t="s">
        <v>16</v>
      </c>
      <c r="C2505" s="13">
        <v>43466</v>
      </c>
      <c r="D2505" s="13">
        <v>43830</v>
      </c>
      <c r="E2505" t="s">
        <v>17</v>
      </c>
      <c r="F2505">
        <v>0</v>
      </c>
      <c r="G2505" t="s">
        <v>18</v>
      </c>
      <c r="H2505">
        <v>1</v>
      </c>
      <c r="I2505" t="s">
        <v>19</v>
      </c>
      <c r="J2505">
        <v>323</v>
      </c>
      <c r="K2505" t="s">
        <v>181</v>
      </c>
      <c r="L2505" s="13">
        <v>43594</v>
      </c>
      <c r="M2505" t="s">
        <v>1523</v>
      </c>
      <c r="N2505" t="s">
        <v>731</v>
      </c>
      <c r="O2505">
        <v>-0.01</v>
      </c>
      <c r="P2505" t="s">
        <v>184</v>
      </c>
    </row>
    <row r="2506" spans="1:16" ht="15" customHeight="1" x14ac:dyDescent="0.4">
      <c r="A2506" t="s">
        <v>15</v>
      </c>
      <c r="B2506" t="s">
        <v>16</v>
      </c>
      <c r="C2506" s="13">
        <v>43466</v>
      </c>
      <c r="D2506" s="13">
        <v>43830</v>
      </c>
      <c r="E2506" t="s">
        <v>17</v>
      </c>
      <c r="F2506">
        <v>0</v>
      </c>
      <c r="G2506" t="s">
        <v>18</v>
      </c>
      <c r="H2506">
        <v>1</v>
      </c>
      <c r="I2506" t="s">
        <v>19</v>
      </c>
      <c r="J2506">
        <v>323</v>
      </c>
      <c r="K2506" t="s">
        <v>181</v>
      </c>
      <c r="L2506" s="13">
        <v>43613</v>
      </c>
      <c r="M2506" t="s">
        <v>1524</v>
      </c>
      <c r="N2506" t="s">
        <v>1464</v>
      </c>
      <c r="O2506">
        <v>122.26</v>
      </c>
      <c r="P2506" t="s">
        <v>34</v>
      </c>
    </row>
    <row r="2507" spans="1:16" ht="15" customHeight="1" x14ac:dyDescent="0.4">
      <c r="A2507" t="s">
        <v>15</v>
      </c>
      <c r="B2507" t="s">
        <v>16</v>
      </c>
      <c r="C2507" s="13">
        <v>43466</v>
      </c>
      <c r="D2507" s="13">
        <v>43830</v>
      </c>
      <c r="E2507" t="s">
        <v>17</v>
      </c>
      <c r="F2507">
        <v>0</v>
      </c>
      <c r="G2507" t="s">
        <v>18</v>
      </c>
      <c r="H2507">
        <v>1</v>
      </c>
      <c r="I2507" t="s">
        <v>19</v>
      </c>
      <c r="J2507">
        <v>323</v>
      </c>
      <c r="K2507" t="s">
        <v>181</v>
      </c>
      <c r="L2507" s="13">
        <v>43623</v>
      </c>
      <c r="M2507" t="s">
        <v>1525</v>
      </c>
      <c r="N2507" t="s">
        <v>731</v>
      </c>
      <c r="O2507">
        <v>-0.01</v>
      </c>
      <c r="P2507" t="s">
        <v>184</v>
      </c>
    </row>
    <row r="2508" spans="1:16" ht="15" customHeight="1" x14ac:dyDescent="0.4">
      <c r="A2508" t="s">
        <v>15</v>
      </c>
      <c r="B2508" t="s">
        <v>16</v>
      </c>
      <c r="C2508" s="13">
        <v>43466</v>
      </c>
      <c r="D2508" s="13">
        <v>43830</v>
      </c>
      <c r="E2508" t="s">
        <v>17</v>
      </c>
      <c r="F2508">
        <v>0</v>
      </c>
      <c r="G2508" t="s">
        <v>18</v>
      </c>
      <c r="H2508">
        <v>1</v>
      </c>
      <c r="I2508" t="s">
        <v>19</v>
      </c>
      <c r="J2508">
        <v>323</v>
      </c>
      <c r="K2508" t="s">
        <v>181</v>
      </c>
      <c r="L2508" s="13">
        <v>43643</v>
      </c>
      <c r="M2508" t="s">
        <v>1526</v>
      </c>
      <c r="N2508" t="s">
        <v>1466</v>
      </c>
      <c r="O2508">
        <v>122.26</v>
      </c>
      <c r="P2508" t="s">
        <v>34</v>
      </c>
    </row>
    <row r="2509" spans="1:16" ht="15" customHeight="1" x14ac:dyDescent="0.4">
      <c r="A2509" t="s">
        <v>15</v>
      </c>
      <c r="B2509" t="s">
        <v>16</v>
      </c>
      <c r="C2509" s="13">
        <v>43466</v>
      </c>
      <c r="D2509" s="13">
        <v>43830</v>
      </c>
      <c r="E2509" t="s">
        <v>17</v>
      </c>
      <c r="F2509">
        <v>0</v>
      </c>
      <c r="G2509" t="s">
        <v>18</v>
      </c>
      <c r="H2509">
        <v>1</v>
      </c>
      <c r="I2509" t="s">
        <v>19</v>
      </c>
      <c r="J2509">
        <v>323</v>
      </c>
      <c r="K2509" t="s">
        <v>181</v>
      </c>
      <c r="L2509" s="13">
        <v>43650</v>
      </c>
      <c r="M2509" t="s">
        <v>1527</v>
      </c>
      <c r="N2509" t="s">
        <v>731</v>
      </c>
      <c r="O2509">
        <v>-0.01</v>
      </c>
      <c r="P2509" t="s">
        <v>184</v>
      </c>
    </row>
    <row r="2510" spans="1:16" ht="15" customHeight="1" x14ac:dyDescent="0.4">
      <c r="A2510" t="s">
        <v>15</v>
      </c>
      <c r="B2510" t="s">
        <v>16</v>
      </c>
      <c r="C2510" s="13">
        <v>43466</v>
      </c>
      <c r="D2510" s="13">
        <v>43830</v>
      </c>
      <c r="E2510" t="s">
        <v>17</v>
      </c>
      <c r="F2510">
        <v>0</v>
      </c>
      <c r="G2510" t="s">
        <v>18</v>
      </c>
      <c r="H2510">
        <v>1</v>
      </c>
      <c r="I2510" t="s">
        <v>19</v>
      </c>
      <c r="J2510">
        <v>323</v>
      </c>
      <c r="K2510" t="s">
        <v>181</v>
      </c>
      <c r="L2510" s="13">
        <v>43675</v>
      </c>
      <c r="M2510" t="s">
        <v>1528</v>
      </c>
      <c r="N2510" t="s">
        <v>1468</v>
      </c>
      <c r="O2510">
        <v>122.26</v>
      </c>
      <c r="P2510" t="s">
        <v>34</v>
      </c>
    </row>
    <row r="2511" spans="1:16" ht="15" customHeight="1" x14ac:dyDescent="0.4">
      <c r="A2511" t="s">
        <v>15</v>
      </c>
      <c r="B2511" t="s">
        <v>16</v>
      </c>
      <c r="C2511" s="13">
        <v>43466</v>
      </c>
      <c r="D2511" s="13">
        <v>43830</v>
      </c>
      <c r="E2511" t="s">
        <v>17</v>
      </c>
      <c r="F2511">
        <v>0</v>
      </c>
      <c r="G2511" t="s">
        <v>18</v>
      </c>
      <c r="H2511">
        <v>1</v>
      </c>
      <c r="I2511" t="s">
        <v>19</v>
      </c>
      <c r="J2511">
        <v>323</v>
      </c>
      <c r="K2511" t="s">
        <v>181</v>
      </c>
      <c r="L2511" s="13">
        <v>43677</v>
      </c>
      <c r="M2511" t="s">
        <v>1529</v>
      </c>
      <c r="N2511" t="s">
        <v>731</v>
      </c>
      <c r="O2511">
        <v>-0.01</v>
      </c>
      <c r="P2511" t="s">
        <v>184</v>
      </c>
    </row>
    <row r="2512" spans="1:16" ht="15" customHeight="1" x14ac:dyDescent="0.4">
      <c r="A2512" t="s">
        <v>15</v>
      </c>
      <c r="B2512" t="s">
        <v>16</v>
      </c>
      <c r="C2512" s="13">
        <v>43466</v>
      </c>
      <c r="D2512" s="13">
        <v>43830</v>
      </c>
      <c r="E2512" t="s">
        <v>17</v>
      </c>
      <c r="F2512">
        <v>0</v>
      </c>
      <c r="G2512" t="s">
        <v>18</v>
      </c>
      <c r="H2512">
        <v>1</v>
      </c>
      <c r="I2512" t="s">
        <v>19</v>
      </c>
      <c r="J2512">
        <v>323</v>
      </c>
      <c r="K2512" t="s">
        <v>181</v>
      </c>
      <c r="L2512" s="13">
        <v>43707</v>
      </c>
      <c r="M2512" t="s">
        <v>1530</v>
      </c>
      <c r="N2512" t="s">
        <v>1470</v>
      </c>
      <c r="O2512">
        <v>122.26</v>
      </c>
      <c r="P2512" t="s">
        <v>34</v>
      </c>
    </row>
    <row r="2513" spans="1:16" ht="15" customHeight="1" x14ac:dyDescent="0.4">
      <c r="A2513" t="s">
        <v>15</v>
      </c>
      <c r="B2513" t="s">
        <v>16</v>
      </c>
      <c r="C2513" s="13">
        <v>43466</v>
      </c>
      <c r="D2513" s="13">
        <v>43830</v>
      </c>
      <c r="E2513" t="s">
        <v>17</v>
      </c>
      <c r="F2513">
        <v>0</v>
      </c>
      <c r="G2513" t="s">
        <v>18</v>
      </c>
      <c r="H2513">
        <v>1</v>
      </c>
      <c r="I2513" t="s">
        <v>19</v>
      </c>
      <c r="J2513">
        <v>323</v>
      </c>
      <c r="K2513" t="s">
        <v>181</v>
      </c>
      <c r="L2513" s="13">
        <v>43713</v>
      </c>
      <c r="M2513" t="s">
        <v>1531</v>
      </c>
      <c r="N2513" t="s">
        <v>731</v>
      </c>
      <c r="O2513">
        <v>-0.01</v>
      </c>
      <c r="P2513" t="s">
        <v>184</v>
      </c>
    </row>
    <row r="2514" spans="1:16" ht="15" customHeight="1" x14ac:dyDescent="0.4">
      <c r="A2514" t="s">
        <v>15</v>
      </c>
      <c r="B2514" t="s">
        <v>16</v>
      </c>
      <c r="C2514" s="13">
        <v>43466</v>
      </c>
      <c r="D2514" s="13">
        <v>43830</v>
      </c>
      <c r="E2514" t="s">
        <v>17</v>
      </c>
      <c r="F2514">
        <v>0</v>
      </c>
      <c r="G2514" t="s">
        <v>18</v>
      </c>
      <c r="H2514">
        <v>1</v>
      </c>
      <c r="I2514" t="s">
        <v>19</v>
      </c>
      <c r="J2514">
        <v>323</v>
      </c>
      <c r="K2514" t="s">
        <v>181</v>
      </c>
      <c r="L2514" s="13">
        <v>43735</v>
      </c>
      <c r="M2514" t="s">
        <v>1532</v>
      </c>
      <c r="N2514" t="s">
        <v>1472</v>
      </c>
      <c r="O2514">
        <v>127.76</v>
      </c>
      <c r="P2514" t="s">
        <v>34</v>
      </c>
    </row>
    <row r="2515" spans="1:16" ht="15" customHeight="1" x14ac:dyDescent="0.4">
      <c r="A2515" t="s">
        <v>15</v>
      </c>
      <c r="B2515" t="s">
        <v>16</v>
      </c>
      <c r="C2515" s="13">
        <v>43466</v>
      </c>
      <c r="D2515" s="13">
        <v>43830</v>
      </c>
      <c r="E2515" t="s">
        <v>17</v>
      </c>
      <c r="F2515">
        <v>0</v>
      </c>
      <c r="G2515" t="s">
        <v>18</v>
      </c>
      <c r="H2515">
        <v>1</v>
      </c>
      <c r="I2515" t="s">
        <v>19</v>
      </c>
      <c r="J2515">
        <v>323</v>
      </c>
      <c r="K2515" t="s">
        <v>181</v>
      </c>
      <c r="L2515" s="13">
        <v>43742</v>
      </c>
      <c r="M2515" t="s">
        <v>1533</v>
      </c>
      <c r="N2515" t="s">
        <v>731</v>
      </c>
      <c r="O2515">
        <v>-0.01</v>
      </c>
      <c r="P2515" t="s">
        <v>184</v>
      </c>
    </row>
    <row r="2516" spans="1:16" ht="15" customHeight="1" x14ac:dyDescent="0.4">
      <c r="A2516" t="s">
        <v>15</v>
      </c>
      <c r="B2516" t="s">
        <v>16</v>
      </c>
      <c r="C2516" s="13">
        <v>43466</v>
      </c>
      <c r="D2516" s="13">
        <v>43830</v>
      </c>
      <c r="E2516" t="s">
        <v>17</v>
      </c>
      <c r="F2516">
        <v>0</v>
      </c>
      <c r="G2516" t="s">
        <v>18</v>
      </c>
      <c r="H2516">
        <v>1</v>
      </c>
      <c r="I2516" t="s">
        <v>19</v>
      </c>
      <c r="J2516">
        <v>323</v>
      </c>
      <c r="K2516" t="s">
        <v>181</v>
      </c>
      <c r="L2516" s="13">
        <v>43766</v>
      </c>
      <c r="M2516" t="s">
        <v>1534</v>
      </c>
      <c r="N2516" t="s">
        <v>1474</v>
      </c>
      <c r="O2516">
        <v>170.76</v>
      </c>
      <c r="P2516" t="s">
        <v>34</v>
      </c>
    </row>
    <row r="2517" spans="1:16" ht="15" customHeight="1" x14ac:dyDescent="0.4">
      <c r="A2517" t="s">
        <v>15</v>
      </c>
      <c r="B2517" t="s">
        <v>16</v>
      </c>
      <c r="C2517" s="13">
        <v>43466</v>
      </c>
      <c r="D2517" s="13">
        <v>43830</v>
      </c>
      <c r="E2517" t="s">
        <v>17</v>
      </c>
      <c r="F2517">
        <v>0</v>
      </c>
      <c r="G2517" t="s">
        <v>18</v>
      </c>
      <c r="H2517">
        <v>1</v>
      </c>
      <c r="I2517" t="s">
        <v>19</v>
      </c>
      <c r="J2517">
        <v>323</v>
      </c>
      <c r="K2517" t="s">
        <v>181</v>
      </c>
      <c r="L2517" s="13">
        <v>43797</v>
      </c>
      <c r="M2517" t="s">
        <v>1535</v>
      </c>
      <c r="N2517" t="s">
        <v>1476</v>
      </c>
      <c r="O2517">
        <v>128.44999999999999</v>
      </c>
      <c r="P2517" t="s">
        <v>34</v>
      </c>
    </row>
    <row r="2518" spans="1:16" ht="15" customHeight="1" x14ac:dyDescent="0.4">
      <c r="A2518" t="s">
        <v>15</v>
      </c>
      <c r="B2518" t="s">
        <v>16</v>
      </c>
      <c r="C2518" s="13">
        <v>43466</v>
      </c>
      <c r="D2518" s="13">
        <v>43830</v>
      </c>
      <c r="E2518" t="s">
        <v>17</v>
      </c>
      <c r="F2518">
        <v>0</v>
      </c>
      <c r="G2518" t="s">
        <v>18</v>
      </c>
      <c r="H2518">
        <v>1</v>
      </c>
      <c r="I2518" t="s">
        <v>19</v>
      </c>
      <c r="J2518">
        <v>323</v>
      </c>
      <c r="K2518" t="s">
        <v>181</v>
      </c>
      <c r="L2518" s="13">
        <v>43823</v>
      </c>
      <c r="M2518" t="s">
        <v>1536</v>
      </c>
      <c r="N2518" t="s">
        <v>1478</v>
      </c>
      <c r="O2518">
        <v>456.78</v>
      </c>
      <c r="P2518" t="s">
        <v>34</v>
      </c>
    </row>
    <row r="2519" spans="1:16" ht="15" customHeight="1" x14ac:dyDescent="0.4">
      <c r="A2519" t="s">
        <v>15</v>
      </c>
      <c r="B2519" t="s">
        <v>16</v>
      </c>
      <c r="C2519" s="13">
        <v>43466</v>
      </c>
      <c r="D2519" s="13">
        <v>43830</v>
      </c>
      <c r="E2519" t="s">
        <v>17</v>
      </c>
      <c r="F2519">
        <v>0</v>
      </c>
      <c r="G2519" t="s">
        <v>18</v>
      </c>
      <c r="H2519">
        <v>1</v>
      </c>
      <c r="I2519" t="s">
        <v>19</v>
      </c>
      <c r="J2519">
        <v>326</v>
      </c>
      <c r="K2519" t="s">
        <v>199</v>
      </c>
      <c r="L2519" s="13">
        <v>43476</v>
      </c>
      <c r="M2519" t="s">
        <v>1537</v>
      </c>
      <c r="N2519" t="s">
        <v>753</v>
      </c>
      <c r="O2519">
        <v>2549</v>
      </c>
      <c r="P2519" t="s">
        <v>202</v>
      </c>
    </row>
    <row r="2520" spans="1:16" ht="15" customHeight="1" x14ac:dyDescent="0.4">
      <c r="A2520" t="s">
        <v>15</v>
      </c>
      <c r="B2520" t="s">
        <v>16</v>
      </c>
      <c r="C2520" s="13">
        <v>43466</v>
      </c>
      <c r="D2520" s="13">
        <v>43830</v>
      </c>
      <c r="E2520" t="s">
        <v>17</v>
      </c>
      <c r="F2520">
        <v>0</v>
      </c>
      <c r="G2520" t="s">
        <v>18</v>
      </c>
      <c r="H2520">
        <v>1</v>
      </c>
      <c r="I2520" t="s">
        <v>19</v>
      </c>
      <c r="J2520">
        <v>326</v>
      </c>
      <c r="K2520" t="s">
        <v>199</v>
      </c>
      <c r="L2520" s="13">
        <v>43830</v>
      </c>
      <c r="M2520" t="s">
        <v>1538</v>
      </c>
      <c r="N2520" t="s">
        <v>753</v>
      </c>
      <c r="O2520">
        <v>2799</v>
      </c>
      <c r="P2520" t="s">
        <v>202</v>
      </c>
    </row>
    <row r="2521" spans="1:16" ht="15" customHeight="1" x14ac:dyDescent="0.4">
      <c r="A2521" t="s">
        <v>15</v>
      </c>
      <c r="B2521" t="s">
        <v>16</v>
      </c>
      <c r="C2521" s="13">
        <v>43466</v>
      </c>
      <c r="D2521" s="13">
        <v>43830</v>
      </c>
      <c r="E2521" t="s">
        <v>17</v>
      </c>
      <c r="F2521">
        <v>0</v>
      </c>
      <c r="G2521" t="s">
        <v>18</v>
      </c>
      <c r="H2521">
        <v>1</v>
      </c>
      <c r="I2521" t="s">
        <v>19</v>
      </c>
      <c r="J2521">
        <v>327</v>
      </c>
      <c r="K2521" t="s">
        <v>754</v>
      </c>
      <c r="L2521" s="13">
        <v>43476</v>
      </c>
      <c r="M2521" t="s">
        <v>1539</v>
      </c>
      <c r="N2521" t="s">
        <v>106</v>
      </c>
      <c r="O2521">
        <v>145.57</v>
      </c>
      <c r="P2521" t="s">
        <v>756</v>
      </c>
    </row>
    <row r="2522" spans="1:16" ht="15" customHeight="1" x14ac:dyDescent="0.4">
      <c r="A2522" t="s">
        <v>15</v>
      </c>
      <c r="B2522" t="s">
        <v>16</v>
      </c>
      <c r="C2522" s="13">
        <v>43466</v>
      </c>
      <c r="D2522" s="13">
        <v>43830</v>
      </c>
      <c r="E2522" t="s">
        <v>17</v>
      </c>
      <c r="F2522">
        <v>0</v>
      </c>
      <c r="G2522" t="s">
        <v>18</v>
      </c>
      <c r="H2522">
        <v>1</v>
      </c>
      <c r="I2522" t="s">
        <v>19</v>
      </c>
      <c r="J2522">
        <v>327</v>
      </c>
      <c r="K2522" t="s">
        <v>754</v>
      </c>
      <c r="L2522" s="13">
        <v>43830</v>
      </c>
      <c r="M2522" t="s">
        <v>1540</v>
      </c>
      <c r="N2522" t="s">
        <v>106</v>
      </c>
      <c r="O2522">
        <v>156.61000000000001</v>
      </c>
      <c r="P2522" t="s">
        <v>756</v>
      </c>
    </row>
    <row r="2523" spans="1:16" ht="15" customHeight="1" x14ac:dyDescent="0.4">
      <c r="A2523" t="s">
        <v>15</v>
      </c>
      <c r="B2523" t="s">
        <v>16</v>
      </c>
      <c r="C2523" s="13">
        <v>43466</v>
      </c>
      <c r="D2523" s="13">
        <v>43830</v>
      </c>
      <c r="E2523" t="s">
        <v>17</v>
      </c>
      <c r="F2523">
        <v>0</v>
      </c>
      <c r="G2523" t="s">
        <v>18</v>
      </c>
      <c r="H2523">
        <v>1</v>
      </c>
      <c r="I2523" t="s">
        <v>19</v>
      </c>
      <c r="J2523">
        <v>337</v>
      </c>
      <c r="K2523" t="s">
        <v>203</v>
      </c>
      <c r="L2523" s="13">
        <v>43476</v>
      </c>
      <c r="M2523" t="s">
        <v>1541</v>
      </c>
      <c r="N2523" t="s">
        <v>1542</v>
      </c>
      <c r="O2523">
        <v>-0.01</v>
      </c>
      <c r="P2523" t="s">
        <v>1160</v>
      </c>
    </row>
    <row r="2524" spans="1:16" ht="15" customHeight="1" x14ac:dyDescent="0.4">
      <c r="A2524" t="s">
        <v>15</v>
      </c>
      <c r="B2524" t="s">
        <v>16</v>
      </c>
      <c r="C2524" s="13">
        <v>43466</v>
      </c>
      <c r="D2524" s="13">
        <v>43830</v>
      </c>
      <c r="E2524" t="s">
        <v>17</v>
      </c>
      <c r="F2524">
        <v>0</v>
      </c>
      <c r="G2524" t="s">
        <v>18</v>
      </c>
      <c r="H2524">
        <v>1</v>
      </c>
      <c r="I2524" t="s">
        <v>19</v>
      </c>
      <c r="J2524">
        <v>337</v>
      </c>
      <c r="K2524" t="s">
        <v>203</v>
      </c>
      <c r="L2524" s="13">
        <v>43497</v>
      </c>
      <c r="M2524" t="s">
        <v>1544</v>
      </c>
      <c r="N2524" t="s">
        <v>1455</v>
      </c>
      <c r="O2524">
        <v>11.27</v>
      </c>
      <c r="P2524" t="s">
        <v>34</v>
      </c>
    </row>
    <row r="2525" spans="1:16" ht="15" customHeight="1" x14ac:dyDescent="0.4">
      <c r="A2525" t="s">
        <v>15</v>
      </c>
      <c r="B2525" t="s">
        <v>16</v>
      </c>
      <c r="C2525" s="13">
        <v>43466</v>
      </c>
      <c r="D2525" s="13">
        <v>43830</v>
      </c>
      <c r="E2525" t="s">
        <v>17</v>
      </c>
      <c r="F2525">
        <v>0</v>
      </c>
      <c r="G2525" t="s">
        <v>18</v>
      </c>
      <c r="H2525">
        <v>1</v>
      </c>
      <c r="I2525" t="s">
        <v>19</v>
      </c>
      <c r="J2525">
        <v>337</v>
      </c>
      <c r="K2525" t="s">
        <v>203</v>
      </c>
      <c r="L2525" s="13">
        <v>43497</v>
      </c>
      <c r="M2525" t="s">
        <v>1543</v>
      </c>
      <c r="N2525" t="s">
        <v>1455</v>
      </c>
      <c r="O2525">
        <v>30.06</v>
      </c>
      <c r="P2525" t="s">
        <v>34</v>
      </c>
    </row>
    <row r="2526" spans="1:16" ht="15" customHeight="1" x14ac:dyDescent="0.4">
      <c r="A2526" t="s">
        <v>15</v>
      </c>
      <c r="B2526" t="s">
        <v>16</v>
      </c>
      <c r="C2526" s="13">
        <v>43466</v>
      </c>
      <c r="D2526" s="13">
        <v>43830</v>
      </c>
      <c r="E2526" t="s">
        <v>17</v>
      </c>
      <c r="F2526">
        <v>0</v>
      </c>
      <c r="G2526" t="s">
        <v>18</v>
      </c>
      <c r="H2526">
        <v>1</v>
      </c>
      <c r="I2526" t="s">
        <v>19</v>
      </c>
      <c r="J2526">
        <v>337</v>
      </c>
      <c r="K2526" t="s">
        <v>203</v>
      </c>
      <c r="L2526" s="13">
        <v>43510</v>
      </c>
      <c r="M2526" t="s">
        <v>1545</v>
      </c>
      <c r="N2526" t="s">
        <v>1542</v>
      </c>
      <c r="O2526">
        <v>-0.01</v>
      </c>
      <c r="P2526" t="s">
        <v>1160</v>
      </c>
    </row>
    <row r="2527" spans="1:16" ht="15" customHeight="1" x14ac:dyDescent="0.4">
      <c r="A2527" t="s">
        <v>15</v>
      </c>
      <c r="B2527" t="s">
        <v>16</v>
      </c>
      <c r="C2527" s="13">
        <v>43466</v>
      </c>
      <c r="D2527" s="13">
        <v>43830</v>
      </c>
      <c r="E2527" t="s">
        <v>17</v>
      </c>
      <c r="F2527">
        <v>0</v>
      </c>
      <c r="G2527" t="s">
        <v>18</v>
      </c>
      <c r="H2527">
        <v>1</v>
      </c>
      <c r="I2527" t="s">
        <v>19</v>
      </c>
      <c r="J2527">
        <v>337</v>
      </c>
      <c r="K2527" t="s">
        <v>203</v>
      </c>
      <c r="L2527" s="13">
        <v>43510</v>
      </c>
      <c r="M2527" t="s">
        <v>1546</v>
      </c>
      <c r="N2527" t="s">
        <v>1547</v>
      </c>
      <c r="O2527">
        <v>-0.01</v>
      </c>
      <c r="P2527" t="s">
        <v>205</v>
      </c>
    </row>
    <row r="2528" spans="1:16" ht="15" customHeight="1" x14ac:dyDescent="0.4">
      <c r="A2528" t="s">
        <v>15</v>
      </c>
      <c r="B2528" t="s">
        <v>16</v>
      </c>
      <c r="C2528" s="13">
        <v>43466</v>
      </c>
      <c r="D2528" s="13">
        <v>43830</v>
      </c>
      <c r="E2528" t="s">
        <v>17</v>
      </c>
      <c r="F2528">
        <v>0</v>
      </c>
      <c r="G2528" t="s">
        <v>18</v>
      </c>
      <c r="H2528">
        <v>1</v>
      </c>
      <c r="I2528" t="s">
        <v>19</v>
      </c>
      <c r="J2528">
        <v>337</v>
      </c>
      <c r="K2528" t="s">
        <v>203</v>
      </c>
      <c r="L2528" s="13">
        <v>43523</v>
      </c>
      <c r="M2528" t="s">
        <v>1548</v>
      </c>
      <c r="N2528" t="s">
        <v>1457</v>
      </c>
      <c r="O2528">
        <v>11.27</v>
      </c>
      <c r="P2528" t="s">
        <v>34</v>
      </c>
    </row>
    <row r="2529" spans="1:16" ht="15" customHeight="1" x14ac:dyDescent="0.4">
      <c r="A2529" t="s">
        <v>15</v>
      </c>
      <c r="B2529" t="s">
        <v>16</v>
      </c>
      <c r="C2529" s="13">
        <v>43466</v>
      </c>
      <c r="D2529" s="13">
        <v>43830</v>
      </c>
      <c r="E2529" t="s">
        <v>17</v>
      </c>
      <c r="F2529">
        <v>0</v>
      </c>
      <c r="G2529" t="s">
        <v>18</v>
      </c>
      <c r="H2529">
        <v>1</v>
      </c>
      <c r="I2529" t="s">
        <v>19</v>
      </c>
      <c r="J2529">
        <v>337</v>
      </c>
      <c r="K2529" t="s">
        <v>203</v>
      </c>
      <c r="L2529" s="13">
        <v>43523</v>
      </c>
      <c r="M2529" t="s">
        <v>1549</v>
      </c>
      <c r="N2529" t="s">
        <v>1457</v>
      </c>
      <c r="O2529">
        <v>30.12</v>
      </c>
      <c r="P2529" t="s">
        <v>34</v>
      </c>
    </row>
    <row r="2530" spans="1:16" ht="15" customHeight="1" x14ac:dyDescent="0.4">
      <c r="A2530" t="s">
        <v>15</v>
      </c>
      <c r="B2530" t="s">
        <v>16</v>
      </c>
      <c r="C2530" s="13">
        <v>43466</v>
      </c>
      <c r="D2530" s="13">
        <v>43830</v>
      </c>
      <c r="E2530" t="s">
        <v>17</v>
      </c>
      <c r="F2530">
        <v>0</v>
      </c>
      <c r="G2530" t="s">
        <v>18</v>
      </c>
      <c r="H2530">
        <v>1</v>
      </c>
      <c r="I2530" t="s">
        <v>19</v>
      </c>
      <c r="J2530">
        <v>337</v>
      </c>
      <c r="K2530" t="s">
        <v>203</v>
      </c>
      <c r="L2530" s="13">
        <v>43531</v>
      </c>
      <c r="M2530" t="s">
        <v>1550</v>
      </c>
      <c r="N2530" t="s">
        <v>1542</v>
      </c>
      <c r="O2530">
        <v>0.01</v>
      </c>
      <c r="P2530" t="s">
        <v>1160</v>
      </c>
    </row>
    <row r="2531" spans="1:16" ht="15" customHeight="1" x14ac:dyDescent="0.4">
      <c r="A2531" t="s">
        <v>15</v>
      </c>
      <c r="B2531" t="s">
        <v>16</v>
      </c>
      <c r="C2531" s="13">
        <v>43466</v>
      </c>
      <c r="D2531" s="13">
        <v>43830</v>
      </c>
      <c r="E2531" t="s">
        <v>17</v>
      </c>
      <c r="F2531">
        <v>0</v>
      </c>
      <c r="G2531" t="s">
        <v>18</v>
      </c>
      <c r="H2531">
        <v>1</v>
      </c>
      <c r="I2531" t="s">
        <v>19</v>
      </c>
      <c r="J2531">
        <v>337</v>
      </c>
      <c r="K2531" t="s">
        <v>203</v>
      </c>
      <c r="L2531" s="13">
        <v>43531</v>
      </c>
      <c r="M2531" t="s">
        <v>1551</v>
      </c>
      <c r="N2531" t="s">
        <v>1547</v>
      </c>
      <c r="O2531">
        <v>-0.01</v>
      </c>
      <c r="P2531" t="s">
        <v>205</v>
      </c>
    </row>
    <row r="2532" spans="1:16" ht="15" customHeight="1" x14ac:dyDescent="0.4">
      <c r="A2532" t="s">
        <v>15</v>
      </c>
      <c r="B2532" t="s">
        <v>16</v>
      </c>
      <c r="C2532" s="13">
        <v>43466</v>
      </c>
      <c r="D2532" s="13">
        <v>43830</v>
      </c>
      <c r="E2532" t="s">
        <v>17</v>
      </c>
      <c r="F2532">
        <v>0</v>
      </c>
      <c r="G2532" t="s">
        <v>18</v>
      </c>
      <c r="H2532">
        <v>1</v>
      </c>
      <c r="I2532" t="s">
        <v>19</v>
      </c>
      <c r="J2532">
        <v>337</v>
      </c>
      <c r="K2532" t="s">
        <v>203</v>
      </c>
      <c r="L2532" s="13">
        <v>43553</v>
      </c>
      <c r="M2532" t="s">
        <v>1553</v>
      </c>
      <c r="N2532" t="s">
        <v>1460</v>
      </c>
      <c r="O2532">
        <v>11.27</v>
      </c>
      <c r="P2532" t="s">
        <v>34</v>
      </c>
    </row>
    <row r="2533" spans="1:16" ht="15" customHeight="1" x14ac:dyDescent="0.4">
      <c r="A2533" t="s">
        <v>15</v>
      </c>
      <c r="B2533" t="s">
        <v>16</v>
      </c>
      <c r="C2533" s="13">
        <v>43466</v>
      </c>
      <c r="D2533" s="13">
        <v>43830</v>
      </c>
      <c r="E2533" t="s">
        <v>17</v>
      </c>
      <c r="F2533">
        <v>0</v>
      </c>
      <c r="G2533" t="s">
        <v>18</v>
      </c>
      <c r="H2533">
        <v>1</v>
      </c>
      <c r="I2533" t="s">
        <v>19</v>
      </c>
      <c r="J2533">
        <v>337</v>
      </c>
      <c r="K2533" t="s">
        <v>203</v>
      </c>
      <c r="L2533" s="13">
        <v>43553</v>
      </c>
      <c r="M2533" t="s">
        <v>1552</v>
      </c>
      <c r="N2533" t="s">
        <v>1460</v>
      </c>
      <c r="O2533">
        <v>30.12</v>
      </c>
      <c r="P2533" t="s">
        <v>34</v>
      </c>
    </row>
    <row r="2534" spans="1:16" ht="15" customHeight="1" x14ac:dyDescent="0.4">
      <c r="A2534" t="s">
        <v>15</v>
      </c>
      <c r="B2534" t="s">
        <v>16</v>
      </c>
      <c r="C2534" s="13">
        <v>43466</v>
      </c>
      <c r="D2534" s="13">
        <v>43830</v>
      </c>
      <c r="E2534" t="s">
        <v>17</v>
      </c>
      <c r="F2534">
        <v>0</v>
      </c>
      <c r="G2534" t="s">
        <v>18</v>
      </c>
      <c r="H2534">
        <v>1</v>
      </c>
      <c r="I2534" t="s">
        <v>19</v>
      </c>
      <c r="J2534">
        <v>337</v>
      </c>
      <c r="K2534" t="s">
        <v>203</v>
      </c>
      <c r="L2534" s="13">
        <v>43564</v>
      </c>
      <c r="M2534" t="s">
        <v>1555</v>
      </c>
      <c r="N2534" t="s">
        <v>1547</v>
      </c>
      <c r="O2534">
        <v>-0.01</v>
      </c>
      <c r="P2534" t="s">
        <v>205</v>
      </c>
    </row>
    <row r="2535" spans="1:16" ht="15" customHeight="1" x14ac:dyDescent="0.4">
      <c r="A2535" t="s">
        <v>15</v>
      </c>
      <c r="B2535" t="s">
        <v>16</v>
      </c>
      <c r="C2535" s="13">
        <v>43466</v>
      </c>
      <c r="D2535" s="13">
        <v>43830</v>
      </c>
      <c r="E2535" t="s">
        <v>17</v>
      </c>
      <c r="F2535">
        <v>0</v>
      </c>
      <c r="G2535" t="s">
        <v>18</v>
      </c>
      <c r="H2535">
        <v>1</v>
      </c>
      <c r="I2535" t="s">
        <v>19</v>
      </c>
      <c r="J2535">
        <v>337</v>
      </c>
      <c r="K2535" t="s">
        <v>203</v>
      </c>
      <c r="L2535" s="13">
        <v>43564</v>
      </c>
      <c r="M2535" t="s">
        <v>1554</v>
      </c>
      <c r="N2535" t="s">
        <v>1542</v>
      </c>
      <c r="O2535">
        <v>0.01</v>
      </c>
      <c r="P2535" t="s">
        <v>1160</v>
      </c>
    </row>
    <row r="2536" spans="1:16" ht="15" customHeight="1" x14ac:dyDescent="0.4">
      <c r="A2536" t="s">
        <v>15</v>
      </c>
      <c r="B2536" t="s">
        <v>16</v>
      </c>
      <c r="C2536" s="13">
        <v>43466</v>
      </c>
      <c r="D2536" s="13">
        <v>43830</v>
      </c>
      <c r="E2536" t="s">
        <v>17</v>
      </c>
      <c r="F2536">
        <v>0</v>
      </c>
      <c r="G2536" t="s">
        <v>18</v>
      </c>
      <c r="H2536">
        <v>1</v>
      </c>
      <c r="I2536" t="s">
        <v>19</v>
      </c>
      <c r="J2536">
        <v>337</v>
      </c>
      <c r="K2536" t="s">
        <v>203</v>
      </c>
      <c r="L2536" s="13">
        <v>43585</v>
      </c>
      <c r="M2536" t="s">
        <v>1557</v>
      </c>
      <c r="N2536" t="s">
        <v>1462</v>
      </c>
      <c r="O2536">
        <v>11.27</v>
      </c>
      <c r="P2536" t="s">
        <v>34</v>
      </c>
    </row>
    <row r="2537" spans="1:16" ht="15" customHeight="1" x14ac:dyDescent="0.4">
      <c r="A2537" t="s">
        <v>15</v>
      </c>
      <c r="B2537" t="s">
        <v>16</v>
      </c>
      <c r="C2537" s="13">
        <v>43466</v>
      </c>
      <c r="D2537" s="13">
        <v>43830</v>
      </c>
      <c r="E2537" t="s">
        <v>17</v>
      </c>
      <c r="F2537">
        <v>0</v>
      </c>
      <c r="G2537" t="s">
        <v>18</v>
      </c>
      <c r="H2537">
        <v>1</v>
      </c>
      <c r="I2537" t="s">
        <v>19</v>
      </c>
      <c r="J2537">
        <v>337</v>
      </c>
      <c r="K2537" t="s">
        <v>203</v>
      </c>
      <c r="L2537" s="13">
        <v>43585</v>
      </c>
      <c r="M2537" t="s">
        <v>1556</v>
      </c>
      <c r="N2537" t="s">
        <v>1462</v>
      </c>
      <c r="O2537">
        <v>30.12</v>
      </c>
      <c r="P2537" t="s">
        <v>34</v>
      </c>
    </row>
    <row r="2538" spans="1:16" ht="15" customHeight="1" x14ac:dyDescent="0.4">
      <c r="A2538" t="s">
        <v>15</v>
      </c>
      <c r="B2538" t="s">
        <v>16</v>
      </c>
      <c r="C2538" s="13">
        <v>43466</v>
      </c>
      <c r="D2538" s="13">
        <v>43830</v>
      </c>
      <c r="E2538" t="s">
        <v>17</v>
      </c>
      <c r="F2538">
        <v>0</v>
      </c>
      <c r="G2538" t="s">
        <v>18</v>
      </c>
      <c r="H2538">
        <v>1</v>
      </c>
      <c r="I2538" t="s">
        <v>19</v>
      </c>
      <c r="J2538">
        <v>337</v>
      </c>
      <c r="K2538" t="s">
        <v>203</v>
      </c>
      <c r="L2538" s="13">
        <v>43594</v>
      </c>
      <c r="M2538" t="s">
        <v>1559</v>
      </c>
      <c r="N2538" t="s">
        <v>1547</v>
      </c>
      <c r="O2538">
        <v>-0.01</v>
      </c>
      <c r="P2538" t="s">
        <v>205</v>
      </c>
    </row>
    <row r="2539" spans="1:16" ht="15" customHeight="1" x14ac:dyDescent="0.4">
      <c r="A2539" t="s">
        <v>15</v>
      </c>
      <c r="B2539" t="s">
        <v>16</v>
      </c>
      <c r="C2539" s="13">
        <v>43466</v>
      </c>
      <c r="D2539" s="13">
        <v>43830</v>
      </c>
      <c r="E2539" t="s">
        <v>17</v>
      </c>
      <c r="F2539">
        <v>0</v>
      </c>
      <c r="G2539" t="s">
        <v>18</v>
      </c>
      <c r="H2539">
        <v>1</v>
      </c>
      <c r="I2539" t="s">
        <v>19</v>
      </c>
      <c r="J2539">
        <v>337</v>
      </c>
      <c r="K2539" t="s">
        <v>203</v>
      </c>
      <c r="L2539" s="13">
        <v>43594</v>
      </c>
      <c r="M2539" t="s">
        <v>1558</v>
      </c>
      <c r="N2539" t="s">
        <v>1542</v>
      </c>
      <c r="O2539">
        <v>0.01</v>
      </c>
      <c r="P2539" t="s">
        <v>1160</v>
      </c>
    </row>
    <row r="2540" spans="1:16" ht="15" customHeight="1" x14ac:dyDescent="0.4">
      <c r="A2540" t="s">
        <v>15</v>
      </c>
      <c r="B2540" t="s">
        <v>16</v>
      </c>
      <c r="C2540" s="13">
        <v>43466</v>
      </c>
      <c r="D2540" s="13">
        <v>43830</v>
      </c>
      <c r="E2540" t="s">
        <v>17</v>
      </c>
      <c r="F2540">
        <v>0</v>
      </c>
      <c r="G2540" t="s">
        <v>18</v>
      </c>
      <c r="H2540">
        <v>1</v>
      </c>
      <c r="I2540" t="s">
        <v>19</v>
      </c>
      <c r="J2540">
        <v>337</v>
      </c>
      <c r="K2540" t="s">
        <v>203</v>
      </c>
      <c r="L2540" s="13">
        <v>43613</v>
      </c>
      <c r="M2540" t="s">
        <v>1561</v>
      </c>
      <c r="N2540" t="s">
        <v>1464</v>
      </c>
      <c r="O2540">
        <v>30.12</v>
      </c>
      <c r="P2540" t="s">
        <v>34</v>
      </c>
    </row>
    <row r="2541" spans="1:16" ht="15" customHeight="1" x14ac:dyDescent="0.4">
      <c r="A2541" t="s">
        <v>15</v>
      </c>
      <c r="B2541" t="s">
        <v>16</v>
      </c>
      <c r="C2541" s="13">
        <v>43466</v>
      </c>
      <c r="D2541" s="13">
        <v>43830</v>
      </c>
      <c r="E2541" t="s">
        <v>17</v>
      </c>
      <c r="F2541">
        <v>0</v>
      </c>
      <c r="G2541" t="s">
        <v>18</v>
      </c>
      <c r="H2541">
        <v>1</v>
      </c>
      <c r="I2541" t="s">
        <v>19</v>
      </c>
      <c r="J2541">
        <v>337</v>
      </c>
      <c r="K2541" t="s">
        <v>203</v>
      </c>
      <c r="L2541" s="13">
        <v>43613</v>
      </c>
      <c r="M2541" t="s">
        <v>1560</v>
      </c>
      <c r="N2541" t="s">
        <v>1464</v>
      </c>
      <c r="O2541">
        <v>11.27</v>
      </c>
      <c r="P2541" t="s">
        <v>34</v>
      </c>
    </row>
    <row r="2542" spans="1:16" ht="15" customHeight="1" x14ac:dyDescent="0.4">
      <c r="A2542" t="s">
        <v>15</v>
      </c>
      <c r="B2542" t="s">
        <v>16</v>
      </c>
      <c r="C2542" s="13">
        <v>43466</v>
      </c>
      <c r="D2542" s="13">
        <v>43830</v>
      </c>
      <c r="E2542" t="s">
        <v>17</v>
      </c>
      <c r="F2542">
        <v>0</v>
      </c>
      <c r="G2542" t="s">
        <v>18</v>
      </c>
      <c r="H2542">
        <v>1</v>
      </c>
      <c r="I2542" t="s">
        <v>19</v>
      </c>
      <c r="J2542">
        <v>337</v>
      </c>
      <c r="K2542" t="s">
        <v>203</v>
      </c>
      <c r="L2542" s="13">
        <v>43623</v>
      </c>
      <c r="M2542" t="s">
        <v>1563</v>
      </c>
      <c r="N2542" t="s">
        <v>1542</v>
      </c>
      <c r="O2542">
        <v>0.01</v>
      </c>
      <c r="P2542" t="s">
        <v>1160</v>
      </c>
    </row>
    <row r="2543" spans="1:16" ht="15" customHeight="1" x14ac:dyDescent="0.4">
      <c r="A2543" t="s">
        <v>15</v>
      </c>
      <c r="B2543" t="s">
        <v>16</v>
      </c>
      <c r="C2543" s="13">
        <v>43466</v>
      </c>
      <c r="D2543" s="13">
        <v>43830</v>
      </c>
      <c r="E2543" t="s">
        <v>17</v>
      </c>
      <c r="F2543">
        <v>0</v>
      </c>
      <c r="G2543" t="s">
        <v>18</v>
      </c>
      <c r="H2543">
        <v>1</v>
      </c>
      <c r="I2543" t="s">
        <v>19</v>
      </c>
      <c r="J2543">
        <v>337</v>
      </c>
      <c r="K2543" t="s">
        <v>203</v>
      </c>
      <c r="L2543" s="13">
        <v>43623</v>
      </c>
      <c r="M2543" t="s">
        <v>1562</v>
      </c>
      <c r="N2543" t="s">
        <v>1547</v>
      </c>
      <c r="O2543">
        <v>-0.01</v>
      </c>
      <c r="P2543" t="s">
        <v>205</v>
      </c>
    </row>
    <row r="2544" spans="1:16" ht="15" customHeight="1" x14ac:dyDescent="0.4">
      <c r="A2544" t="s">
        <v>15</v>
      </c>
      <c r="B2544" t="s">
        <v>16</v>
      </c>
      <c r="C2544" s="13">
        <v>43466</v>
      </c>
      <c r="D2544" s="13">
        <v>43830</v>
      </c>
      <c r="E2544" t="s">
        <v>17</v>
      </c>
      <c r="F2544">
        <v>0</v>
      </c>
      <c r="G2544" t="s">
        <v>18</v>
      </c>
      <c r="H2544">
        <v>1</v>
      </c>
      <c r="I2544" t="s">
        <v>19</v>
      </c>
      <c r="J2544">
        <v>337</v>
      </c>
      <c r="K2544" t="s">
        <v>203</v>
      </c>
      <c r="L2544" s="13">
        <v>43643</v>
      </c>
      <c r="M2544" t="s">
        <v>1565</v>
      </c>
      <c r="N2544" t="s">
        <v>1466</v>
      </c>
      <c r="O2544">
        <v>30.12</v>
      </c>
      <c r="P2544" t="s">
        <v>34</v>
      </c>
    </row>
    <row r="2545" spans="1:16" ht="15" customHeight="1" x14ac:dyDescent="0.4">
      <c r="A2545" t="s">
        <v>15</v>
      </c>
      <c r="B2545" t="s">
        <v>16</v>
      </c>
      <c r="C2545" s="13">
        <v>43466</v>
      </c>
      <c r="D2545" s="13">
        <v>43830</v>
      </c>
      <c r="E2545" t="s">
        <v>17</v>
      </c>
      <c r="F2545">
        <v>0</v>
      </c>
      <c r="G2545" t="s">
        <v>18</v>
      </c>
      <c r="H2545">
        <v>1</v>
      </c>
      <c r="I2545" t="s">
        <v>19</v>
      </c>
      <c r="J2545">
        <v>337</v>
      </c>
      <c r="K2545" t="s">
        <v>203</v>
      </c>
      <c r="L2545" s="13">
        <v>43643</v>
      </c>
      <c r="M2545" t="s">
        <v>1564</v>
      </c>
      <c r="N2545" t="s">
        <v>1466</v>
      </c>
      <c r="O2545">
        <v>11.27</v>
      </c>
      <c r="P2545" t="s">
        <v>34</v>
      </c>
    </row>
    <row r="2546" spans="1:16" ht="15" customHeight="1" x14ac:dyDescent="0.4">
      <c r="A2546" t="s">
        <v>15</v>
      </c>
      <c r="B2546" t="s">
        <v>16</v>
      </c>
      <c r="C2546" s="13">
        <v>43466</v>
      </c>
      <c r="D2546" s="13">
        <v>43830</v>
      </c>
      <c r="E2546" t="s">
        <v>17</v>
      </c>
      <c r="F2546">
        <v>0</v>
      </c>
      <c r="G2546" t="s">
        <v>18</v>
      </c>
      <c r="H2546">
        <v>1</v>
      </c>
      <c r="I2546" t="s">
        <v>19</v>
      </c>
      <c r="J2546">
        <v>337</v>
      </c>
      <c r="K2546" t="s">
        <v>203</v>
      </c>
      <c r="L2546" s="13">
        <v>43650</v>
      </c>
      <c r="M2546" t="s">
        <v>1566</v>
      </c>
      <c r="N2546" t="s">
        <v>1159</v>
      </c>
      <c r="O2546">
        <v>0.01</v>
      </c>
      <c r="P2546" t="s">
        <v>1160</v>
      </c>
    </row>
    <row r="2547" spans="1:16" ht="15" customHeight="1" x14ac:dyDescent="0.4">
      <c r="A2547" t="s">
        <v>15</v>
      </c>
      <c r="B2547" t="s">
        <v>16</v>
      </c>
      <c r="C2547" s="13">
        <v>43466</v>
      </c>
      <c r="D2547" s="13">
        <v>43830</v>
      </c>
      <c r="E2547" t="s">
        <v>17</v>
      </c>
      <c r="F2547">
        <v>0</v>
      </c>
      <c r="G2547" t="s">
        <v>18</v>
      </c>
      <c r="H2547">
        <v>1</v>
      </c>
      <c r="I2547" t="s">
        <v>19</v>
      </c>
      <c r="J2547">
        <v>337</v>
      </c>
      <c r="K2547" t="s">
        <v>203</v>
      </c>
      <c r="L2547" s="13">
        <v>43650</v>
      </c>
      <c r="M2547" t="s">
        <v>1567</v>
      </c>
      <c r="N2547" t="s">
        <v>760</v>
      </c>
      <c r="O2547">
        <v>-0.01</v>
      </c>
      <c r="P2547" t="s">
        <v>205</v>
      </c>
    </row>
    <row r="2548" spans="1:16" ht="15" customHeight="1" x14ac:dyDescent="0.4">
      <c r="A2548" t="s">
        <v>15</v>
      </c>
      <c r="B2548" t="s">
        <v>16</v>
      </c>
      <c r="C2548" s="13">
        <v>43466</v>
      </c>
      <c r="D2548" s="13">
        <v>43830</v>
      </c>
      <c r="E2548" t="s">
        <v>17</v>
      </c>
      <c r="F2548">
        <v>0</v>
      </c>
      <c r="G2548" t="s">
        <v>18</v>
      </c>
      <c r="H2548">
        <v>1</v>
      </c>
      <c r="I2548" t="s">
        <v>19</v>
      </c>
      <c r="J2548">
        <v>337</v>
      </c>
      <c r="K2548" t="s">
        <v>203</v>
      </c>
      <c r="L2548" s="13">
        <v>43675</v>
      </c>
      <c r="M2548" t="s">
        <v>1569</v>
      </c>
      <c r="N2548" t="s">
        <v>1468</v>
      </c>
      <c r="O2548">
        <v>11.27</v>
      </c>
      <c r="P2548" t="s">
        <v>34</v>
      </c>
    </row>
    <row r="2549" spans="1:16" ht="15" customHeight="1" x14ac:dyDescent="0.4">
      <c r="A2549" t="s">
        <v>15</v>
      </c>
      <c r="B2549" t="s">
        <v>16</v>
      </c>
      <c r="C2549" s="13">
        <v>43466</v>
      </c>
      <c r="D2549" s="13">
        <v>43830</v>
      </c>
      <c r="E2549" t="s">
        <v>17</v>
      </c>
      <c r="F2549">
        <v>0</v>
      </c>
      <c r="G2549" t="s">
        <v>18</v>
      </c>
      <c r="H2549">
        <v>1</v>
      </c>
      <c r="I2549" t="s">
        <v>19</v>
      </c>
      <c r="J2549">
        <v>337</v>
      </c>
      <c r="K2549" t="s">
        <v>203</v>
      </c>
      <c r="L2549" s="13">
        <v>43675</v>
      </c>
      <c r="M2549" t="s">
        <v>1568</v>
      </c>
      <c r="N2549" t="s">
        <v>1468</v>
      </c>
      <c r="O2549">
        <v>30.12</v>
      </c>
      <c r="P2549" t="s">
        <v>34</v>
      </c>
    </row>
    <row r="2550" spans="1:16" ht="15" customHeight="1" x14ac:dyDescent="0.4">
      <c r="A2550" t="s">
        <v>15</v>
      </c>
      <c r="B2550" t="s">
        <v>16</v>
      </c>
      <c r="C2550" s="13">
        <v>43466</v>
      </c>
      <c r="D2550" s="13">
        <v>43830</v>
      </c>
      <c r="E2550" t="s">
        <v>17</v>
      </c>
      <c r="F2550">
        <v>0</v>
      </c>
      <c r="G2550" t="s">
        <v>18</v>
      </c>
      <c r="H2550">
        <v>1</v>
      </c>
      <c r="I2550" t="s">
        <v>19</v>
      </c>
      <c r="J2550">
        <v>337</v>
      </c>
      <c r="K2550" t="s">
        <v>203</v>
      </c>
      <c r="L2550" s="13">
        <v>43677</v>
      </c>
      <c r="M2550" t="s">
        <v>1570</v>
      </c>
      <c r="N2550" t="s">
        <v>760</v>
      </c>
      <c r="O2550">
        <v>-0.01</v>
      </c>
      <c r="P2550" t="s">
        <v>205</v>
      </c>
    </row>
    <row r="2551" spans="1:16" ht="15" customHeight="1" x14ac:dyDescent="0.4">
      <c r="A2551" t="s">
        <v>15</v>
      </c>
      <c r="B2551" t="s">
        <v>16</v>
      </c>
      <c r="C2551" s="13">
        <v>43466</v>
      </c>
      <c r="D2551" s="13">
        <v>43830</v>
      </c>
      <c r="E2551" t="s">
        <v>17</v>
      </c>
      <c r="F2551">
        <v>0</v>
      </c>
      <c r="G2551" t="s">
        <v>18</v>
      </c>
      <c r="H2551">
        <v>1</v>
      </c>
      <c r="I2551" t="s">
        <v>19</v>
      </c>
      <c r="J2551">
        <v>337</v>
      </c>
      <c r="K2551" t="s">
        <v>203</v>
      </c>
      <c r="L2551" s="13">
        <v>43677</v>
      </c>
      <c r="M2551" t="s">
        <v>1571</v>
      </c>
      <c r="N2551" t="s">
        <v>1159</v>
      </c>
      <c r="O2551">
        <v>0.01</v>
      </c>
      <c r="P2551" t="s">
        <v>1160</v>
      </c>
    </row>
    <row r="2552" spans="1:16" ht="15" customHeight="1" x14ac:dyDescent="0.4">
      <c r="A2552" t="s">
        <v>15</v>
      </c>
      <c r="B2552" t="s">
        <v>16</v>
      </c>
      <c r="C2552" s="13">
        <v>43466</v>
      </c>
      <c r="D2552" s="13">
        <v>43830</v>
      </c>
      <c r="E2552" t="s">
        <v>17</v>
      </c>
      <c r="F2552">
        <v>0</v>
      </c>
      <c r="G2552" t="s">
        <v>18</v>
      </c>
      <c r="H2552">
        <v>1</v>
      </c>
      <c r="I2552" t="s">
        <v>19</v>
      </c>
      <c r="J2552">
        <v>337</v>
      </c>
      <c r="K2552" t="s">
        <v>203</v>
      </c>
      <c r="L2552" s="13">
        <v>43707</v>
      </c>
      <c r="M2552" t="s">
        <v>1572</v>
      </c>
      <c r="N2552" t="s">
        <v>1470</v>
      </c>
      <c r="O2552">
        <v>30.12</v>
      </c>
      <c r="P2552" t="s">
        <v>34</v>
      </c>
    </row>
    <row r="2553" spans="1:16" ht="15" customHeight="1" x14ac:dyDescent="0.4">
      <c r="A2553" t="s">
        <v>15</v>
      </c>
      <c r="B2553" t="s">
        <v>16</v>
      </c>
      <c r="C2553" s="13">
        <v>43466</v>
      </c>
      <c r="D2553" s="13">
        <v>43830</v>
      </c>
      <c r="E2553" t="s">
        <v>17</v>
      </c>
      <c r="F2553">
        <v>0</v>
      </c>
      <c r="G2553" t="s">
        <v>18</v>
      </c>
      <c r="H2553">
        <v>1</v>
      </c>
      <c r="I2553" t="s">
        <v>19</v>
      </c>
      <c r="J2553">
        <v>337</v>
      </c>
      <c r="K2553" t="s">
        <v>203</v>
      </c>
      <c r="L2553" s="13">
        <v>43707</v>
      </c>
      <c r="M2553" t="s">
        <v>1573</v>
      </c>
      <c r="N2553" t="s">
        <v>1470</v>
      </c>
      <c r="O2553">
        <v>11.27</v>
      </c>
      <c r="P2553" t="s">
        <v>34</v>
      </c>
    </row>
    <row r="2554" spans="1:16" ht="15" customHeight="1" x14ac:dyDescent="0.4">
      <c r="A2554" t="s">
        <v>15</v>
      </c>
      <c r="B2554" t="s">
        <v>16</v>
      </c>
      <c r="C2554" s="13">
        <v>43466</v>
      </c>
      <c r="D2554" s="13">
        <v>43830</v>
      </c>
      <c r="E2554" t="s">
        <v>17</v>
      </c>
      <c r="F2554">
        <v>0</v>
      </c>
      <c r="G2554" t="s">
        <v>18</v>
      </c>
      <c r="H2554">
        <v>1</v>
      </c>
      <c r="I2554" t="s">
        <v>19</v>
      </c>
      <c r="J2554">
        <v>337</v>
      </c>
      <c r="K2554" t="s">
        <v>203</v>
      </c>
      <c r="L2554" s="13">
        <v>43713</v>
      </c>
      <c r="M2554" t="s">
        <v>1575</v>
      </c>
      <c r="N2554" t="s">
        <v>1159</v>
      </c>
      <c r="O2554">
        <v>0.01</v>
      </c>
      <c r="P2554" t="s">
        <v>1160</v>
      </c>
    </row>
    <row r="2555" spans="1:16" ht="15" customHeight="1" x14ac:dyDescent="0.4">
      <c r="A2555" t="s">
        <v>15</v>
      </c>
      <c r="B2555" t="s">
        <v>16</v>
      </c>
      <c r="C2555" s="13">
        <v>43466</v>
      </c>
      <c r="D2555" s="13">
        <v>43830</v>
      </c>
      <c r="E2555" t="s">
        <v>17</v>
      </c>
      <c r="F2555">
        <v>0</v>
      </c>
      <c r="G2555" t="s">
        <v>18</v>
      </c>
      <c r="H2555">
        <v>1</v>
      </c>
      <c r="I2555" t="s">
        <v>19</v>
      </c>
      <c r="J2555">
        <v>337</v>
      </c>
      <c r="K2555" t="s">
        <v>203</v>
      </c>
      <c r="L2555" s="13">
        <v>43713</v>
      </c>
      <c r="M2555" t="s">
        <v>1574</v>
      </c>
      <c r="N2555" t="s">
        <v>760</v>
      </c>
      <c r="O2555">
        <v>-0.01</v>
      </c>
      <c r="P2555" t="s">
        <v>205</v>
      </c>
    </row>
    <row r="2556" spans="1:16" ht="15" customHeight="1" x14ac:dyDescent="0.4">
      <c r="A2556" t="s">
        <v>15</v>
      </c>
      <c r="B2556" t="s">
        <v>16</v>
      </c>
      <c r="C2556" s="13">
        <v>43466</v>
      </c>
      <c r="D2556" s="13">
        <v>43830</v>
      </c>
      <c r="E2556" t="s">
        <v>17</v>
      </c>
      <c r="F2556">
        <v>0</v>
      </c>
      <c r="G2556" t="s">
        <v>18</v>
      </c>
      <c r="H2556">
        <v>1</v>
      </c>
      <c r="I2556" t="s">
        <v>19</v>
      </c>
      <c r="J2556">
        <v>337</v>
      </c>
      <c r="K2556" t="s">
        <v>203</v>
      </c>
      <c r="L2556" s="13">
        <v>43735</v>
      </c>
      <c r="M2556" t="s">
        <v>1577</v>
      </c>
      <c r="N2556" t="s">
        <v>1472</v>
      </c>
      <c r="O2556">
        <v>30.12</v>
      </c>
      <c r="P2556" t="s">
        <v>34</v>
      </c>
    </row>
    <row r="2557" spans="1:16" ht="15" customHeight="1" x14ac:dyDescent="0.4">
      <c r="A2557" t="s">
        <v>15</v>
      </c>
      <c r="B2557" t="s">
        <v>16</v>
      </c>
      <c r="C2557" s="13">
        <v>43466</v>
      </c>
      <c r="D2557" s="13">
        <v>43830</v>
      </c>
      <c r="E2557" t="s">
        <v>17</v>
      </c>
      <c r="F2557">
        <v>0</v>
      </c>
      <c r="G2557" t="s">
        <v>18</v>
      </c>
      <c r="H2557">
        <v>1</v>
      </c>
      <c r="I2557" t="s">
        <v>19</v>
      </c>
      <c r="J2557">
        <v>337</v>
      </c>
      <c r="K2557" t="s">
        <v>203</v>
      </c>
      <c r="L2557" s="13">
        <v>43735</v>
      </c>
      <c r="M2557" t="s">
        <v>1576</v>
      </c>
      <c r="N2557" t="s">
        <v>1472</v>
      </c>
      <c r="O2557">
        <v>11.43</v>
      </c>
      <c r="P2557" t="s">
        <v>34</v>
      </c>
    </row>
    <row r="2558" spans="1:16" ht="15" customHeight="1" x14ac:dyDescent="0.4">
      <c r="A2558" t="s">
        <v>15</v>
      </c>
      <c r="B2558" t="s">
        <v>16</v>
      </c>
      <c r="C2558" s="13">
        <v>43466</v>
      </c>
      <c r="D2558" s="13">
        <v>43830</v>
      </c>
      <c r="E2558" t="s">
        <v>17</v>
      </c>
      <c r="F2558">
        <v>0</v>
      </c>
      <c r="G2558" t="s">
        <v>18</v>
      </c>
      <c r="H2558">
        <v>1</v>
      </c>
      <c r="I2558" t="s">
        <v>19</v>
      </c>
      <c r="J2558">
        <v>337</v>
      </c>
      <c r="K2558" t="s">
        <v>203</v>
      </c>
      <c r="L2558" s="13">
        <v>43742</v>
      </c>
      <c r="M2558" t="s">
        <v>1578</v>
      </c>
      <c r="N2558" t="s">
        <v>1159</v>
      </c>
      <c r="O2558">
        <v>0.01</v>
      </c>
      <c r="P2558" t="s">
        <v>1160</v>
      </c>
    </row>
    <row r="2559" spans="1:16" ht="15" customHeight="1" x14ac:dyDescent="0.4">
      <c r="A2559" t="s">
        <v>15</v>
      </c>
      <c r="B2559" t="s">
        <v>16</v>
      </c>
      <c r="C2559" s="13">
        <v>43466</v>
      </c>
      <c r="D2559" s="13">
        <v>43830</v>
      </c>
      <c r="E2559" t="s">
        <v>17</v>
      </c>
      <c r="F2559">
        <v>0</v>
      </c>
      <c r="G2559" t="s">
        <v>18</v>
      </c>
      <c r="H2559">
        <v>1</v>
      </c>
      <c r="I2559" t="s">
        <v>19</v>
      </c>
      <c r="J2559">
        <v>337</v>
      </c>
      <c r="K2559" t="s">
        <v>203</v>
      </c>
      <c r="L2559" s="13">
        <v>43742</v>
      </c>
      <c r="M2559" t="s">
        <v>1579</v>
      </c>
      <c r="N2559" t="s">
        <v>760</v>
      </c>
      <c r="O2559">
        <v>0.01</v>
      </c>
      <c r="P2559" t="s">
        <v>205</v>
      </c>
    </row>
    <row r="2560" spans="1:16" ht="15" customHeight="1" x14ac:dyDescent="0.4">
      <c r="A2560" t="s">
        <v>15</v>
      </c>
      <c r="B2560" t="s">
        <v>16</v>
      </c>
      <c r="C2560" s="13">
        <v>43466</v>
      </c>
      <c r="D2560" s="13">
        <v>43830</v>
      </c>
      <c r="E2560" t="s">
        <v>17</v>
      </c>
      <c r="F2560">
        <v>0</v>
      </c>
      <c r="G2560" t="s">
        <v>18</v>
      </c>
      <c r="H2560">
        <v>1</v>
      </c>
      <c r="I2560" t="s">
        <v>19</v>
      </c>
      <c r="J2560">
        <v>337</v>
      </c>
      <c r="K2560" t="s">
        <v>203</v>
      </c>
      <c r="L2560" s="13">
        <v>43766</v>
      </c>
      <c r="M2560" t="s">
        <v>1580</v>
      </c>
      <c r="N2560" t="s">
        <v>1474</v>
      </c>
      <c r="O2560">
        <v>12.88</v>
      </c>
      <c r="P2560" t="s">
        <v>34</v>
      </c>
    </row>
    <row r="2561" spans="1:16" ht="15" customHeight="1" x14ac:dyDescent="0.4">
      <c r="A2561" t="s">
        <v>15</v>
      </c>
      <c r="B2561" t="s">
        <v>16</v>
      </c>
      <c r="C2561" s="13">
        <v>43466</v>
      </c>
      <c r="D2561" s="13">
        <v>43830</v>
      </c>
      <c r="E2561" t="s">
        <v>17</v>
      </c>
      <c r="F2561">
        <v>0</v>
      </c>
      <c r="G2561" t="s">
        <v>18</v>
      </c>
      <c r="H2561">
        <v>1</v>
      </c>
      <c r="I2561" t="s">
        <v>19</v>
      </c>
      <c r="J2561">
        <v>337</v>
      </c>
      <c r="K2561" t="s">
        <v>203</v>
      </c>
      <c r="L2561" s="13">
        <v>43766</v>
      </c>
      <c r="M2561" t="s">
        <v>1581</v>
      </c>
      <c r="N2561" t="s">
        <v>1474</v>
      </c>
      <c r="O2561">
        <v>30.12</v>
      </c>
      <c r="P2561" t="s">
        <v>34</v>
      </c>
    </row>
    <row r="2562" spans="1:16" ht="15" customHeight="1" x14ac:dyDescent="0.4">
      <c r="A2562" t="s">
        <v>15</v>
      </c>
      <c r="B2562" t="s">
        <v>16</v>
      </c>
      <c r="C2562" s="13">
        <v>43466</v>
      </c>
      <c r="D2562" s="13">
        <v>43830</v>
      </c>
      <c r="E2562" t="s">
        <v>17</v>
      </c>
      <c r="F2562">
        <v>0</v>
      </c>
      <c r="G2562" t="s">
        <v>18</v>
      </c>
      <c r="H2562">
        <v>1</v>
      </c>
      <c r="I2562" t="s">
        <v>19</v>
      </c>
      <c r="J2562">
        <v>337</v>
      </c>
      <c r="K2562" t="s">
        <v>203</v>
      </c>
      <c r="L2562" s="13">
        <v>43777</v>
      </c>
      <c r="M2562" t="s">
        <v>1582</v>
      </c>
      <c r="N2562" t="s">
        <v>1159</v>
      </c>
      <c r="O2562">
        <v>0.01</v>
      </c>
      <c r="P2562" t="s">
        <v>1160</v>
      </c>
    </row>
    <row r="2563" spans="1:16" ht="15" customHeight="1" x14ac:dyDescent="0.4">
      <c r="A2563" t="s">
        <v>15</v>
      </c>
      <c r="B2563" t="s">
        <v>16</v>
      </c>
      <c r="C2563" s="13">
        <v>43466</v>
      </c>
      <c r="D2563" s="13">
        <v>43830</v>
      </c>
      <c r="E2563" t="s">
        <v>17</v>
      </c>
      <c r="F2563">
        <v>0</v>
      </c>
      <c r="G2563" t="s">
        <v>18</v>
      </c>
      <c r="H2563">
        <v>1</v>
      </c>
      <c r="I2563" t="s">
        <v>19</v>
      </c>
      <c r="J2563">
        <v>337</v>
      </c>
      <c r="K2563" t="s">
        <v>203</v>
      </c>
      <c r="L2563" s="13">
        <v>43777</v>
      </c>
      <c r="M2563" t="s">
        <v>1583</v>
      </c>
      <c r="N2563" t="s">
        <v>760</v>
      </c>
      <c r="O2563">
        <v>-0.01</v>
      </c>
      <c r="P2563" t="s">
        <v>205</v>
      </c>
    </row>
    <row r="2564" spans="1:16" ht="15" customHeight="1" x14ac:dyDescent="0.4">
      <c r="A2564" t="s">
        <v>15</v>
      </c>
      <c r="B2564" t="s">
        <v>16</v>
      </c>
      <c r="C2564" s="13">
        <v>43466</v>
      </c>
      <c r="D2564" s="13">
        <v>43830</v>
      </c>
      <c r="E2564" t="s">
        <v>17</v>
      </c>
      <c r="F2564">
        <v>0</v>
      </c>
      <c r="G2564" t="s">
        <v>18</v>
      </c>
      <c r="H2564">
        <v>1</v>
      </c>
      <c r="I2564" t="s">
        <v>19</v>
      </c>
      <c r="J2564">
        <v>337</v>
      </c>
      <c r="K2564" t="s">
        <v>203</v>
      </c>
      <c r="L2564" s="13">
        <v>43797</v>
      </c>
      <c r="M2564" t="s">
        <v>1585</v>
      </c>
      <c r="N2564" t="s">
        <v>1476</v>
      </c>
      <c r="O2564">
        <v>30.12</v>
      </c>
      <c r="P2564" t="s">
        <v>34</v>
      </c>
    </row>
    <row r="2565" spans="1:16" ht="15" customHeight="1" x14ac:dyDescent="0.4">
      <c r="A2565" t="s">
        <v>15</v>
      </c>
      <c r="B2565" t="s">
        <v>16</v>
      </c>
      <c r="C2565" s="13">
        <v>43466</v>
      </c>
      <c r="D2565" s="13">
        <v>43830</v>
      </c>
      <c r="E2565" t="s">
        <v>17</v>
      </c>
      <c r="F2565">
        <v>0</v>
      </c>
      <c r="G2565" t="s">
        <v>18</v>
      </c>
      <c r="H2565">
        <v>1</v>
      </c>
      <c r="I2565" t="s">
        <v>19</v>
      </c>
      <c r="J2565">
        <v>337</v>
      </c>
      <c r="K2565" t="s">
        <v>203</v>
      </c>
      <c r="L2565" s="13">
        <v>43797</v>
      </c>
      <c r="M2565" t="s">
        <v>1584</v>
      </c>
      <c r="N2565" t="s">
        <v>1476</v>
      </c>
      <c r="O2565">
        <v>11.46</v>
      </c>
      <c r="P2565" t="s">
        <v>34</v>
      </c>
    </row>
    <row r="2566" spans="1:16" ht="15" customHeight="1" x14ac:dyDescent="0.4">
      <c r="A2566" t="s">
        <v>15</v>
      </c>
      <c r="B2566" t="s">
        <v>16</v>
      </c>
      <c r="C2566" s="13">
        <v>43466</v>
      </c>
      <c r="D2566" s="13">
        <v>43830</v>
      </c>
      <c r="E2566" t="s">
        <v>17</v>
      </c>
      <c r="F2566">
        <v>0</v>
      </c>
      <c r="G2566" t="s">
        <v>18</v>
      </c>
      <c r="H2566">
        <v>1</v>
      </c>
      <c r="I2566" t="s">
        <v>19</v>
      </c>
      <c r="J2566">
        <v>337</v>
      </c>
      <c r="K2566" t="s">
        <v>203</v>
      </c>
      <c r="L2566" s="13">
        <v>43803</v>
      </c>
      <c r="M2566" t="s">
        <v>1586</v>
      </c>
      <c r="N2566" t="s">
        <v>1159</v>
      </c>
      <c r="O2566">
        <v>0.01</v>
      </c>
      <c r="P2566" t="s">
        <v>1160</v>
      </c>
    </row>
    <row r="2567" spans="1:16" ht="15" customHeight="1" x14ac:dyDescent="0.4">
      <c r="A2567" t="s">
        <v>15</v>
      </c>
      <c r="B2567" t="s">
        <v>16</v>
      </c>
      <c r="C2567" s="13">
        <v>43466</v>
      </c>
      <c r="D2567" s="13">
        <v>43830</v>
      </c>
      <c r="E2567" t="s">
        <v>17</v>
      </c>
      <c r="F2567">
        <v>0</v>
      </c>
      <c r="G2567" t="s">
        <v>18</v>
      </c>
      <c r="H2567">
        <v>1</v>
      </c>
      <c r="I2567" t="s">
        <v>19</v>
      </c>
      <c r="J2567">
        <v>337</v>
      </c>
      <c r="K2567" t="s">
        <v>203</v>
      </c>
      <c r="L2567" s="13">
        <v>43823</v>
      </c>
      <c r="M2567" t="s">
        <v>1588</v>
      </c>
      <c r="N2567" t="s">
        <v>1478</v>
      </c>
      <c r="O2567">
        <v>30.12</v>
      </c>
      <c r="P2567" t="s">
        <v>34</v>
      </c>
    </row>
    <row r="2568" spans="1:16" ht="15" customHeight="1" x14ac:dyDescent="0.4">
      <c r="A2568" t="s">
        <v>15</v>
      </c>
      <c r="B2568" t="s">
        <v>16</v>
      </c>
      <c r="C2568" s="13">
        <v>43466</v>
      </c>
      <c r="D2568" s="13">
        <v>43830</v>
      </c>
      <c r="E2568" t="s">
        <v>17</v>
      </c>
      <c r="F2568">
        <v>0</v>
      </c>
      <c r="G2568" t="s">
        <v>18</v>
      </c>
      <c r="H2568">
        <v>1</v>
      </c>
      <c r="I2568" t="s">
        <v>19</v>
      </c>
      <c r="J2568">
        <v>337</v>
      </c>
      <c r="K2568" t="s">
        <v>203</v>
      </c>
      <c r="L2568" s="13">
        <v>43823</v>
      </c>
      <c r="M2568" t="s">
        <v>1587</v>
      </c>
      <c r="N2568" t="s">
        <v>1478</v>
      </c>
      <c r="O2568">
        <v>22.17</v>
      </c>
      <c r="P2568" t="s">
        <v>34</v>
      </c>
    </row>
    <row r="2569" spans="1:16" ht="15" customHeight="1" x14ac:dyDescent="0.4">
      <c r="A2569" t="s">
        <v>15</v>
      </c>
      <c r="B2569" t="s">
        <v>16</v>
      </c>
      <c r="C2569" s="13">
        <v>43466</v>
      </c>
      <c r="D2569" s="13">
        <v>43830</v>
      </c>
      <c r="E2569" t="s">
        <v>17</v>
      </c>
      <c r="F2569">
        <v>0</v>
      </c>
      <c r="G2569" t="s">
        <v>18</v>
      </c>
      <c r="H2569">
        <v>1</v>
      </c>
      <c r="I2569" t="s">
        <v>19</v>
      </c>
      <c r="J2569">
        <v>349</v>
      </c>
      <c r="K2569" t="s">
        <v>236</v>
      </c>
      <c r="L2569" s="13">
        <v>43487</v>
      </c>
      <c r="M2569" t="s">
        <v>1589</v>
      </c>
      <c r="N2569" t="s">
        <v>1590</v>
      </c>
      <c r="O2569">
        <v>42.67</v>
      </c>
      <c r="P2569" t="s">
        <v>239</v>
      </c>
    </row>
    <row r="2570" spans="1:16" ht="15" customHeight="1" x14ac:dyDescent="0.4">
      <c r="A2570" t="s">
        <v>15</v>
      </c>
      <c r="B2570" t="s">
        <v>16</v>
      </c>
      <c r="C2570" s="13">
        <v>43466</v>
      </c>
      <c r="D2570" s="13">
        <v>43830</v>
      </c>
      <c r="E2570" t="s">
        <v>17</v>
      </c>
      <c r="F2570">
        <v>0</v>
      </c>
      <c r="G2570" t="s">
        <v>18</v>
      </c>
      <c r="H2570">
        <v>1</v>
      </c>
      <c r="I2570" t="s">
        <v>19</v>
      </c>
      <c r="J2570">
        <v>349</v>
      </c>
      <c r="K2570" t="s">
        <v>236</v>
      </c>
      <c r="L2570" s="13">
        <v>43546</v>
      </c>
      <c r="M2570" t="s">
        <v>1589</v>
      </c>
      <c r="N2570" t="s">
        <v>1591</v>
      </c>
      <c r="O2570">
        <v>16.84</v>
      </c>
      <c r="P2570" t="s">
        <v>239</v>
      </c>
    </row>
    <row r="2571" spans="1:16" ht="15" customHeight="1" x14ac:dyDescent="0.4">
      <c r="A2571" t="s">
        <v>15</v>
      </c>
      <c r="B2571" t="s">
        <v>16</v>
      </c>
      <c r="C2571" s="13">
        <v>43466</v>
      </c>
      <c r="D2571" s="13">
        <v>43830</v>
      </c>
      <c r="E2571" t="s">
        <v>17</v>
      </c>
      <c r="F2571">
        <v>0</v>
      </c>
      <c r="G2571" t="s">
        <v>18</v>
      </c>
      <c r="H2571">
        <v>1</v>
      </c>
      <c r="I2571" t="s">
        <v>19</v>
      </c>
      <c r="J2571">
        <v>349</v>
      </c>
      <c r="K2571" t="s">
        <v>236</v>
      </c>
      <c r="L2571" s="13">
        <v>43612</v>
      </c>
      <c r="M2571" t="s">
        <v>1589</v>
      </c>
      <c r="N2571" t="s">
        <v>1592</v>
      </c>
      <c r="O2571">
        <v>16.13</v>
      </c>
      <c r="P2571" t="s">
        <v>239</v>
      </c>
    </row>
    <row r="2572" spans="1:16" ht="15" customHeight="1" x14ac:dyDescent="0.4">
      <c r="A2572" t="s">
        <v>15</v>
      </c>
      <c r="B2572" t="s">
        <v>16</v>
      </c>
      <c r="C2572" s="13">
        <v>43466</v>
      </c>
      <c r="D2572" s="13">
        <v>43830</v>
      </c>
      <c r="E2572" t="s">
        <v>17</v>
      </c>
      <c r="F2572">
        <v>0</v>
      </c>
      <c r="G2572" t="s">
        <v>18</v>
      </c>
      <c r="H2572">
        <v>1</v>
      </c>
      <c r="I2572" t="s">
        <v>19</v>
      </c>
      <c r="J2572">
        <v>349</v>
      </c>
      <c r="K2572" t="s">
        <v>236</v>
      </c>
      <c r="L2572" s="13">
        <v>43668</v>
      </c>
      <c r="M2572" t="s">
        <v>1589</v>
      </c>
      <c r="N2572" t="s">
        <v>1593</v>
      </c>
      <c r="O2572">
        <v>16.46</v>
      </c>
      <c r="P2572" t="s">
        <v>239</v>
      </c>
    </row>
    <row r="2573" spans="1:16" ht="15" customHeight="1" x14ac:dyDescent="0.4">
      <c r="A2573" t="s">
        <v>15</v>
      </c>
      <c r="B2573" t="s">
        <v>16</v>
      </c>
      <c r="C2573" s="13">
        <v>43466</v>
      </c>
      <c r="D2573" s="13">
        <v>43830</v>
      </c>
      <c r="E2573" t="s">
        <v>17</v>
      </c>
      <c r="F2573">
        <v>0</v>
      </c>
      <c r="G2573" t="s">
        <v>18</v>
      </c>
      <c r="H2573">
        <v>1</v>
      </c>
      <c r="I2573" t="s">
        <v>19</v>
      </c>
      <c r="J2573">
        <v>349</v>
      </c>
      <c r="K2573" t="s">
        <v>236</v>
      </c>
      <c r="L2573" s="13">
        <v>43730</v>
      </c>
      <c r="M2573" t="s">
        <v>1589</v>
      </c>
      <c r="N2573" t="s">
        <v>1594</v>
      </c>
      <c r="O2573">
        <v>17.579999999999998</v>
      </c>
      <c r="P2573" t="s">
        <v>239</v>
      </c>
    </row>
    <row r="2574" spans="1:16" ht="15" customHeight="1" x14ac:dyDescent="0.4">
      <c r="A2574" t="s">
        <v>15</v>
      </c>
      <c r="B2574" t="s">
        <v>16</v>
      </c>
      <c r="C2574" s="13">
        <v>43466</v>
      </c>
      <c r="D2574" s="13">
        <v>43830</v>
      </c>
      <c r="E2574" t="s">
        <v>17</v>
      </c>
      <c r="F2574">
        <v>0</v>
      </c>
      <c r="G2574" t="s">
        <v>18</v>
      </c>
      <c r="H2574">
        <v>1</v>
      </c>
      <c r="I2574" t="s">
        <v>19</v>
      </c>
      <c r="J2574">
        <v>349</v>
      </c>
      <c r="K2574" t="s">
        <v>236</v>
      </c>
      <c r="L2574" s="13">
        <v>43793</v>
      </c>
      <c r="M2574" t="s">
        <v>1589</v>
      </c>
      <c r="N2574" t="s">
        <v>1595</v>
      </c>
      <c r="O2574">
        <v>16.8</v>
      </c>
      <c r="P2574" t="s">
        <v>239</v>
      </c>
    </row>
    <row r="2575" spans="1:16" ht="15" customHeight="1" x14ac:dyDescent="0.4">
      <c r="A2575" t="s">
        <v>15</v>
      </c>
      <c r="B2575" t="s">
        <v>16</v>
      </c>
      <c r="C2575" s="13">
        <v>43466</v>
      </c>
      <c r="D2575" s="13">
        <v>43830</v>
      </c>
      <c r="E2575" t="s">
        <v>17</v>
      </c>
      <c r="F2575">
        <v>0</v>
      </c>
      <c r="G2575" t="s">
        <v>18</v>
      </c>
      <c r="H2575">
        <v>1</v>
      </c>
      <c r="I2575" t="s">
        <v>19</v>
      </c>
      <c r="J2575">
        <v>355</v>
      </c>
      <c r="K2575" t="s">
        <v>1596</v>
      </c>
      <c r="L2575" s="13">
        <v>43553</v>
      </c>
      <c r="M2575" t="s">
        <v>251</v>
      </c>
      <c r="N2575" t="s">
        <v>46</v>
      </c>
      <c r="O2575">
        <v>24.48</v>
      </c>
      <c r="P2575" t="s">
        <v>46</v>
      </c>
    </row>
    <row r="2576" spans="1:16" ht="15" customHeight="1" x14ac:dyDescent="0.4">
      <c r="A2576" t="s">
        <v>15</v>
      </c>
      <c r="B2576" t="s">
        <v>16</v>
      </c>
      <c r="C2576" s="13">
        <v>43466</v>
      </c>
      <c r="D2576" s="13">
        <v>43830</v>
      </c>
      <c r="E2576" t="s">
        <v>17</v>
      </c>
      <c r="F2576">
        <v>0</v>
      </c>
      <c r="G2576" t="s">
        <v>18</v>
      </c>
      <c r="H2576">
        <v>1</v>
      </c>
      <c r="I2576" t="s">
        <v>19</v>
      </c>
      <c r="J2576">
        <v>355</v>
      </c>
      <c r="K2576" t="s">
        <v>1596</v>
      </c>
      <c r="L2576" s="13">
        <v>43644</v>
      </c>
      <c r="M2576" t="s">
        <v>1597</v>
      </c>
      <c r="N2576" t="s">
        <v>1598</v>
      </c>
      <c r="O2576">
        <v>24.48</v>
      </c>
      <c r="P2576" t="s">
        <v>46</v>
      </c>
    </row>
    <row r="2577" spans="1:16" ht="15" customHeight="1" x14ac:dyDescent="0.4">
      <c r="A2577" t="s">
        <v>15</v>
      </c>
      <c r="B2577" t="s">
        <v>16</v>
      </c>
      <c r="C2577" s="13">
        <v>43466</v>
      </c>
      <c r="D2577" s="13">
        <v>43830</v>
      </c>
      <c r="E2577" t="s">
        <v>17</v>
      </c>
      <c r="F2577">
        <v>0</v>
      </c>
      <c r="G2577" t="s">
        <v>18</v>
      </c>
      <c r="H2577">
        <v>1</v>
      </c>
      <c r="I2577" t="s">
        <v>19</v>
      </c>
      <c r="J2577">
        <v>355</v>
      </c>
      <c r="K2577" t="s">
        <v>1596</v>
      </c>
      <c r="L2577" s="13">
        <v>43738</v>
      </c>
      <c r="M2577" t="s">
        <v>251</v>
      </c>
      <c r="N2577" t="s">
        <v>46</v>
      </c>
      <c r="O2577">
        <v>24.48</v>
      </c>
      <c r="P2577" t="s">
        <v>46</v>
      </c>
    </row>
    <row r="2578" spans="1:16" ht="15" customHeight="1" x14ac:dyDescent="0.4">
      <c r="A2578" t="s">
        <v>15</v>
      </c>
      <c r="B2578" t="s">
        <v>16</v>
      </c>
      <c r="C2578" s="13">
        <v>43466</v>
      </c>
      <c r="D2578" s="13">
        <v>43830</v>
      </c>
      <c r="E2578" t="s">
        <v>17</v>
      </c>
      <c r="F2578">
        <v>0</v>
      </c>
      <c r="G2578" t="s">
        <v>18</v>
      </c>
      <c r="H2578">
        <v>1</v>
      </c>
      <c r="I2578" t="s">
        <v>19</v>
      </c>
      <c r="J2578">
        <v>355</v>
      </c>
      <c r="K2578" t="s">
        <v>1596</v>
      </c>
      <c r="L2578" s="13">
        <v>43830</v>
      </c>
      <c r="M2578" t="s">
        <v>251</v>
      </c>
      <c r="N2578" t="s">
        <v>46</v>
      </c>
      <c r="O2578">
        <v>24.48</v>
      </c>
      <c r="P2578" t="s">
        <v>46</v>
      </c>
    </row>
    <row r="2579" spans="1:16" ht="15" customHeight="1" x14ac:dyDescent="0.4">
      <c r="A2579" t="s">
        <v>15</v>
      </c>
      <c r="B2579" t="s">
        <v>16</v>
      </c>
      <c r="C2579" s="13">
        <v>43466</v>
      </c>
      <c r="D2579" s="13">
        <v>43830</v>
      </c>
      <c r="E2579" t="s">
        <v>17</v>
      </c>
      <c r="F2579">
        <v>0</v>
      </c>
      <c r="G2579" t="s">
        <v>18</v>
      </c>
      <c r="H2579">
        <v>1</v>
      </c>
      <c r="I2579" t="s">
        <v>19</v>
      </c>
      <c r="J2579">
        <v>382</v>
      </c>
      <c r="K2579" t="s">
        <v>253</v>
      </c>
      <c r="L2579" s="13">
        <v>43812</v>
      </c>
      <c r="M2579" t="s">
        <v>1194</v>
      </c>
      <c r="N2579" t="s">
        <v>1599</v>
      </c>
      <c r="O2579">
        <v>960</v>
      </c>
      <c r="P2579" t="s">
        <v>256</v>
      </c>
    </row>
    <row r="2580" spans="1:16" ht="15" customHeight="1" x14ac:dyDescent="0.4">
      <c r="A2580" t="s">
        <v>15</v>
      </c>
      <c r="B2580" t="s">
        <v>16</v>
      </c>
      <c r="C2580" s="13">
        <v>43466</v>
      </c>
      <c r="D2580" s="13">
        <v>43830</v>
      </c>
      <c r="E2580" t="s">
        <v>17</v>
      </c>
      <c r="F2580">
        <v>0</v>
      </c>
      <c r="G2580" t="s">
        <v>18</v>
      </c>
      <c r="H2580">
        <v>1</v>
      </c>
      <c r="I2580" t="s">
        <v>19</v>
      </c>
      <c r="J2580">
        <v>409</v>
      </c>
      <c r="K2580" t="s">
        <v>1600</v>
      </c>
      <c r="L2580" s="13">
        <v>43668</v>
      </c>
      <c r="M2580" t="s">
        <v>1601</v>
      </c>
      <c r="N2580" t="s">
        <v>1602</v>
      </c>
      <c r="O2580">
        <v>252</v>
      </c>
      <c r="P2580" t="s">
        <v>808</v>
      </c>
    </row>
    <row r="2581" spans="1:16" ht="15" customHeight="1" x14ac:dyDescent="0.4">
      <c r="A2581" t="s">
        <v>15</v>
      </c>
      <c r="B2581" t="s">
        <v>16</v>
      </c>
      <c r="C2581" s="13">
        <v>43466</v>
      </c>
      <c r="D2581" s="13">
        <v>43830</v>
      </c>
      <c r="E2581" t="s">
        <v>17</v>
      </c>
      <c r="F2581">
        <v>0</v>
      </c>
      <c r="G2581" t="s">
        <v>18</v>
      </c>
      <c r="H2581">
        <v>1</v>
      </c>
      <c r="I2581" t="s">
        <v>19</v>
      </c>
      <c r="J2581">
        <v>441</v>
      </c>
      <c r="K2581" t="s">
        <v>268</v>
      </c>
      <c r="L2581" s="13">
        <v>43466</v>
      </c>
      <c r="M2581" t="s">
        <v>1603</v>
      </c>
      <c r="N2581" t="s">
        <v>1604</v>
      </c>
      <c r="O2581">
        <v>8416.94</v>
      </c>
      <c r="P2581" t="s">
        <v>271</v>
      </c>
    </row>
    <row r="2582" spans="1:16" ht="15" customHeight="1" x14ac:dyDescent="0.4">
      <c r="A2582" t="s">
        <v>15</v>
      </c>
      <c r="B2582" t="s">
        <v>16</v>
      </c>
      <c r="C2582" s="13">
        <v>43466</v>
      </c>
      <c r="D2582" s="13">
        <v>43830</v>
      </c>
      <c r="E2582" t="s">
        <v>17</v>
      </c>
      <c r="F2582">
        <v>0</v>
      </c>
      <c r="G2582" t="s">
        <v>18</v>
      </c>
      <c r="H2582">
        <v>1</v>
      </c>
      <c r="I2582" t="s">
        <v>19</v>
      </c>
      <c r="J2582">
        <v>461</v>
      </c>
      <c r="K2582" t="s">
        <v>272</v>
      </c>
      <c r="L2582" s="13">
        <v>43495</v>
      </c>
      <c r="M2582" t="s">
        <v>1605</v>
      </c>
      <c r="N2582" t="s">
        <v>46</v>
      </c>
      <c r="O2582">
        <v>1978.75</v>
      </c>
      <c r="P2582" t="s">
        <v>46</v>
      </c>
    </row>
    <row r="2583" spans="1:16" ht="15" customHeight="1" x14ac:dyDescent="0.4">
      <c r="A2583" t="s">
        <v>15</v>
      </c>
      <c r="B2583" t="s">
        <v>16</v>
      </c>
      <c r="C2583" s="13">
        <v>43466</v>
      </c>
      <c r="D2583" s="13">
        <v>43830</v>
      </c>
      <c r="E2583" t="s">
        <v>17</v>
      </c>
      <c r="F2583">
        <v>0</v>
      </c>
      <c r="G2583" t="s">
        <v>18</v>
      </c>
      <c r="H2583">
        <v>1</v>
      </c>
      <c r="I2583" t="s">
        <v>19</v>
      </c>
      <c r="J2583">
        <v>461</v>
      </c>
      <c r="K2583" t="s">
        <v>272</v>
      </c>
      <c r="L2583" s="13">
        <v>43606</v>
      </c>
      <c r="M2583" t="s">
        <v>1606</v>
      </c>
      <c r="N2583" t="s">
        <v>46</v>
      </c>
      <c r="O2583">
        <v>450</v>
      </c>
      <c r="P2583" t="s">
        <v>46</v>
      </c>
    </row>
    <row r="2584" spans="1:16" ht="15" customHeight="1" x14ac:dyDescent="0.4">
      <c r="A2584" t="s">
        <v>15</v>
      </c>
      <c r="B2584" t="s">
        <v>16</v>
      </c>
      <c r="C2584" s="13">
        <v>43466</v>
      </c>
      <c r="D2584" s="13">
        <v>43830</v>
      </c>
      <c r="E2584" t="s">
        <v>17</v>
      </c>
      <c r="F2584">
        <v>0</v>
      </c>
      <c r="G2584" t="s">
        <v>18</v>
      </c>
      <c r="H2584">
        <v>1</v>
      </c>
      <c r="I2584" t="s">
        <v>19</v>
      </c>
      <c r="J2584">
        <v>461</v>
      </c>
      <c r="K2584" t="s">
        <v>272</v>
      </c>
      <c r="L2584" s="13">
        <v>43664</v>
      </c>
      <c r="M2584" t="s">
        <v>1607</v>
      </c>
      <c r="N2584" t="s">
        <v>46</v>
      </c>
      <c r="O2584">
        <v>756.25</v>
      </c>
      <c r="P2584" t="s">
        <v>46</v>
      </c>
    </row>
    <row r="2585" spans="1:16" ht="15" customHeight="1" x14ac:dyDescent="0.4">
      <c r="A2585" t="s">
        <v>15</v>
      </c>
      <c r="B2585" t="s">
        <v>16</v>
      </c>
      <c r="C2585" s="13">
        <v>43466</v>
      </c>
      <c r="D2585" s="13">
        <v>43830</v>
      </c>
      <c r="E2585" t="s">
        <v>17</v>
      </c>
      <c r="F2585">
        <v>0</v>
      </c>
      <c r="G2585" t="s">
        <v>18</v>
      </c>
      <c r="H2585">
        <v>1</v>
      </c>
      <c r="I2585" t="s">
        <v>19</v>
      </c>
      <c r="J2585">
        <v>702</v>
      </c>
      <c r="K2585" t="s">
        <v>275</v>
      </c>
      <c r="L2585" s="13">
        <v>43644</v>
      </c>
      <c r="M2585" t="s">
        <v>1608</v>
      </c>
      <c r="N2585" t="s">
        <v>46</v>
      </c>
      <c r="O2585">
        <v>39.6</v>
      </c>
      <c r="P2585" t="s">
        <v>46</v>
      </c>
    </row>
    <row r="2586" spans="1:16" ht="15" customHeight="1" x14ac:dyDescent="0.4">
      <c r="A2586" t="s">
        <v>15</v>
      </c>
      <c r="B2586" t="s">
        <v>16</v>
      </c>
      <c r="C2586" s="13">
        <v>43466</v>
      </c>
      <c r="D2586" s="13">
        <v>43830</v>
      </c>
      <c r="E2586" t="s">
        <v>30</v>
      </c>
      <c r="F2586">
        <v>0</v>
      </c>
      <c r="G2586" t="s">
        <v>18</v>
      </c>
      <c r="H2586">
        <v>1</v>
      </c>
      <c r="I2586" t="s">
        <v>19</v>
      </c>
      <c r="J2586">
        <v>787</v>
      </c>
      <c r="K2586" t="s">
        <v>1216</v>
      </c>
      <c r="L2586" s="13">
        <v>43508</v>
      </c>
      <c r="M2586" t="s">
        <v>1609</v>
      </c>
      <c r="N2586" t="s">
        <v>1610</v>
      </c>
      <c r="O2586">
        <v>55.84</v>
      </c>
      <c r="P2586" t="s">
        <v>472</v>
      </c>
    </row>
    <row r="2587" spans="1:16" ht="15" customHeight="1" x14ac:dyDescent="0.4">
      <c r="A2587" t="s">
        <v>15</v>
      </c>
      <c r="B2587" t="s">
        <v>16</v>
      </c>
      <c r="C2587" s="13">
        <v>43466</v>
      </c>
      <c r="D2587" s="13">
        <v>43830</v>
      </c>
      <c r="E2587" t="s">
        <v>30</v>
      </c>
      <c r="F2587">
        <v>0</v>
      </c>
      <c r="G2587" t="s">
        <v>18</v>
      </c>
      <c r="H2587">
        <v>1</v>
      </c>
      <c r="I2587" t="s">
        <v>19</v>
      </c>
      <c r="J2587">
        <v>787</v>
      </c>
      <c r="K2587" t="s">
        <v>1216</v>
      </c>
      <c r="L2587" s="13">
        <v>43752</v>
      </c>
      <c r="M2587" t="s">
        <v>1611</v>
      </c>
      <c r="N2587" t="s">
        <v>1612</v>
      </c>
      <c r="O2587">
        <v>64.400000000000006</v>
      </c>
      <c r="P2587" t="s">
        <v>472</v>
      </c>
    </row>
    <row r="2588" spans="1:16" ht="15" customHeight="1" x14ac:dyDescent="0.4">
      <c r="A2588" t="s">
        <v>15</v>
      </c>
      <c r="B2588" t="s">
        <v>16</v>
      </c>
      <c r="C2588" s="13">
        <v>43466</v>
      </c>
      <c r="D2588" s="13">
        <v>43830</v>
      </c>
      <c r="E2588" t="s">
        <v>17</v>
      </c>
      <c r="F2588">
        <v>0</v>
      </c>
      <c r="G2588" t="s">
        <v>18</v>
      </c>
      <c r="H2588">
        <v>1</v>
      </c>
      <c r="I2588" t="s">
        <v>19</v>
      </c>
      <c r="J2588">
        <v>791</v>
      </c>
      <c r="K2588" t="s">
        <v>277</v>
      </c>
      <c r="L2588" s="13">
        <v>43466</v>
      </c>
      <c r="M2588" t="s">
        <v>1613</v>
      </c>
      <c r="N2588" t="s">
        <v>1614</v>
      </c>
      <c r="O2588">
        <v>298.49</v>
      </c>
      <c r="P2588" t="s">
        <v>280</v>
      </c>
    </row>
    <row r="2589" spans="1:16" ht="15" customHeight="1" x14ac:dyDescent="0.4">
      <c r="A2589" t="s">
        <v>15</v>
      </c>
      <c r="B2589" t="s">
        <v>16</v>
      </c>
      <c r="C2589" s="13">
        <v>43466</v>
      </c>
      <c r="D2589" s="13">
        <v>43830</v>
      </c>
      <c r="E2589" t="s">
        <v>17</v>
      </c>
      <c r="F2589">
        <v>0</v>
      </c>
      <c r="G2589" t="s">
        <v>18</v>
      </c>
      <c r="H2589">
        <v>1</v>
      </c>
      <c r="I2589" t="s">
        <v>19</v>
      </c>
      <c r="J2589">
        <v>791</v>
      </c>
      <c r="K2589" t="s">
        <v>277</v>
      </c>
      <c r="L2589" s="13">
        <v>43529</v>
      </c>
      <c r="M2589" t="s">
        <v>1615</v>
      </c>
      <c r="N2589" t="s">
        <v>1616</v>
      </c>
      <c r="O2589">
        <v>298.49</v>
      </c>
      <c r="P2589" t="s">
        <v>280</v>
      </c>
    </row>
    <row r="2590" spans="1:16" ht="15" customHeight="1" x14ac:dyDescent="0.4">
      <c r="A2590" t="s">
        <v>15</v>
      </c>
      <c r="B2590" t="s">
        <v>16</v>
      </c>
      <c r="C2590" s="13">
        <v>43466</v>
      </c>
      <c r="D2590" s="13">
        <v>43830</v>
      </c>
      <c r="E2590" t="s">
        <v>17</v>
      </c>
      <c r="F2590">
        <v>0</v>
      </c>
      <c r="G2590" t="s">
        <v>18</v>
      </c>
      <c r="H2590">
        <v>1</v>
      </c>
      <c r="I2590" t="s">
        <v>19</v>
      </c>
      <c r="J2590">
        <v>791</v>
      </c>
      <c r="K2590" t="s">
        <v>277</v>
      </c>
      <c r="L2590" s="13">
        <v>43620</v>
      </c>
      <c r="M2590" t="s">
        <v>1617</v>
      </c>
      <c r="N2590" t="s">
        <v>1618</v>
      </c>
      <c r="O2590">
        <v>298.49</v>
      </c>
      <c r="P2590" t="s">
        <v>280</v>
      </c>
    </row>
    <row r="2591" spans="1:16" ht="15" customHeight="1" x14ac:dyDescent="0.4">
      <c r="A2591" t="s">
        <v>15</v>
      </c>
      <c r="B2591" t="s">
        <v>16</v>
      </c>
      <c r="C2591" s="13">
        <v>43466</v>
      </c>
      <c r="D2591" s="13">
        <v>43830</v>
      </c>
      <c r="E2591" t="s">
        <v>17</v>
      </c>
      <c r="F2591">
        <v>0</v>
      </c>
      <c r="G2591" t="s">
        <v>18</v>
      </c>
      <c r="H2591">
        <v>1</v>
      </c>
      <c r="I2591" t="s">
        <v>19</v>
      </c>
      <c r="J2591">
        <v>791</v>
      </c>
      <c r="K2591" t="s">
        <v>277</v>
      </c>
      <c r="L2591" s="13">
        <v>43739</v>
      </c>
      <c r="M2591" t="s">
        <v>1619</v>
      </c>
      <c r="N2591" t="s">
        <v>1620</v>
      </c>
      <c r="O2591">
        <v>298.49</v>
      </c>
      <c r="P2591" t="s">
        <v>280</v>
      </c>
    </row>
    <row r="2592" spans="1:16" ht="15" customHeight="1" x14ac:dyDescent="0.4">
      <c r="A2592" t="s">
        <v>15</v>
      </c>
      <c r="B2592" t="s">
        <v>16</v>
      </c>
      <c r="C2592" s="13">
        <v>43466</v>
      </c>
      <c r="D2592" s="13">
        <v>43830</v>
      </c>
      <c r="E2592" t="s">
        <v>17</v>
      </c>
      <c r="F2592">
        <v>0</v>
      </c>
      <c r="G2592" t="s">
        <v>18</v>
      </c>
      <c r="H2592">
        <v>1</v>
      </c>
      <c r="I2592" t="s">
        <v>19</v>
      </c>
      <c r="J2592">
        <v>791</v>
      </c>
      <c r="K2592" t="s">
        <v>277</v>
      </c>
      <c r="L2592" s="13">
        <v>43830</v>
      </c>
      <c r="M2592" t="s">
        <v>287</v>
      </c>
      <c r="N2592" t="s">
        <v>288</v>
      </c>
      <c r="O2592">
        <v>-397.95</v>
      </c>
      <c r="P2592" t="s">
        <v>46</v>
      </c>
    </row>
    <row r="2593" spans="1:16" ht="15" customHeight="1" x14ac:dyDescent="0.4">
      <c r="A2593" t="s">
        <v>15</v>
      </c>
      <c r="B2593" t="s">
        <v>16</v>
      </c>
      <c r="C2593" s="13">
        <v>43466</v>
      </c>
      <c r="D2593" s="13">
        <v>43830</v>
      </c>
      <c r="E2593" t="s">
        <v>17</v>
      </c>
      <c r="F2593">
        <v>0</v>
      </c>
      <c r="G2593" t="s">
        <v>18</v>
      </c>
      <c r="H2593">
        <v>1</v>
      </c>
      <c r="I2593" t="s">
        <v>19</v>
      </c>
      <c r="J2593">
        <v>841</v>
      </c>
      <c r="K2593" t="s">
        <v>289</v>
      </c>
      <c r="L2593" s="13">
        <v>43563</v>
      </c>
      <c r="M2593" t="s">
        <v>1621</v>
      </c>
      <c r="N2593" t="s">
        <v>1622</v>
      </c>
      <c r="O2593">
        <v>856.34</v>
      </c>
      <c r="P2593" t="s">
        <v>1623</v>
      </c>
    </row>
    <row r="2594" spans="1:16" ht="15" customHeight="1" x14ac:dyDescent="0.4">
      <c r="A2594" t="s">
        <v>15</v>
      </c>
      <c r="B2594" t="s">
        <v>16</v>
      </c>
      <c r="C2594" s="13">
        <v>43466</v>
      </c>
      <c r="D2594" s="13">
        <v>43830</v>
      </c>
      <c r="E2594" t="s">
        <v>17</v>
      </c>
      <c r="F2594">
        <v>0</v>
      </c>
      <c r="G2594" t="s">
        <v>18</v>
      </c>
      <c r="H2594">
        <v>1</v>
      </c>
      <c r="I2594" t="s">
        <v>19</v>
      </c>
      <c r="J2594">
        <v>841</v>
      </c>
      <c r="K2594" t="s">
        <v>289</v>
      </c>
      <c r="L2594" s="13">
        <v>43609</v>
      </c>
      <c r="M2594" t="s">
        <v>1624</v>
      </c>
      <c r="N2594" t="s">
        <v>1625</v>
      </c>
      <c r="O2594">
        <v>856.34</v>
      </c>
      <c r="P2594" t="s">
        <v>1623</v>
      </c>
    </row>
    <row r="2595" spans="1:16" ht="15" customHeight="1" x14ac:dyDescent="0.4">
      <c r="A2595" t="s">
        <v>15</v>
      </c>
      <c r="B2595" t="s">
        <v>16</v>
      </c>
      <c r="C2595" s="13">
        <v>43466</v>
      </c>
      <c r="D2595" s="13">
        <v>43830</v>
      </c>
      <c r="E2595" t="s">
        <v>17</v>
      </c>
      <c r="F2595">
        <v>0</v>
      </c>
      <c r="G2595" t="s">
        <v>18</v>
      </c>
      <c r="H2595">
        <v>1</v>
      </c>
      <c r="I2595" t="s">
        <v>19</v>
      </c>
      <c r="J2595">
        <v>841</v>
      </c>
      <c r="K2595" t="s">
        <v>289</v>
      </c>
      <c r="L2595" s="13">
        <v>43620</v>
      </c>
      <c r="M2595" t="s">
        <v>1626</v>
      </c>
      <c r="N2595" t="s">
        <v>1627</v>
      </c>
      <c r="O2595">
        <v>856.34</v>
      </c>
      <c r="P2595" t="s">
        <v>1623</v>
      </c>
    </row>
    <row r="2596" spans="1:16" ht="15" customHeight="1" x14ac:dyDescent="0.4">
      <c r="A2596" t="s">
        <v>15</v>
      </c>
      <c r="B2596" t="s">
        <v>16</v>
      </c>
      <c r="C2596" s="13">
        <v>43466</v>
      </c>
      <c r="D2596" s="13">
        <v>43830</v>
      </c>
      <c r="E2596" t="s">
        <v>17</v>
      </c>
      <c r="F2596">
        <v>0</v>
      </c>
      <c r="G2596" t="s">
        <v>18</v>
      </c>
      <c r="H2596">
        <v>1</v>
      </c>
      <c r="I2596" t="s">
        <v>19</v>
      </c>
      <c r="J2596">
        <v>841</v>
      </c>
      <c r="K2596" t="s">
        <v>289</v>
      </c>
      <c r="L2596" s="13">
        <v>43647</v>
      </c>
      <c r="M2596" t="s">
        <v>1628</v>
      </c>
      <c r="N2596" t="s">
        <v>1629</v>
      </c>
      <c r="O2596">
        <v>856.34</v>
      </c>
      <c r="P2596" t="s">
        <v>1623</v>
      </c>
    </row>
    <row r="2597" spans="1:16" ht="15" customHeight="1" x14ac:dyDescent="0.4">
      <c r="A2597" t="s">
        <v>15</v>
      </c>
      <c r="B2597" t="s">
        <v>16</v>
      </c>
      <c r="C2597" s="13">
        <v>43466</v>
      </c>
      <c r="D2597" s="13">
        <v>43830</v>
      </c>
      <c r="E2597" t="s">
        <v>17</v>
      </c>
      <c r="F2597">
        <v>0</v>
      </c>
      <c r="G2597" t="s">
        <v>18</v>
      </c>
      <c r="H2597">
        <v>1</v>
      </c>
      <c r="I2597" t="s">
        <v>19</v>
      </c>
      <c r="J2597">
        <v>841</v>
      </c>
      <c r="K2597" t="s">
        <v>289</v>
      </c>
      <c r="L2597" s="13">
        <v>43677</v>
      </c>
      <c r="M2597" t="s">
        <v>1630</v>
      </c>
      <c r="N2597" t="s">
        <v>1631</v>
      </c>
      <c r="O2597">
        <v>856.34</v>
      </c>
      <c r="P2597" t="s">
        <v>1623</v>
      </c>
    </row>
    <row r="2598" spans="1:16" ht="15" customHeight="1" x14ac:dyDescent="0.4">
      <c r="A2598" t="s">
        <v>15</v>
      </c>
      <c r="B2598" t="s">
        <v>16</v>
      </c>
      <c r="C2598" s="13">
        <v>43466</v>
      </c>
      <c r="D2598" s="13">
        <v>43830</v>
      </c>
      <c r="E2598" t="s">
        <v>17</v>
      </c>
      <c r="F2598">
        <v>0</v>
      </c>
      <c r="G2598" t="s">
        <v>18</v>
      </c>
      <c r="H2598">
        <v>1</v>
      </c>
      <c r="I2598" t="s">
        <v>19</v>
      </c>
      <c r="J2598">
        <v>841</v>
      </c>
      <c r="K2598" t="s">
        <v>289</v>
      </c>
      <c r="L2598" s="13">
        <v>43707</v>
      </c>
      <c r="M2598" t="s">
        <v>1632</v>
      </c>
      <c r="N2598" t="s">
        <v>1633</v>
      </c>
      <c r="O2598">
        <v>856.34</v>
      </c>
      <c r="P2598" t="s">
        <v>1623</v>
      </c>
    </row>
    <row r="2599" spans="1:16" ht="15" customHeight="1" x14ac:dyDescent="0.4">
      <c r="A2599" t="s">
        <v>15</v>
      </c>
      <c r="B2599" t="s">
        <v>16</v>
      </c>
      <c r="C2599" s="13">
        <v>43466</v>
      </c>
      <c r="D2599" s="13">
        <v>43830</v>
      </c>
      <c r="E2599" t="s">
        <v>17</v>
      </c>
      <c r="F2599">
        <v>0</v>
      </c>
      <c r="G2599" t="s">
        <v>18</v>
      </c>
      <c r="H2599">
        <v>1</v>
      </c>
      <c r="I2599" t="s">
        <v>19</v>
      </c>
      <c r="J2599">
        <v>841</v>
      </c>
      <c r="K2599" t="s">
        <v>289</v>
      </c>
      <c r="L2599" s="13">
        <v>43738</v>
      </c>
      <c r="M2599" t="s">
        <v>1634</v>
      </c>
      <c r="N2599" t="s">
        <v>1635</v>
      </c>
      <c r="O2599">
        <v>856.34</v>
      </c>
      <c r="P2599" t="s">
        <v>1623</v>
      </c>
    </row>
    <row r="2600" spans="1:16" ht="15" customHeight="1" x14ac:dyDescent="0.4">
      <c r="A2600" t="s">
        <v>15</v>
      </c>
      <c r="B2600" t="s">
        <v>16</v>
      </c>
      <c r="C2600" s="13">
        <v>43466</v>
      </c>
      <c r="D2600" s="13">
        <v>43830</v>
      </c>
      <c r="E2600" t="s">
        <v>17</v>
      </c>
      <c r="F2600">
        <v>0</v>
      </c>
      <c r="G2600" t="s">
        <v>18</v>
      </c>
      <c r="H2600">
        <v>1</v>
      </c>
      <c r="I2600" t="s">
        <v>19</v>
      </c>
      <c r="J2600">
        <v>841</v>
      </c>
      <c r="K2600" t="s">
        <v>289</v>
      </c>
      <c r="L2600" s="13">
        <v>43769</v>
      </c>
      <c r="M2600" t="s">
        <v>1636</v>
      </c>
      <c r="N2600" t="s">
        <v>1637</v>
      </c>
      <c r="O2600">
        <v>856.34</v>
      </c>
      <c r="P2600" t="s">
        <v>1623</v>
      </c>
    </row>
    <row r="2601" spans="1:16" ht="15" customHeight="1" x14ac:dyDescent="0.4">
      <c r="A2601" t="s">
        <v>15</v>
      </c>
      <c r="B2601" t="s">
        <v>16</v>
      </c>
      <c r="C2601" s="13">
        <v>43466</v>
      </c>
      <c r="D2601" s="13">
        <v>43830</v>
      </c>
      <c r="E2601" t="s">
        <v>17</v>
      </c>
      <c r="F2601">
        <v>0</v>
      </c>
      <c r="G2601" t="s">
        <v>18</v>
      </c>
      <c r="H2601">
        <v>1</v>
      </c>
      <c r="I2601" t="s">
        <v>19</v>
      </c>
      <c r="J2601">
        <v>845</v>
      </c>
      <c r="K2601" t="s">
        <v>315</v>
      </c>
      <c r="L2601" s="13">
        <v>43668</v>
      </c>
      <c r="M2601" t="s">
        <v>1638</v>
      </c>
      <c r="N2601" t="s">
        <v>1639</v>
      </c>
      <c r="O2601">
        <v>900</v>
      </c>
      <c r="P2601" t="s">
        <v>1623</v>
      </c>
    </row>
    <row r="2602" spans="1:16" ht="15" customHeight="1" x14ac:dyDescent="0.4">
      <c r="A2602" t="s">
        <v>15</v>
      </c>
      <c r="B2602" t="s">
        <v>16</v>
      </c>
      <c r="C2602" s="13">
        <v>43466</v>
      </c>
      <c r="D2602" s="13">
        <v>43830</v>
      </c>
      <c r="E2602" t="s">
        <v>30</v>
      </c>
      <c r="F2602">
        <v>0</v>
      </c>
      <c r="G2602" t="s">
        <v>18</v>
      </c>
      <c r="H2602">
        <v>1</v>
      </c>
      <c r="I2602" t="s">
        <v>19</v>
      </c>
      <c r="J2602">
        <v>846</v>
      </c>
      <c r="K2602" t="s">
        <v>845</v>
      </c>
      <c r="L2602" s="13">
        <v>43585</v>
      </c>
      <c r="M2602" t="s">
        <v>1640</v>
      </c>
      <c r="N2602" t="s">
        <v>1641</v>
      </c>
      <c r="O2602">
        <v>4800</v>
      </c>
      <c r="P2602" t="s">
        <v>292</v>
      </c>
    </row>
    <row r="2603" spans="1:16" ht="15" customHeight="1" x14ac:dyDescent="0.4">
      <c r="A2603" t="s">
        <v>15</v>
      </c>
      <c r="B2603" t="s">
        <v>16</v>
      </c>
      <c r="C2603" s="13">
        <v>43466</v>
      </c>
      <c r="D2603" s="13">
        <v>43830</v>
      </c>
      <c r="E2603" t="s">
        <v>30</v>
      </c>
      <c r="F2603">
        <v>0</v>
      </c>
      <c r="G2603" t="s">
        <v>18</v>
      </c>
      <c r="H2603">
        <v>1</v>
      </c>
      <c r="I2603" t="s">
        <v>19</v>
      </c>
      <c r="J2603">
        <v>847</v>
      </c>
      <c r="K2603" t="s">
        <v>324</v>
      </c>
      <c r="L2603" s="13">
        <v>43640</v>
      </c>
      <c r="M2603" t="s">
        <v>1642</v>
      </c>
      <c r="N2603" t="s">
        <v>1643</v>
      </c>
      <c r="O2603">
        <v>30.9</v>
      </c>
      <c r="P2603" t="s">
        <v>34</v>
      </c>
    </row>
    <row r="2604" spans="1:16" ht="15" customHeight="1" x14ac:dyDescent="0.4">
      <c r="A2604" t="s">
        <v>15</v>
      </c>
      <c r="B2604" t="s">
        <v>16</v>
      </c>
      <c r="C2604" s="13">
        <v>43466</v>
      </c>
      <c r="D2604" s="13">
        <v>43830</v>
      </c>
      <c r="E2604" t="s">
        <v>17</v>
      </c>
      <c r="F2604">
        <v>0</v>
      </c>
      <c r="G2604" t="s">
        <v>18</v>
      </c>
      <c r="H2604">
        <v>1</v>
      </c>
      <c r="I2604" t="s">
        <v>19</v>
      </c>
      <c r="J2604">
        <v>881</v>
      </c>
      <c r="K2604" t="s">
        <v>327</v>
      </c>
      <c r="L2604" s="13">
        <v>43830</v>
      </c>
      <c r="M2604" t="s">
        <v>328</v>
      </c>
      <c r="N2604" t="s">
        <v>329</v>
      </c>
      <c r="O2604">
        <v>28.61</v>
      </c>
      <c r="P2604" t="s">
        <v>46</v>
      </c>
    </row>
    <row r="2605" spans="1:16" ht="15" customHeight="1" x14ac:dyDescent="0.4">
      <c r="A2605" t="s">
        <v>15</v>
      </c>
      <c r="B2605" t="s">
        <v>16</v>
      </c>
      <c r="C2605" s="13">
        <v>43466</v>
      </c>
      <c r="D2605" s="13">
        <v>43830</v>
      </c>
      <c r="E2605" t="s">
        <v>17</v>
      </c>
      <c r="F2605">
        <v>0</v>
      </c>
      <c r="G2605" t="s">
        <v>18</v>
      </c>
      <c r="H2605">
        <v>1</v>
      </c>
      <c r="I2605" t="s">
        <v>19</v>
      </c>
      <c r="J2605">
        <v>883</v>
      </c>
      <c r="K2605" t="s">
        <v>330</v>
      </c>
      <c r="L2605" s="13">
        <v>43508</v>
      </c>
      <c r="M2605" t="s">
        <v>1644</v>
      </c>
      <c r="N2605" t="s">
        <v>1645</v>
      </c>
      <c r="O2605">
        <v>117.65</v>
      </c>
      <c r="P2605" t="s">
        <v>333</v>
      </c>
    </row>
    <row r="2606" spans="1:16" ht="15" customHeight="1" x14ac:dyDescent="0.4">
      <c r="A2606" t="s">
        <v>15</v>
      </c>
      <c r="B2606" t="s">
        <v>16</v>
      </c>
      <c r="C2606" s="13">
        <v>43466</v>
      </c>
      <c r="D2606" s="13">
        <v>43830</v>
      </c>
      <c r="E2606" t="s">
        <v>17</v>
      </c>
      <c r="F2606">
        <v>0</v>
      </c>
      <c r="G2606" t="s">
        <v>18</v>
      </c>
      <c r="H2606">
        <v>1</v>
      </c>
      <c r="I2606" t="s">
        <v>19</v>
      </c>
      <c r="J2606">
        <v>909</v>
      </c>
      <c r="K2606" t="s">
        <v>334</v>
      </c>
      <c r="L2606" s="13">
        <v>43830</v>
      </c>
      <c r="M2606" t="s">
        <v>1646</v>
      </c>
      <c r="N2606" t="s">
        <v>1647</v>
      </c>
      <c r="O2606">
        <v>-47361.94</v>
      </c>
      <c r="P2606" t="s">
        <v>1444</v>
      </c>
    </row>
    <row r="2607" spans="1:16" ht="15" customHeight="1" x14ac:dyDescent="0.4">
      <c r="A2607" t="s">
        <v>15</v>
      </c>
      <c r="B2607" t="s">
        <v>16</v>
      </c>
      <c r="C2607" s="13">
        <v>43466</v>
      </c>
      <c r="D2607" s="13">
        <v>43830</v>
      </c>
      <c r="E2607" t="s">
        <v>17</v>
      </c>
      <c r="F2607">
        <v>0</v>
      </c>
      <c r="G2607" t="s">
        <v>18</v>
      </c>
      <c r="H2607">
        <v>1</v>
      </c>
      <c r="I2607" t="s">
        <v>19</v>
      </c>
      <c r="J2607">
        <v>952</v>
      </c>
      <c r="K2607" t="s">
        <v>336</v>
      </c>
      <c r="L2607" s="13">
        <v>43494</v>
      </c>
      <c r="M2607" t="s">
        <v>1648</v>
      </c>
      <c r="N2607" t="s">
        <v>1649</v>
      </c>
      <c r="O2607">
        <v>-1978.75</v>
      </c>
      <c r="P2607" t="s">
        <v>46</v>
      </c>
    </row>
    <row r="2608" spans="1:16" ht="15" customHeight="1" x14ac:dyDescent="0.4">
      <c r="A2608" t="s">
        <v>15</v>
      </c>
      <c r="B2608" t="s">
        <v>16</v>
      </c>
      <c r="C2608" s="13">
        <v>43466</v>
      </c>
      <c r="D2608" s="13">
        <v>43830</v>
      </c>
      <c r="E2608" t="s">
        <v>17</v>
      </c>
      <c r="F2608">
        <v>0</v>
      </c>
      <c r="G2608" t="s">
        <v>18</v>
      </c>
      <c r="H2608">
        <v>1</v>
      </c>
      <c r="I2608" t="s">
        <v>19</v>
      </c>
      <c r="J2608">
        <v>952</v>
      </c>
      <c r="K2608" t="s">
        <v>336</v>
      </c>
      <c r="L2608" s="13">
        <v>43612</v>
      </c>
      <c r="M2608" t="s">
        <v>1650</v>
      </c>
      <c r="N2608" t="s">
        <v>1651</v>
      </c>
      <c r="O2608">
        <v>-450</v>
      </c>
      <c r="P2608" t="s">
        <v>46</v>
      </c>
    </row>
    <row r="2609" spans="1:16" ht="15" customHeight="1" x14ac:dyDescent="0.4">
      <c r="A2609" t="s">
        <v>15</v>
      </c>
      <c r="B2609" t="s">
        <v>16</v>
      </c>
      <c r="C2609" s="13">
        <v>43466</v>
      </c>
      <c r="D2609" s="13">
        <v>43830</v>
      </c>
      <c r="E2609" t="s">
        <v>17</v>
      </c>
      <c r="F2609">
        <v>0</v>
      </c>
      <c r="G2609" t="s">
        <v>18</v>
      </c>
      <c r="H2609">
        <v>1</v>
      </c>
      <c r="I2609" t="s">
        <v>19</v>
      </c>
      <c r="J2609">
        <v>952</v>
      </c>
      <c r="K2609" t="s">
        <v>336</v>
      </c>
      <c r="L2609" s="13">
        <v>43669</v>
      </c>
      <c r="M2609" t="s">
        <v>1652</v>
      </c>
      <c r="N2609" t="s">
        <v>1653</v>
      </c>
      <c r="O2609">
        <v>-756.25</v>
      </c>
      <c r="P2609" t="s">
        <v>46</v>
      </c>
    </row>
    <row r="2610" spans="1:16" ht="15" customHeight="1" x14ac:dyDescent="0.4">
      <c r="A2610" t="s">
        <v>15</v>
      </c>
      <c r="B2610" t="s">
        <v>16</v>
      </c>
      <c r="C2610" s="13">
        <v>43466</v>
      </c>
      <c r="D2610" s="13">
        <v>43830</v>
      </c>
      <c r="E2610" t="s">
        <v>17</v>
      </c>
      <c r="F2610">
        <v>0</v>
      </c>
      <c r="G2610" t="s">
        <v>18</v>
      </c>
      <c r="H2610">
        <v>1</v>
      </c>
      <c r="I2610" t="s">
        <v>19</v>
      </c>
      <c r="J2610">
        <v>988</v>
      </c>
      <c r="K2610" t="s">
        <v>339</v>
      </c>
      <c r="L2610" s="13">
        <v>43466</v>
      </c>
      <c r="M2610" t="s">
        <v>1654</v>
      </c>
      <c r="N2610" t="s">
        <v>341</v>
      </c>
      <c r="O2610">
        <v>-0.26</v>
      </c>
      <c r="P2610" t="s">
        <v>46</v>
      </c>
    </row>
    <row r="2611" spans="1:16" ht="15" customHeight="1" x14ac:dyDescent="0.4">
      <c r="A2611" t="s">
        <v>15</v>
      </c>
      <c r="B2611" t="s">
        <v>16</v>
      </c>
      <c r="C2611" s="13">
        <v>43466</v>
      </c>
      <c r="D2611" s="13">
        <v>43830</v>
      </c>
      <c r="E2611" t="s">
        <v>17</v>
      </c>
      <c r="F2611">
        <v>0</v>
      </c>
      <c r="G2611" t="s">
        <v>18</v>
      </c>
      <c r="H2611">
        <v>1</v>
      </c>
      <c r="I2611" t="s">
        <v>19</v>
      </c>
      <c r="J2611">
        <v>988</v>
      </c>
      <c r="K2611" t="s">
        <v>339</v>
      </c>
      <c r="L2611" s="13">
        <v>43830</v>
      </c>
      <c r="M2611" t="s">
        <v>1657</v>
      </c>
      <c r="N2611" t="s">
        <v>341</v>
      </c>
      <c r="O2611">
        <v>0.12</v>
      </c>
      <c r="P2611" t="s">
        <v>46</v>
      </c>
    </row>
    <row r="2612" spans="1:16" ht="15" customHeight="1" x14ac:dyDescent="0.4">
      <c r="A2612" t="s">
        <v>15</v>
      </c>
      <c r="B2612" t="s">
        <v>16</v>
      </c>
      <c r="C2612" s="13">
        <v>43466</v>
      </c>
      <c r="D2612" s="13">
        <v>43830</v>
      </c>
      <c r="E2612" t="s">
        <v>17</v>
      </c>
      <c r="F2612">
        <v>0</v>
      </c>
      <c r="G2612" t="s">
        <v>18</v>
      </c>
      <c r="H2612">
        <v>1</v>
      </c>
      <c r="I2612" t="s">
        <v>19</v>
      </c>
      <c r="J2612">
        <v>988</v>
      </c>
      <c r="K2612" t="s">
        <v>339</v>
      </c>
      <c r="L2612" s="13">
        <v>43830</v>
      </c>
      <c r="M2612" t="s">
        <v>1655</v>
      </c>
      <c r="N2612" t="s">
        <v>341</v>
      </c>
      <c r="O2612">
        <v>0.05</v>
      </c>
      <c r="P2612" t="s">
        <v>46</v>
      </c>
    </row>
    <row r="2613" spans="1:16" ht="15" customHeight="1" x14ac:dyDescent="0.4">
      <c r="A2613" t="s">
        <v>15</v>
      </c>
      <c r="B2613" t="s">
        <v>16</v>
      </c>
      <c r="C2613" s="13">
        <v>43466</v>
      </c>
      <c r="D2613" s="13">
        <v>43830</v>
      </c>
      <c r="E2613" t="s">
        <v>17</v>
      </c>
      <c r="F2613">
        <v>0</v>
      </c>
      <c r="G2613" t="s">
        <v>18</v>
      </c>
      <c r="H2613">
        <v>1</v>
      </c>
      <c r="I2613" t="s">
        <v>19</v>
      </c>
      <c r="J2613">
        <v>988</v>
      </c>
      <c r="K2613" t="s">
        <v>339</v>
      </c>
      <c r="L2613" s="13">
        <v>43830</v>
      </c>
      <c r="M2613" t="s">
        <v>1658</v>
      </c>
      <c r="N2613" t="s">
        <v>341</v>
      </c>
      <c r="O2613">
        <v>0.02</v>
      </c>
      <c r="P2613" t="s">
        <v>46</v>
      </c>
    </row>
    <row r="2614" spans="1:16" ht="15" customHeight="1" x14ac:dyDescent="0.4">
      <c r="A2614" t="s">
        <v>15</v>
      </c>
      <c r="B2614" t="s">
        <v>16</v>
      </c>
      <c r="C2614" s="13">
        <v>43466</v>
      </c>
      <c r="D2614" s="13">
        <v>43830</v>
      </c>
      <c r="E2614" t="s">
        <v>17</v>
      </c>
      <c r="F2614">
        <v>0</v>
      </c>
      <c r="G2614" t="s">
        <v>18</v>
      </c>
      <c r="H2614">
        <v>1</v>
      </c>
      <c r="I2614" t="s">
        <v>19</v>
      </c>
      <c r="J2614">
        <v>988</v>
      </c>
      <c r="K2614" t="s">
        <v>339</v>
      </c>
      <c r="L2614" s="13">
        <v>43830</v>
      </c>
      <c r="M2614" t="s">
        <v>1659</v>
      </c>
      <c r="N2614" t="s">
        <v>341</v>
      </c>
      <c r="O2614">
        <v>0.06</v>
      </c>
      <c r="P2614" t="s">
        <v>46</v>
      </c>
    </row>
    <row r="2615" spans="1:16" ht="15" customHeight="1" x14ac:dyDescent="0.4">
      <c r="A2615" t="s">
        <v>15</v>
      </c>
      <c r="B2615" t="s">
        <v>16</v>
      </c>
      <c r="C2615" s="13">
        <v>43466</v>
      </c>
      <c r="D2615" s="13">
        <v>43830</v>
      </c>
      <c r="E2615" t="s">
        <v>17</v>
      </c>
      <c r="F2615">
        <v>0</v>
      </c>
      <c r="G2615" t="s">
        <v>18</v>
      </c>
      <c r="H2615">
        <v>1</v>
      </c>
      <c r="I2615" t="s">
        <v>19</v>
      </c>
      <c r="J2615">
        <v>988</v>
      </c>
      <c r="K2615" t="s">
        <v>339</v>
      </c>
      <c r="L2615" s="13">
        <v>43830</v>
      </c>
      <c r="M2615" t="s">
        <v>1656</v>
      </c>
      <c r="N2615" t="s">
        <v>341</v>
      </c>
      <c r="O2615">
        <v>-0.01</v>
      </c>
      <c r="P2615" t="s">
        <v>46</v>
      </c>
    </row>
    <row r="2616" spans="1:16" ht="15" customHeight="1" x14ac:dyDescent="0.4">
      <c r="A2616" t="s">
        <v>15</v>
      </c>
      <c r="B2616" t="s">
        <v>16</v>
      </c>
      <c r="C2616" s="13">
        <v>43466</v>
      </c>
      <c r="D2616" s="13">
        <v>43830</v>
      </c>
      <c r="E2616" t="s">
        <v>17</v>
      </c>
      <c r="F2616">
        <v>0</v>
      </c>
      <c r="G2616" t="s">
        <v>18</v>
      </c>
      <c r="H2616">
        <v>1</v>
      </c>
      <c r="I2616" t="s">
        <v>19</v>
      </c>
      <c r="J2616">
        <v>988</v>
      </c>
      <c r="K2616" t="s">
        <v>339</v>
      </c>
      <c r="L2616" s="13">
        <v>43830</v>
      </c>
      <c r="M2616" t="s">
        <v>1663</v>
      </c>
      <c r="N2616" t="s">
        <v>341</v>
      </c>
      <c r="O2616">
        <v>0.12</v>
      </c>
      <c r="P2616" t="s">
        <v>46</v>
      </c>
    </row>
    <row r="2617" spans="1:16" ht="15" customHeight="1" x14ac:dyDescent="0.4">
      <c r="A2617" t="s">
        <v>15</v>
      </c>
      <c r="B2617" t="s">
        <v>16</v>
      </c>
      <c r="C2617" s="13">
        <v>43466</v>
      </c>
      <c r="D2617" s="13">
        <v>43830</v>
      </c>
      <c r="E2617" t="s">
        <v>17</v>
      </c>
      <c r="F2617">
        <v>0</v>
      </c>
      <c r="G2617" t="s">
        <v>18</v>
      </c>
      <c r="H2617">
        <v>1</v>
      </c>
      <c r="I2617" t="s">
        <v>19</v>
      </c>
      <c r="J2617">
        <v>988</v>
      </c>
      <c r="K2617" t="s">
        <v>339</v>
      </c>
      <c r="L2617" s="13">
        <v>43830</v>
      </c>
      <c r="M2617" t="s">
        <v>1660</v>
      </c>
      <c r="N2617" t="s">
        <v>341</v>
      </c>
      <c r="O2617">
        <v>0.08</v>
      </c>
      <c r="P2617" t="s">
        <v>46</v>
      </c>
    </row>
    <row r="2618" spans="1:16" ht="15" customHeight="1" x14ac:dyDescent="0.4">
      <c r="A2618" t="s">
        <v>15</v>
      </c>
      <c r="B2618" t="s">
        <v>16</v>
      </c>
      <c r="C2618" s="13">
        <v>43466</v>
      </c>
      <c r="D2618" s="13">
        <v>43830</v>
      </c>
      <c r="E2618" t="s">
        <v>17</v>
      </c>
      <c r="F2618">
        <v>0</v>
      </c>
      <c r="G2618" t="s">
        <v>18</v>
      </c>
      <c r="H2618">
        <v>1</v>
      </c>
      <c r="I2618" t="s">
        <v>19</v>
      </c>
      <c r="J2618">
        <v>988</v>
      </c>
      <c r="K2618" t="s">
        <v>339</v>
      </c>
      <c r="L2618" s="13">
        <v>43830</v>
      </c>
      <c r="M2618" t="s">
        <v>1661</v>
      </c>
      <c r="N2618" t="s">
        <v>341</v>
      </c>
      <c r="O2618">
        <v>0.18</v>
      </c>
      <c r="P2618" t="s">
        <v>46</v>
      </c>
    </row>
    <row r="2619" spans="1:16" ht="15" customHeight="1" x14ac:dyDescent="0.4">
      <c r="A2619" t="s">
        <v>15</v>
      </c>
      <c r="B2619" t="s">
        <v>16</v>
      </c>
      <c r="C2619" s="13">
        <v>43466</v>
      </c>
      <c r="D2619" s="13">
        <v>43830</v>
      </c>
      <c r="E2619" t="s">
        <v>17</v>
      </c>
      <c r="F2619">
        <v>0</v>
      </c>
      <c r="G2619" t="s">
        <v>18</v>
      </c>
      <c r="H2619">
        <v>1</v>
      </c>
      <c r="I2619" t="s">
        <v>19</v>
      </c>
      <c r="J2619">
        <v>988</v>
      </c>
      <c r="K2619" t="s">
        <v>339</v>
      </c>
      <c r="L2619" s="13">
        <v>43830</v>
      </c>
      <c r="M2619" t="s">
        <v>1662</v>
      </c>
      <c r="N2619" t="s">
        <v>341</v>
      </c>
      <c r="O2619">
        <v>0.03</v>
      </c>
      <c r="P2619" t="s">
        <v>46</v>
      </c>
    </row>
    <row r="2620" spans="1:16" ht="15" customHeight="1" x14ac:dyDescent="0.4">
      <c r="A2620" t="s">
        <v>15</v>
      </c>
      <c r="B2620" t="s">
        <v>16</v>
      </c>
      <c r="C2620" s="13">
        <v>43466</v>
      </c>
      <c r="D2620" s="13">
        <v>43830</v>
      </c>
      <c r="E2620" t="s">
        <v>17</v>
      </c>
      <c r="F2620">
        <v>0</v>
      </c>
      <c r="G2620" t="s">
        <v>342</v>
      </c>
      <c r="H2620">
        <v>2</v>
      </c>
      <c r="I2620" t="s">
        <v>343</v>
      </c>
      <c r="J2620">
        <v>242</v>
      </c>
      <c r="K2620" t="s">
        <v>348</v>
      </c>
      <c r="L2620" s="13">
        <v>43830</v>
      </c>
      <c r="M2620" t="s">
        <v>1664</v>
      </c>
      <c r="N2620" t="s">
        <v>45</v>
      </c>
      <c r="O2620">
        <v>443.48</v>
      </c>
      <c r="P2620" t="s">
        <v>46</v>
      </c>
    </row>
    <row r="2621" spans="1:16" ht="15" customHeight="1" x14ac:dyDescent="0.4">
      <c r="A2621" t="s">
        <v>15</v>
      </c>
      <c r="B2621" t="s">
        <v>16</v>
      </c>
      <c r="C2621" s="13">
        <v>43466</v>
      </c>
      <c r="D2621" s="13">
        <v>43830</v>
      </c>
      <c r="E2621" t="s">
        <v>17</v>
      </c>
      <c r="F2621">
        <v>0</v>
      </c>
      <c r="G2621" t="s">
        <v>342</v>
      </c>
      <c r="H2621">
        <v>2</v>
      </c>
      <c r="I2621" t="s">
        <v>343</v>
      </c>
      <c r="J2621">
        <v>269</v>
      </c>
      <c r="K2621" t="s">
        <v>350</v>
      </c>
      <c r="L2621" s="13">
        <v>43487</v>
      </c>
      <c r="M2621" t="s">
        <v>76</v>
      </c>
      <c r="N2621" t="s">
        <v>1665</v>
      </c>
      <c r="O2621">
        <v>46.57</v>
      </c>
      <c r="P2621" t="s">
        <v>52</v>
      </c>
    </row>
    <row r="2622" spans="1:16" ht="15" customHeight="1" x14ac:dyDescent="0.4">
      <c r="A2622" t="s">
        <v>15</v>
      </c>
      <c r="B2622" t="s">
        <v>16</v>
      </c>
      <c r="C2622" s="13">
        <v>43466</v>
      </c>
      <c r="D2622" s="13">
        <v>43830</v>
      </c>
      <c r="E2622" t="s">
        <v>17</v>
      </c>
      <c r="F2622">
        <v>0</v>
      </c>
      <c r="G2622" t="s">
        <v>342</v>
      </c>
      <c r="H2622">
        <v>2</v>
      </c>
      <c r="I2622" t="s">
        <v>343</v>
      </c>
      <c r="J2622">
        <v>269</v>
      </c>
      <c r="K2622" t="s">
        <v>350</v>
      </c>
      <c r="L2622" s="13">
        <v>43547</v>
      </c>
      <c r="M2622" t="s">
        <v>76</v>
      </c>
      <c r="N2622" t="s">
        <v>1666</v>
      </c>
      <c r="O2622">
        <v>34.5</v>
      </c>
      <c r="P2622" t="s">
        <v>52</v>
      </c>
    </row>
    <row r="2623" spans="1:16" ht="15" customHeight="1" x14ac:dyDescent="0.4">
      <c r="A2623" t="s">
        <v>15</v>
      </c>
      <c r="B2623" t="s">
        <v>16</v>
      </c>
      <c r="C2623" s="13">
        <v>43466</v>
      </c>
      <c r="D2623" s="13">
        <v>43830</v>
      </c>
      <c r="E2623" t="s">
        <v>17</v>
      </c>
      <c r="F2623">
        <v>0</v>
      </c>
      <c r="G2623" t="s">
        <v>342</v>
      </c>
      <c r="H2623">
        <v>2</v>
      </c>
      <c r="I2623" t="s">
        <v>343</v>
      </c>
      <c r="J2623">
        <v>269</v>
      </c>
      <c r="K2623" t="s">
        <v>350</v>
      </c>
      <c r="L2623" s="13">
        <v>43612</v>
      </c>
      <c r="M2623" t="s">
        <v>76</v>
      </c>
      <c r="N2623" t="s">
        <v>1667</v>
      </c>
      <c r="O2623">
        <v>30.77</v>
      </c>
      <c r="P2623" t="s">
        <v>52</v>
      </c>
    </row>
    <row r="2624" spans="1:16" ht="15" customHeight="1" x14ac:dyDescent="0.4">
      <c r="A2624" t="s">
        <v>15</v>
      </c>
      <c r="B2624" t="s">
        <v>16</v>
      </c>
      <c r="C2624" s="13">
        <v>43466</v>
      </c>
      <c r="D2624" s="13">
        <v>43830</v>
      </c>
      <c r="E2624" t="s">
        <v>17</v>
      </c>
      <c r="F2624">
        <v>0</v>
      </c>
      <c r="G2624" t="s">
        <v>342</v>
      </c>
      <c r="H2624">
        <v>2</v>
      </c>
      <c r="I2624" t="s">
        <v>343</v>
      </c>
      <c r="J2624">
        <v>269</v>
      </c>
      <c r="K2624" t="s">
        <v>350</v>
      </c>
      <c r="L2624" s="13">
        <v>43668</v>
      </c>
      <c r="M2624" t="s">
        <v>76</v>
      </c>
      <c r="N2624" t="s">
        <v>1668</v>
      </c>
      <c r="O2624">
        <v>31.42</v>
      </c>
      <c r="P2624" t="s">
        <v>52</v>
      </c>
    </row>
    <row r="2625" spans="1:16" ht="15" customHeight="1" x14ac:dyDescent="0.4">
      <c r="A2625" t="s">
        <v>15</v>
      </c>
      <c r="B2625" t="s">
        <v>16</v>
      </c>
      <c r="C2625" s="13">
        <v>43466</v>
      </c>
      <c r="D2625" s="13">
        <v>43830</v>
      </c>
      <c r="E2625" t="s">
        <v>17</v>
      </c>
      <c r="F2625">
        <v>0</v>
      </c>
      <c r="G2625" t="s">
        <v>342</v>
      </c>
      <c r="H2625">
        <v>2</v>
      </c>
      <c r="I2625" t="s">
        <v>343</v>
      </c>
      <c r="J2625">
        <v>269</v>
      </c>
      <c r="K2625" t="s">
        <v>350</v>
      </c>
      <c r="L2625" s="13">
        <v>43730</v>
      </c>
      <c r="M2625" t="s">
        <v>76</v>
      </c>
      <c r="N2625" t="s">
        <v>1669</v>
      </c>
      <c r="O2625">
        <v>35.380000000000003</v>
      </c>
      <c r="P2625" t="s">
        <v>52</v>
      </c>
    </row>
    <row r="2626" spans="1:16" ht="15" customHeight="1" x14ac:dyDescent="0.4">
      <c r="A2626" t="s">
        <v>15</v>
      </c>
      <c r="B2626" t="s">
        <v>16</v>
      </c>
      <c r="C2626" s="13">
        <v>43466</v>
      </c>
      <c r="D2626" s="13">
        <v>43830</v>
      </c>
      <c r="E2626" t="s">
        <v>17</v>
      </c>
      <c r="F2626">
        <v>0</v>
      </c>
      <c r="G2626" t="s">
        <v>342</v>
      </c>
      <c r="H2626">
        <v>2</v>
      </c>
      <c r="I2626" t="s">
        <v>343</v>
      </c>
      <c r="J2626">
        <v>269</v>
      </c>
      <c r="K2626" t="s">
        <v>350</v>
      </c>
      <c r="L2626" s="13">
        <v>43792</v>
      </c>
      <c r="M2626" t="s">
        <v>76</v>
      </c>
      <c r="N2626" t="s">
        <v>1670</v>
      </c>
      <c r="O2626">
        <v>37.28</v>
      </c>
      <c r="P2626" t="s">
        <v>52</v>
      </c>
    </row>
    <row r="2627" spans="1:16" ht="15" customHeight="1" x14ac:dyDescent="0.4">
      <c r="A2627" t="s">
        <v>15</v>
      </c>
      <c r="B2627" t="s">
        <v>16</v>
      </c>
      <c r="C2627" s="13">
        <v>43466</v>
      </c>
      <c r="D2627" s="13">
        <v>43830</v>
      </c>
      <c r="E2627" t="s">
        <v>17</v>
      </c>
      <c r="F2627">
        <v>0</v>
      </c>
      <c r="G2627" t="s">
        <v>342</v>
      </c>
      <c r="H2627">
        <v>2</v>
      </c>
      <c r="I2627" t="s">
        <v>343</v>
      </c>
      <c r="J2627">
        <v>702</v>
      </c>
      <c r="K2627" t="s">
        <v>275</v>
      </c>
      <c r="L2627" s="13">
        <v>43644</v>
      </c>
      <c r="M2627" t="s">
        <v>1671</v>
      </c>
      <c r="N2627" t="s">
        <v>46</v>
      </c>
      <c r="O2627">
        <v>118.8</v>
      </c>
      <c r="P2627" t="s">
        <v>46</v>
      </c>
    </row>
    <row r="2628" spans="1:16" ht="15" customHeight="1" x14ac:dyDescent="0.4">
      <c r="A2628" t="s">
        <v>15</v>
      </c>
      <c r="B2628" t="s">
        <v>16</v>
      </c>
      <c r="C2628" s="13">
        <v>43466</v>
      </c>
      <c r="D2628" s="13">
        <v>43830</v>
      </c>
      <c r="E2628" t="s">
        <v>17</v>
      </c>
      <c r="F2628">
        <v>0</v>
      </c>
      <c r="G2628" t="s">
        <v>342</v>
      </c>
      <c r="H2628">
        <v>2</v>
      </c>
      <c r="I2628" t="s">
        <v>343</v>
      </c>
      <c r="J2628">
        <v>706</v>
      </c>
      <c r="K2628" t="s">
        <v>365</v>
      </c>
      <c r="L2628" s="13">
        <v>43644</v>
      </c>
      <c r="M2628" t="s">
        <v>366</v>
      </c>
      <c r="N2628" t="s">
        <v>1672</v>
      </c>
      <c r="O2628">
        <v>53.05</v>
      </c>
      <c r="P2628" t="s">
        <v>368</v>
      </c>
    </row>
    <row r="2629" spans="1:16" ht="15" customHeight="1" x14ac:dyDescent="0.4">
      <c r="A2629" t="s">
        <v>15</v>
      </c>
      <c r="B2629" t="s">
        <v>16</v>
      </c>
      <c r="C2629" s="13">
        <v>43466</v>
      </c>
      <c r="D2629" s="13">
        <v>43830</v>
      </c>
      <c r="E2629" t="s">
        <v>17</v>
      </c>
      <c r="F2629">
        <v>0</v>
      </c>
      <c r="G2629" t="s">
        <v>342</v>
      </c>
      <c r="H2629">
        <v>2</v>
      </c>
      <c r="I2629" t="s">
        <v>343</v>
      </c>
      <c r="J2629">
        <v>791</v>
      </c>
      <c r="K2629" t="s">
        <v>369</v>
      </c>
      <c r="L2629" s="13">
        <v>43830</v>
      </c>
      <c r="M2629" t="s">
        <v>370</v>
      </c>
      <c r="N2629" t="s">
        <v>288</v>
      </c>
      <c r="O2629">
        <v>397.95</v>
      </c>
      <c r="P2629" t="s">
        <v>46</v>
      </c>
    </row>
    <row r="2630" spans="1:16" ht="15" customHeight="1" x14ac:dyDescent="0.4">
      <c r="A2630" t="s">
        <v>15</v>
      </c>
      <c r="B2630" t="s">
        <v>16</v>
      </c>
      <c r="C2630" s="13">
        <v>43466</v>
      </c>
      <c r="D2630" s="13">
        <v>43830</v>
      </c>
      <c r="E2630" t="s">
        <v>17</v>
      </c>
      <c r="F2630">
        <v>0</v>
      </c>
      <c r="G2630" t="s">
        <v>342</v>
      </c>
      <c r="H2630">
        <v>2</v>
      </c>
      <c r="I2630" t="s">
        <v>343</v>
      </c>
      <c r="J2630">
        <v>883</v>
      </c>
      <c r="K2630" t="s">
        <v>371</v>
      </c>
      <c r="L2630" s="13">
        <v>43466</v>
      </c>
      <c r="M2630" t="s">
        <v>1673</v>
      </c>
      <c r="N2630" t="s">
        <v>1674</v>
      </c>
      <c r="O2630">
        <v>153.53</v>
      </c>
      <c r="P2630" t="s">
        <v>374</v>
      </c>
    </row>
    <row r="2631" spans="1:16" ht="15" customHeight="1" x14ac:dyDescent="0.4">
      <c r="A2631" t="s">
        <v>15</v>
      </c>
      <c r="B2631" t="s">
        <v>16</v>
      </c>
      <c r="C2631" s="13">
        <v>43466</v>
      </c>
      <c r="D2631" s="13">
        <v>43830</v>
      </c>
      <c r="E2631" t="s">
        <v>17</v>
      </c>
      <c r="F2631">
        <v>0</v>
      </c>
      <c r="G2631" t="s">
        <v>342</v>
      </c>
      <c r="H2631">
        <v>2</v>
      </c>
      <c r="I2631" t="s">
        <v>343</v>
      </c>
      <c r="J2631">
        <v>883</v>
      </c>
      <c r="K2631" t="s">
        <v>371</v>
      </c>
      <c r="L2631" s="13">
        <v>43830</v>
      </c>
      <c r="M2631" t="s">
        <v>375</v>
      </c>
      <c r="N2631" t="s">
        <v>376</v>
      </c>
      <c r="O2631">
        <v>-51.17</v>
      </c>
      <c r="P2631" t="s">
        <v>46</v>
      </c>
    </row>
    <row r="2632" spans="1:16" ht="15" customHeight="1" x14ac:dyDescent="0.4">
      <c r="A2632" t="s">
        <v>15</v>
      </c>
      <c r="B2632" t="s">
        <v>16</v>
      </c>
      <c r="C2632" s="13">
        <v>43466</v>
      </c>
      <c r="D2632" s="13">
        <v>43830</v>
      </c>
      <c r="E2632" t="s">
        <v>17</v>
      </c>
      <c r="F2632">
        <v>0</v>
      </c>
      <c r="G2632" t="s">
        <v>342</v>
      </c>
      <c r="H2632">
        <v>2</v>
      </c>
      <c r="I2632" t="s">
        <v>343</v>
      </c>
      <c r="J2632">
        <v>891</v>
      </c>
      <c r="K2632" t="s">
        <v>377</v>
      </c>
      <c r="L2632" s="13">
        <v>43466</v>
      </c>
      <c r="M2632" t="s">
        <v>1675</v>
      </c>
      <c r="N2632" t="s">
        <v>1676</v>
      </c>
      <c r="O2632">
        <v>4523.82</v>
      </c>
      <c r="P2632" t="s">
        <v>1444</v>
      </c>
    </row>
    <row r="2633" spans="1:16" ht="15" customHeight="1" x14ac:dyDescent="0.4">
      <c r="A2633" t="s">
        <v>15</v>
      </c>
      <c r="B2633" t="s">
        <v>16</v>
      </c>
      <c r="C2633" s="13">
        <v>43466</v>
      </c>
      <c r="D2633" s="13">
        <v>43830</v>
      </c>
      <c r="E2633" t="s">
        <v>17</v>
      </c>
      <c r="F2633">
        <v>0</v>
      </c>
      <c r="G2633" t="s">
        <v>342</v>
      </c>
      <c r="H2633">
        <v>2</v>
      </c>
      <c r="I2633" t="s">
        <v>343</v>
      </c>
      <c r="J2633">
        <v>891</v>
      </c>
      <c r="K2633" t="s">
        <v>377</v>
      </c>
      <c r="L2633" s="13">
        <v>43556</v>
      </c>
      <c r="M2633" t="s">
        <v>1677</v>
      </c>
      <c r="N2633" t="s">
        <v>1676</v>
      </c>
      <c r="O2633">
        <v>4523.82</v>
      </c>
      <c r="P2633" t="s">
        <v>1444</v>
      </c>
    </row>
    <row r="2634" spans="1:16" ht="15" customHeight="1" x14ac:dyDescent="0.4">
      <c r="A2634" t="s">
        <v>15</v>
      </c>
      <c r="B2634" t="s">
        <v>16</v>
      </c>
      <c r="C2634" s="13">
        <v>43466</v>
      </c>
      <c r="D2634" s="13">
        <v>43830</v>
      </c>
      <c r="E2634" t="s">
        <v>17</v>
      </c>
      <c r="F2634">
        <v>0</v>
      </c>
      <c r="G2634" t="s">
        <v>342</v>
      </c>
      <c r="H2634">
        <v>2</v>
      </c>
      <c r="I2634" t="s">
        <v>343</v>
      </c>
      <c r="J2634">
        <v>891</v>
      </c>
      <c r="K2634" t="s">
        <v>377</v>
      </c>
      <c r="L2634" s="13">
        <v>43647</v>
      </c>
      <c r="M2634" t="s">
        <v>1678</v>
      </c>
      <c r="N2634" t="s">
        <v>1679</v>
      </c>
      <c r="O2634">
        <v>4523.82</v>
      </c>
      <c r="P2634" t="s">
        <v>1444</v>
      </c>
    </row>
    <row r="2635" spans="1:16" ht="15" customHeight="1" x14ac:dyDescent="0.4">
      <c r="A2635" t="s">
        <v>15</v>
      </c>
      <c r="B2635" t="s">
        <v>16</v>
      </c>
      <c r="C2635" s="13">
        <v>43466</v>
      </c>
      <c r="D2635" s="13">
        <v>43830</v>
      </c>
      <c r="E2635" t="s">
        <v>17</v>
      </c>
      <c r="F2635">
        <v>0</v>
      </c>
      <c r="G2635" t="s">
        <v>342</v>
      </c>
      <c r="H2635">
        <v>2</v>
      </c>
      <c r="I2635" t="s">
        <v>343</v>
      </c>
      <c r="J2635">
        <v>891</v>
      </c>
      <c r="K2635" t="s">
        <v>377</v>
      </c>
      <c r="L2635" s="13">
        <v>43739</v>
      </c>
      <c r="M2635" t="s">
        <v>1680</v>
      </c>
      <c r="N2635" t="s">
        <v>1681</v>
      </c>
      <c r="O2635">
        <v>4523.83</v>
      </c>
      <c r="P2635" t="s">
        <v>1444</v>
      </c>
    </row>
    <row r="2636" spans="1:16" ht="15" customHeight="1" x14ac:dyDescent="0.4">
      <c r="A2636" t="s">
        <v>15</v>
      </c>
      <c r="B2636" t="s">
        <v>16</v>
      </c>
      <c r="C2636" s="13">
        <v>43466</v>
      </c>
      <c r="D2636" s="13">
        <v>43830</v>
      </c>
      <c r="E2636" t="s">
        <v>17</v>
      </c>
      <c r="F2636">
        <v>0</v>
      </c>
      <c r="G2636" t="s">
        <v>342</v>
      </c>
      <c r="H2636">
        <v>2</v>
      </c>
      <c r="I2636" t="s">
        <v>343</v>
      </c>
      <c r="J2636">
        <v>891</v>
      </c>
      <c r="K2636" t="s">
        <v>377</v>
      </c>
      <c r="L2636" s="13">
        <v>43830</v>
      </c>
      <c r="M2636" t="s">
        <v>1327</v>
      </c>
      <c r="N2636" t="s">
        <v>1682</v>
      </c>
      <c r="O2636">
        <v>430.2</v>
      </c>
      <c r="P2636" t="s">
        <v>1444</v>
      </c>
    </row>
    <row r="2637" spans="1:16" ht="15" customHeight="1" x14ac:dyDescent="0.4">
      <c r="A2637" t="s">
        <v>15</v>
      </c>
      <c r="B2637" t="s">
        <v>16</v>
      </c>
      <c r="C2637" s="13">
        <v>43466</v>
      </c>
      <c r="D2637" s="13">
        <v>43830</v>
      </c>
      <c r="E2637" t="s">
        <v>17</v>
      </c>
      <c r="F2637">
        <v>0</v>
      </c>
      <c r="G2637" t="s">
        <v>467</v>
      </c>
      <c r="H2637">
        <v>17</v>
      </c>
      <c r="I2637" t="s">
        <v>468</v>
      </c>
      <c r="J2637">
        <v>401</v>
      </c>
      <c r="K2637" t="s">
        <v>476</v>
      </c>
      <c r="L2637" s="13">
        <v>43830</v>
      </c>
      <c r="M2637" t="s">
        <v>1683</v>
      </c>
      <c r="N2637" t="s">
        <v>1684</v>
      </c>
      <c r="O2637">
        <v>7602.97</v>
      </c>
      <c r="P2637" t="s">
        <v>1444</v>
      </c>
    </row>
    <row r="2638" spans="1:16" ht="15" customHeight="1" x14ac:dyDescent="0.4">
      <c r="A2638" t="s">
        <v>15</v>
      </c>
      <c r="B2638" t="s">
        <v>16</v>
      </c>
      <c r="C2638" s="13">
        <v>43466</v>
      </c>
      <c r="D2638" s="13">
        <v>43830</v>
      </c>
      <c r="E2638" t="s">
        <v>17</v>
      </c>
      <c r="F2638">
        <v>0</v>
      </c>
      <c r="G2638" t="s">
        <v>478</v>
      </c>
      <c r="H2638">
        <v>55</v>
      </c>
      <c r="I2638" t="s">
        <v>479</v>
      </c>
      <c r="J2638">
        <v>282</v>
      </c>
      <c r="K2638" t="s">
        <v>480</v>
      </c>
      <c r="L2638" s="13">
        <v>43830</v>
      </c>
      <c r="M2638" t="s">
        <v>1685</v>
      </c>
      <c r="N2638" t="s">
        <v>86</v>
      </c>
      <c r="O2638">
        <v>7587.11</v>
      </c>
      <c r="P2638" t="s">
        <v>46</v>
      </c>
    </row>
    <row r="2639" spans="1:16" ht="15" customHeight="1" x14ac:dyDescent="0.4">
      <c r="A2639" t="s">
        <v>15</v>
      </c>
      <c r="B2639" t="s">
        <v>16</v>
      </c>
      <c r="C2639" s="13">
        <v>43466</v>
      </c>
      <c r="D2639" s="13">
        <v>43830</v>
      </c>
      <c r="E2639" t="s">
        <v>17</v>
      </c>
      <c r="F2639">
        <v>0</v>
      </c>
      <c r="G2639" t="s">
        <v>482</v>
      </c>
      <c r="H2639">
        <v>60</v>
      </c>
      <c r="I2639" t="s">
        <v>483</v>
      </c>
      <c r="J2639">
        <v>881</v>
      </c>
      <c r="K2639" t="s">
        <v>327</v>
      </c>
      <c r="L2639" s="13">
        <v>43654</v>
      </c>
      <c r="M2639" t="s">
        <v>1686</v>
      </c>
      <c r="N2639" t="s">
        <v>1687</v>
      </c>
      <c r="O2639">
        <v>1230.31</v>
      </c>
      <c r="P2639" t="s">
        <v>374</v>
      </c>
    </row>
    <row r="2640" spans="1:16" ht="15" customHeight="1" x14ac:dyDescent="0.4">
      <c r="A2640" t="s">
        <v>15</v>
      </c>
      <c r="B2640" t="s">
        <v>16</v>
      </c>
      <c r="C2640" s="13">
        <v>43466</v>
      </c>
      <c r="D2640" s="13">
        <v>43830</v>
      </c>
      <c r="E2640" t="s">
        <v>17</v>
      </c>
      <c r="F2640">
        <v>0</v>
      </c>
      <c r="G2640" t="s">
        <v>482</v>
      </c>
      <c r="H2640">
        <v>60</v>
      </c>
      <c r="I2640" t="s">
        <v>483</v>
      </c>
      <c r="J2640">
        <v>881</v>
      </c>
      <c r="K2640" t="s">
        <v>327</v>
      </c>
      <c r="L2640" s="13">
        <v>43830</v>
      </c>
      <c r="M2640" t="s">
        <v>486</v>
      </c>
      <c r="N2640" t="s">
        <v>329</v>
      </c>
      <c r="O2640">
        <v>-28.61</v>
      </c>
      <c r="P2640" t="s">
        <v>46</v>
      </c>
    </row>
    <row r="2641" spans="1:16" ht="15" customHeight="1" x14ac:dyDescent="0.4">
      <c r="A2641" t="s">
        <v>15</v>
      </c>
      <c r="B2641" t="s">
        <v>16</v>
      </c>
      <c r="C2641" s="13">
        <v>43466</v>
      </c>
      <c r="D2641" s="13">
        <v>43830</v>
      </c>
      <c r="E2641" t="s">
        <v>17</v>
      </c>
      <c r="F2641">
        <v>1</v>
      </c>
      <c r="G2641" t="s">
        <v>18</v>
      </c>
      <c r="H2641">
        <v>1</v>
      </c>
      <c r="I2641" t="s">
        <v>19</v>
      </c>
      <c r="J2641">
        <v>242</v>
      </c>
      <c r="K2641" t="s">
        <v>487</v>
      </c>
      <c r="L2641" s="13">
        <v>43830</v>
      </c>
      <c r="M2641" t="s">
        <v>1664</v>
      </c>
      <c r="N2641" t="s">
        <v>45</v>
      </c>
      <c r="O2641">
        <v>332.6</v>
      </c>
      <c r="P2641" t="s">
        <v>46</v>
      </c>
    </row>
    <row r="2642" spans="1:16" ht="15" customHeight="1" x14ac:dyDescent="0.4">
      <c r="A2642" t="s">
        <v>15</v>
      </c>
      <c r="B2642" t="s">
        <v>16</v>
      </c>
      <c r="C2642" s="13">
        <v>43466</v>
      </c>
      <c r="D2642" s="13">
        <v>43830</v>
      </c>
      <c r="E2642" t="s">
        <v>17</v>
      </c>
      <c r="F2642">
        <v>1</v>
      </c>
      <c r="G2642" t="s">
        <v>18</v>
      </c>
      <c r="H2642">
        <v>1</v>
      </c>
      <c r="I2642" t="s">
        <v>19</v>
      </c>
      <c r="J2642">
        <v>269</v>
      </c>
      <c r="K2642" t="s">
        <v>75</v>
      </c>
      <c r="L2642" s="13">
        <v>43486</v>
      </c>
      <c r="M2642" t="s">
        <v>76</v>
      </c>
      <c r="N2642" t="s">
        <v>1437</v>
      </c>
      <c r="O2642">
        <v>13.62</v>
      </c>
      <c r="P2642" t="s">
        <v>52</v>
      </c>
    </row>
    <row r="2643" spans="1:16" ht="15" customHeight="1" x14ac:dyDescent="0.4">
      <c r="A2643" t="s">
        <v>15</v>
      </c>
      <c r="B2643" t="s">
        <v>16</v>
      </c>
      <c r="C2643" s="13">
        <v>43466</v>
      </c>
      <c r="D2643" s="13">
        <v>43830</v>
      </c>
      <c r="E2643" t="s">
        <v>17</v>
      </c>
      <c r="F2643">
        <v>1</v>
      </c>
      <c r="G2643" t="s">
        <v>18</v>
      </c>
      <c r="H2643">
        <v>1</v>
      </c>
      <c r="I2643" t="s">
        <v>19</v>
      </c>
      <c r="J2643">
        <v>269</v>
      </c>
      <c r="K2643" t="s">
        <v>75</v>
      </c>
      <c r="L2643" s="13">
        <v>43546</v>
      </c>
      <c r="M2643" t="s">
        <v>76</v>
      </c>
      <c r="N2643" t="s">
        <v>1438</v>
      </c>
      <c r="O2643">
        <v>8.33</v>
      </c>
      <c r="P2643" t="s">
        <v>52</v>
      </c>
    </row>
    <row r="2644" spans="1:16" ht="15" customHeight="1" x14ac:dyDescent="0.4">
      <c r="A2644" t="s">
        <v>15</v>
      </c>
      <c r="B2644" t="s">
        <v>16</v>
      </c>
      <c r="C2644" s="13">
        <v>43466</v>
      </c>
      <c r="D2644" s="13">
        <v>43830</v>
      </c>
      <c r="E2644" t="s">
        <v>17</v>
      </c>
      <c r="F2644">
        <v>1</v>
      </c>
      <c r="G2644" t="s">
        <v>18</v>
      </c>
      <c r="H2644">
        <v>1</v>
      </c>
      <c r="I2644" t="s">
        <v>19</v>
      </c>
      <c r="J2644">
        <v>269</v>
      </c>
      <c r="K2644" t="s">
        <v>75</v>
      </c>
      <c r="L2644" s="13">
        <v>43606</v>
      </c>
      <c r="M2644" t="s">
        <v>76</v>
      </c>
      <c r="N2644" t="s">
        <v>1439</v>
      </c>
      <c r="O2644">
        <v>17.489999999999998</v>
      </c>
      <c r="P2644" t="s">
        <v>52</v>
      </c>
    </row>
    <row r="2645" spans="1:16" ht="15" customHeight="1" x14ac:dyDescent="0.4">
      <c r="A2645" t="s">
        <v>15</v>
      </c>
      <c r="B2645" t="s">
        <v>16</v>
      </c>
      <c r="C2645" s="13">
        <v>43466</v>
      </c>
      <c r="D2645" s="13">
        <v>43830</v>
      </c>
      <c r="E2645" t="s">
        <v>17</v>
      </c>
      <c r="F2645">
        <v>1</v>
      </c>
      <c r="G2645" t="s">
        <v>18</v>
      </c>
      <c r="H2645">
        <v>1</v>
      </c>
      <c r="I2645" t="s">
        <v>19</v>
      </c>
      <c r="J2645">
        <v>269</v>
      </c>
      <c r="K2645" t="s">
        <v>75</v>
      </c>
      <c r="L2645" s="13">
        <v>43666</v>
      </c>
      <c r="M2645" t="s">
        <v>76</v>
      </c>
      <c r="N2645" t="s">
        <v>1440</v>
      </c>
      <c r="O2645">
        <v>29.33</v>
      </c>
      <c r="P2645" t="s">
        <v>52</v>
      </c>
    </row>
    <row r="2646" spans="1:16" ht="15" customHeight="1" x14ac:dyDescent="0.4">
      <c r="A2646" t="s">
        <v>15</v>
      </c>
      <c r="B2646" t="s">
        <v>16</v>
      </c>
      <c r="C2646" s="13">
        <v>43466</v>
      </c>
      <c r="D2646" s="13">
        <v>43830</v>
      </c>
      <c r="E2646" t="s">
        <v>17</v>
      </c>
      <c r="F2646">
        <v>1</v>
      </c>
      <c r="G2646" t="s">
        <v>18</v>
      </c>
      <c r="H2646">
        <v>1</v>
      </c>
      <c r="I2646" t="s">
        <v>19</v>
      </c>
      <c r="J2646">
        <v>269</v>
      </c>
      <c r="K2646" t="s">
        <v>75</v>
      </c>
      <c r="L2646" s="13">
        <v>43728</v>
      </c>
      <c r="M2646" t="s">
        <v>76</v>
      </c>
      <c r="N2646" t="s">
        <v>1441</v>
      </c>
      <c r="O2646">
        <v>37.36</v>
      </c>
      <c r="P2646" t="s">
        <v>52</v>
      </c>
    </row>
    <row r="2647" spans="1:16" ht="15" customHeight="1" x14ac:dyDescent="0.4">
      <c r="A2647" t="s">
        <v>15</v>
      </c>
      <c r="B2647" t="s">
        <v>16</v>
      </c>
      <c r="C2647" s="13">
        <v>43466</v>
      </c>
      <c r="D2647" s="13">
        <v>43830</v>
      </c>
      <c r="E2647" t="s">
        <v>17</v>
      </c>
      <c r="F2647">
        <v>1</v>
      </c>
      <c r="G2647" t="s">
        <v>18</v>
      </c>
      <c r="H2647">
        <v>1</v>
      </c>
      <c r="I2647" t="s">
        <v>19</v>
      </c>
      <c r="J2647">
        <v>269</v>
      </c>
      <c r="K2647" t="s">
        <v>75</v>
      </c>
      <c r="L2647" s="13">
        <v>43789</v>
      </c>
      <c r="M2647" t="s">
        <v>76</v>
      </c>
      <c r="N2647" t="s">
        <v>1442</v>
      </c>
      <c r="O2647">
        <v>26.41</v>
      </c>
      <c r="P2647" t="s">
        <v>52</v>
      </c>
    </row>
    <row r="2648" spans="1:16" ht="15" customHeight="1" x14ac:dyDescent="0.4">
      <c r="A2648" t="s">
        <v>15</v>
      </c>
      <c r="B2648" t="s">
        <v>16</v>
      </c>
      <c r="C2648" s="13">
        <v>43466</v>
      </c>
      <c r="D2648" s="13">
        <v>43830</v>
      </c>
      <c r="E2648" t="s">
        <v>17</v>
      </c>
      <c r="F2648">
        <v>1</v>
      </c>
      <c r="G2648" t="s">
        <v>18</v>
      </c>
      <c r="H2648">
        <v>1</v>
      </c>
      <c r="I2648" t="s">
        <v>19</v>
      </c>
      <c r="J2648">
        <v>401</v>
      </c>
      <c r="K2648" t="s">
        <v>476</v>
      </c>
      <c r="L2648" s="13">
        <v>43830</v>
      </c>
      <c r="M2648" t="s">
        <v>1683</v>
      </c>
      <c r="N2648" t="s">
        <v>1688</v>
      </c>
      <c r="O2648">
        <v>1356.09</v>
      </c>
      <c r="P2648" t="s">
        <v>1444</v>
      </c>
    </row>
    <row r="2649" spans="1:16" ht="15" customHeight="1" x14ac:dyDescent="0.4">
      <c r="A2649" t="s">
        <v>15</v>
      </c>
      <c r="B2649" t="s">
        <v>16</v>
      </c>
      <c r="C2649" s="13">
        <v>43466</v>
      </c>
      <c r="D2649" s="13">
        <v>43830</v>
      </c>
      <c r="E2649" t="s">
        <v>17</v>
      </c>
      <c r="F2649">
        <v>1</v>
      </c>
      <c r="G2649" t="s">
        <v>18</v>
      </c>
      <c r="H2649">
        <v>1</v>
      </c>
      <c r="I2649" t="s">
        <v>19</v>
      </c>
      <c r="J2649">
        <v>605</v>
      </c>
      <c r="K2649" t="s">
        <v>495</v>
      </c>
      <c r="L2649" s="13">
        <v>43619</v>
      </c>
      <c r="M2649" t="s">
        <v>1689</v>
      </c>
      <c r="N2649" t="s">
        <v>1690</v>
      </c>
      <c r="O2649">
        <v>314.05</v>
      </c>
      <c r="P2649" t="s">
        <v>472</v>
      </c>
    </row>
    <row r="2650" spans="1:16" ht="15" customHeight="1" x14ac:dyDescent="0.4">
      <c r="A2650" t="s">
        <v>15</v>
      </c>
      <c r="B2650" t="s">
        <v>16</v>
      </c>
      <c r="C2650" s="13">
        <v>43466</v>
      </c>
      <c r="D2650" s="13">
        <v>43830</v>
      </c>
      <c r="E2650" t="s">
        <v>17</v>
      </c>
      <c r="F2650">
        <v>1</v>
      </c>
      <c r="G2650" t="s">
        <v>18</v>
      </c>
      <c r="H2650">
        <v>1</v>
      </c>
      <c r="I2650" t="s">
        <v>19</v>
      </c>
      <c r="J2650">
        <v>605</v>
      </c>
      <c r="K2650" t="s">
        <v>495</v>
      </c>
      <c r="L2650" s="13">
        <v>43672</v>
      </c>
      <c r="M2650" t="s">
        <v>1691</v>
      </c>
      <c r="N2650" t="s">
        <v>1692</v>
      </c>
      <c r="O2650">
        <v>161.69999999999999</v>
      </c>
      <c r="P2650" t="s">
        <v>472</v>
      </c>
    </row>
    <row r="2651" spans="1:16" ht="15" customHeight="1" x14ac:dyDescent="0.4">
      <c r="A2651" t="s">
        <v>15</v>
      </c>
      <c r="B2651" t="s">
        <v>16</v>
      </c>
      <c r="C2651" s="13">
        <v>43466</v>
      </c>
      <c r="D2651" s="13">
        <v>43830</v>
      </c>
      <c r="E2651" t="s">
        <v>17</v>
      </c>
      <c r="F2651">
        <v>1</v>
      </c>
      <c r="G2651" t="s">
        <v>18</v>
      </c>
      <c r="H2651">
        <v>1</v>
      </c>
      <c r="I2651" t="s">
        <v>19</v>
      </c>
      <c r="J2651">
        <v>702</v>
      </c>
      <c r="K2651" t="s">
        <v>275</v>
      </c>
      <c r="L2651" s="13">
        <v>43644</v>
      </c>
      <c r="M2651" t="s">
        <v>1693</v>
      </c>
      <c r="N2651" t="s">
        <v>46</v>
      </c>
      <c r="O2651">
        <v>19.8</v>
      </c>
      <c r="P2651" t="s">
        <v>46</v>
      </c>
    </row>
    <row r="2652" spans="1:16" ht="15" customHeight="1" x14ac:dyDescent="0.4">
      <c r="A2652" t="s">
        <v>15</v>
      </c>
      <c r="B2652" t="s">
        <v>16</v>
      </c>
      <c r="C2652" s="13">
        <v>43466</v>
      </c>
      <c r="D2652" s="13">
        <v>43830</v>
      </c>
      <c r="E2652" t="s">
        <v>17</v>
      </c>
      <c r="F2652">
        <v>1</v>
      </c>
      <c r="G2652" t="s">
        <v>18</v>
      </c>
      <c r="H2652">
        <v>1</v>
      </c>
      <c r="I2652" t="s">
        <v>19</v>
      </c>
      <c r="J2652">
        <v>891</v>
      </c>
      <c r="K2652" t="s">
        <v>377</v>
      </c>
      <c r="L2652" s="13">
        <v>43466</v>
      </c>
      <c r="M2652" t="s">
        <v>1675</v>
      </c>
      <c r="N2652" t="s">
        <v>1694</v>
      </c>
      <c r="O2652">
        <v>2797.46</v>
      </c>
      <c r="P2652" t="s">
        <v>1444</v>
      </c>
    </row>
    <row r="2653" spans="1:16" ht="15" customHeight="1" x14ac:dyDescent="0.4">
      <c r="A2653" t="s">
        <v>15</v>
      </c>
      <c r="B2653" t="s">
        <v>16</v>
      </c>
      <c r="C2653" s="13">
        <v>43466</v>
      </c>
      <c r="D2653" s="13">
        <v>43830</v>
      </c>
      <c r="E2653" t="s">
        <v>17</v>
      </c>
      <c r="F2653">
        <v>1</v>
      </c>
      <c r="G2653" t="s">
        <v>18</v>
      </c>
      <c r="H2653">
        <v>1</v>
      </c>
      <c r="I2653" t="s">
        <v>19</v>
      </c>
      <c r="J2653">
        <v>891</v>
      </c>
      <c r="K2653" t="s">
        <v>377</v>
      </c>
      <c r="L2653" s="13">
        <v>43556</v>
      </c>
      <c r="M2653" t="s">
        <v>1677</v>
      </c>
      <c r="N2653" t="s">
        <v>1694</v>
      </c>
      <c r="O2653">
        <v>2797.46</v>
      </c>
      <c r="P2653" t="s">
        <v>1444</v>
      </c>
    </row>
    <row r="2654" spans="1:16" ht="15" customHeight="1" x14ac:dyDescent="0.4">
      <c r="A2654" t="s">
        <v>15</v>
      </c>
      <c r="B2654" t="s">
        <v>16</v>
      </c>
      <c r="C2654" s="13">
        <v>43466</v>
      </c>
      <c r="D2654" s="13">
        <v>43830</v>
      </c>
      <c r="E2654" t="s">
        <v>17</v>
      </c>
      <c r="F2654">
        <v>1</v>
      </c>
      <c r="G2654" t="s">
        <v>18</v>
      </c>
      <c r="H2654">
        <v>1</v>
      </c>
      <c r="I2654" t="s">
        <v>19</v>
      </c>
      <c r="J2654">
        <v>891</v>
      </c>
      <c r="K2654" t="s">
        <v>377</v>
      </c>
      <c r="L2654" s="13">
        <v>43647</v>
      </c>
      <c r="M2654" t="s">
        <v>1678</v>
      </c>
      <c r="N2654" t="s">
        <v>1679</v>
      </c>
      <c r="O2654">
        <v>2797.46</v>
      </c>
      <c r="P2654" t="s">
        <v>1444</v>
      </c>
    </row>
    <row r="2655" spans="1:16" ht="15" customHeight="1" x14ac:dyDescent="0.4">
      <c r="A2655" t="s">
        <v>15</v>
      </c>
      <c r="B2655" t="s">
        <v>16</v>
      </c>
      <c r="C2655" s="13">
        <v>43466</v>
      </c>
      <c r="D2655" s="13">
        <v>43830</v>
      </c>
      <c r="E2655" t="s">
        <v>17</v>
      </c>
      <c r="F2655">
        <v>1</v>
      </c>
      <c r="G2655" t="s">
        <v>18</v>
      </c>
      <c r="H2655">
        <v>1</v>
      </c>
      <c r="I2655" t="s">
        <v>19</v>
      </c>
      <c r="J2655">
        <v>891</v>
      </c>
      <c r="K2655" t="s">
        <v>377</v>
      </c>
      <c r="L2655" s="13">
        <v>43739</v>
      </c>
      <c r="M2655" t="s">
        <v>1680</v>
      </c>
      <c r="N2655" t="s">
        <v>1695</v>
      </c>
      <c r="O2655">
        <v>2797.46</v>
      </c>
      <c r="P2655" t="s">
        <v>1444</v>
      </c>
    </row>
    <row r="2656" spans="1:16" ht="15" customHeight="1" x14ac:dyDescent="0.4">
      <c r="A2656" t="s">
        <v>15</v>
      </c>
      <c r="B2656" t="s">
        <v>16</v>
      </c>
      <c r="C2656" s="13">
        <v>43466</v>
      </c>
      <c r="D2656" s="13">
        <v>43830</v>
      </c>
      <c r="E2656" t="s">
        <v>17</v>
      </c>
      <c r="F2656">
        <v>1</v>
      </c>
      <c r="G2656" t="s">
        <v>18</v>
      </c>
      <c r="H2656">
        <v>1</v>
      </c>
      <c r="I2656" t="s">
        <v>19</v>
      </c>
      <c r="J2656">
        <v>891</v>
      </c>
      <c r="K2656" t="s">
        <v>377</v>
      </c>
      <c r="L2656" s="13">
        <v>43830</v>
      </c>
      <c r="M2656" t="s">
        <v>1327</v>
      </c>
      <c r="N2656" t="s">
        <v>1696</v>
      </c>
      <c r="O2656">
        <v>277.45</v>
      </c>
      <c r="P2656" t="s">
        <v>1444</v>
      </c>
    </row>
    <row r="2657" spans="1:16" ht="15" customHeight="1" x14ac:dyDescent="0.4">
      <c r="A2657" t="s">
        <v>15</v>
      </c>
      <c r="B2657" t="s">
        <v>16</v>
      </c>
      <c r="C2657" s="13">
        <v>43466</v>
      </c>
      <c r="D2657" s="13">
        <v>43830</v>
      </c>
      <c r="E2657" t="s">
        <v>17</v>
      </c>
      <c r="F2657">
        <v>3</v>
      </c>
      <c r="G2657" t="s">
        <v>18</v>
      </c>
      <c r="H2657">
        <v>1</v>
      </c>
      <c r="I2657" t="s">
        <v>19</v>
      </c>
      <c r="J2657">
        <v>105</v>
      </c>
      <c r="K2657" t="s">
        <v>1341</v>
      </c>
      <c r="L2657" s="13">
        <v>43641</v>
      </c>
      <c r="M2657" t="s">
        <v>1697</v>
      </c>
      <c r="N2657" t="s">
        <v>1698</v>
      </c>
      <c r="O2657">
        <v>104.5</v>
      </c>
      <c r="P2657" t="s">
        <v>1034</v>
      </c>
    </row>
    <row r="2658" spans="1:16" ht="15" customHeight="1" x14ac:dyDescent="0.4">
      <c r="A2658" t="s">
        <v>15</v>
      </c>
      <c r="B2658" t="s">
        <v>16</v>
      </c>
      <c r="C2658" s="13">
        <v>43466</v>
      </c>
      <c r="D2658" s="13">
        <v>43830</v>
      </c>
      <c r="E2658" t="s">
        <v>30</v>
      </c>
      <c r="F2658">
        <v>3</v>
      </c>
      <c r="G2658" t="s">
        <v>18</v>
      </c>
      <c r="H2658">
        <v>1</v>
      </c>
      <c r="I2658" t="s">
        <v>19</v>
      </c>
      <c r="J2658">
        <v>236</v>
      </c>
      <c r="K2658" t="s">
        <v>950</v>
      </c>
      <c r="L2658" s="13">
        <v>43656</v>
      </c>
      <c r="M2658" t="s">
        <v>1699</v>
      </c>
      <c r="N2658" t="s">
        <v>1700</v>
      </c>
      <c r="O2658">
        <v>2233</v>
      </c>
      <c r="P2658" t="s">
        <v>1034</v>
      </c>
    </row>
    <row r="2659" spans="1:16" ht="15" customHeight="1" x14ac:dyDescent="0.4">
      <c r="A2659" t="s">
        <v>15</v>
      </c>
      <c r="B2659" t="s">
        <v>16</v>
      </c>
      <c r="C2659" s="13">
        <v>43466</v>
      </c>
      <c r="D2659" s="13">
        <v>43830</v>
      </c>
      <c r="E2659" t="s">
        <v>30</v>
      </c>
      <c r="F2659">
        <v>3</v>
      </c>
      <c r="G2659" t="s">
        <v>18</v>
      </c>
      <c r="H2659">
        <v>1</v>
      </c>
      <c r="I2659" t="s">
        <v>19</v>
      </c>
      <c r="J2659">
        <v>236</v>
      </c>
      <c r="K2659" t="s">
        <v>950</v>
      </c>
      <c r="L2659" s="13">
        <v>43677</v>
      </c>
      <c r="M2659" t="s">
        <v>1701</v>
      </c>
      <c r="N2659" t="s">
        <v>1702</v>
      </c>
      <c r="O2659">
        <v>88</v>
      </c>
      <c r="P2659" t="s">
        <v>953</v>
      </c>
    </row>
    <row r="2660" spans="1:16" ht="15" customHeight="1" x14ac:dyDescent="0.4">
      <c r="A2660" t="s">
        <v>15</v>
      </c>
      <c r="B2660" t="s">
        <v>16</v>
      </c>
      <c r="C2660" s="13">
        <v>43466</v>
      </c>
      <c r="D2660" s="13">
        <v>43830</v>
      </c>
      <c r="E2660" t="s">
        <v>17</v>
      </c>
      <c r="F2660">
        <v>3</v>
      </c>
      <c r="G2660" t="s">
        <v>18</v>
      </c>
      <c r="H2660">
        <v>1</v>
      </c>
      <c r="I2660" t="s">
        <v>19</v>
      </c>
      <c r="J2660">
        <v>242</v>
      </c>
      <c r="K2660" t="s">
        <v>348</v>
      </c>
      <c r="L2660" s="13">
        <v>43830</v>
      </c>
      <c r="M2660" t="s">
        <v>1664</v>
      </c>
      <c r="N2660" t="s">
        <v>45</v>
      </c>
      <c r="O2660">
        <v>110.87</v>
      </c>
      <c r="P2660" t="s">
        <v>46</v>
      </c>
    </row>
    <row r="2661" spans="1:16" ht="15" customHeight="1" x14ac:dyDescent="0.4">
      <c r="A2661" t="s">
        <v>15</v>
      </c>
      <c r="B2661" t="s">
        <v>16</v>
      </c>
      <c r="C2661" s="13">
        <v>43466</v>
      </c>
      <c r="D2661" s="13">
        <v>43830</v>
      </c>
      <c r="E2661" t="s">
        <v>17</v>
      </c>
      <c r="F2661">
        <v>3</v>
      </c>
      <c r="G2661" t="s">
        <v>18</v>
      </c>
      <c r="H2661">
        <v>1</v>
      </c>
      <c r="I2661" t="s">
        <v>19</v>
      </c>
      <c r="J2661">
        <v>269</v>
      </c>
      <c r="K2661" t="s">
        <v>75</v>
      </c>
      <c r="L2661" s="13">
        <v>43486</v>
      </c>
      <c r="M2661" t="s">
        <v>76</v>
      </c>
      <c r="N2661" t="s">
        <v>1437</v>
      </c>
      <c r="O2661">
        <v>13.34</v>
      </c>
      <c r="P2661" t="s">
        <v>52</v>
      </c>
    </row>
    <row r="2662" spans="1:16" ht="15" customHeight="1" x14ac:dyDescent="0.4">
      <c r="A2662" t="s">
        <v>15</v>
      </c>
      <c r="B2662" t="s">
        <v>16</v>
      </c>
      <c r="C2662" s="13">
        <v>43466</v>
      </c>
      <c r="D2662" s="13">
        <v>43830</v>
      </c>
      <c r="E2662" t="s">
        <v>17</v>
      </c>
      <c r="F2662">
        <v>3</v>
      </c>
      <c r="G2662" t="s">
        <v>18</v>
      </c>
      <c r="H2662">
        <v>1</v>
      </c>
      <c r="I2662" t="s">
        <v>19</v>
      </c>
      <c r="J2662">
        <v>269</v>
      </c>
      <c r="K2662" t="s">
        <v>75</v>
      </c>
      <c r="L2662" s="13">
        <v>43546</v>
      </c>
      <c r="M2662" t="s">
        <v>76</v>
      </c>
      <c r="N2662" t="s">
        <v>1438</v>
      </c>
      <c r="O2662">
        <v>8.16</v>
      </c>
      <c r="P2662" t="s">
        <v>52</v>
      </c>
    </row>
    <row r="2663" spans="1:16" ht="15" customHeight="1" x14ac:dyDescent="0.4">
      <c r="A2663" t="s">
        <v>15</v>
      </c>
      <c r="B2663" t="s">
        <v>16</v>
      </c>
      <c r="C2663" s="13">
        <v>43466</v>
      </c>
      <c r="D2663" s="13">
        <v>43830</v>
      </c>
      <c r="E2663" t="s">
        <v>17</v>
      </c>
      <c r="F2663">
        <v>3</v>
      </c>
      <c r="G2663" t="s">
        <v>18</v>
      </c>
      <c r="H2663">
        <v>1</v>
      </c>
      <c r="I2663" t="s">
        <v>19</v>
      </c>
      <c r="J2663">
        <v>269</v>
      </c>
      <c r="K2663" t="s">
        <v>75</v>
      </c>
      <c r="L2663" s="13">
        <v>43606</v>
      </c>
      <c r="M2663" t="s">
        <v>76</v>
      </c>
      <c r="N2663" t="s">
        <v>1439</v>
      </c>
      <c r="O2663">
        <v>17.14</v>
      </c>
      <c r="P2663" t="s">
        <v>52</v>
      </c>
    </row>
    <row r="2664" spans="1:16" ht="15" customHeight="1" x14ac:dyDescent="0.4">
      <c r="A2664" t="s">
        <v>15</v>
      </c>
      <c r="B2664" t="s">
        <v>16</v>
      </c>
      <c r="C2664" s="13">
        <v>43466</v>
      </c>
      <c r="D2664" s="13">
        <v>43830</v>
      </c>
      <c r="E2664" t="s">
        <v>17</v>
      </c>
      <c r="F2664">
        <v>3</v>
      </c>
      <c r="G2664" t="s">
        <v>18</v>
      </c>
      <c r="H2664">
        <v>1</v>
      </c>
      <c r="I2664" t="s">
        <v>19</v>
      </c>
      <c r="J2664">
        <v>269</v>
      </c>
      <c r="K2664" t="s">
        <v>75</v>
      </c>
      <c r="L2664" s="13">
        <v>43666</v>
      </c>
      <c r="M2664" t="s">
        <v>76</v>
      </c>
      <c r="N2664" t="s">
        <v>1440</v>
      </c>
      <c r="O2664">
        <v>28.75</v>
      </c>
      <c r="P2664" t="s">
        <v>52</v>
      </c>
    </row>
    <row r="2665" spans="1:16" ht="15" customHeight="1" x14ac:dyDescent="0.4">
      <c r="A2665" t="s">
        <v>15</v>
      </c>
      <c r="B2665" t="s">
        <v>16</v>
      </c>
      <c r="C2665" s="13">
        <v>43466</v>
      </c>
      <c r="D2665" s="13">
        <v>43830</v>
      </c>
      <c r="E2665" t="s">
        <v>17</v>
      </c>
      <c r="F2665">
        <v>3</v>
      </c>
      <c r="G2665" t="s">
        <v>18</v>
      </c>
      <c r="H2665">
        <v>1</v>
      </c>
      <c r="I2665" t="s">
        <v>19</v>
      </c>
      <c r="J2665">
        <v>269</v>
      </c>
      <c r="K2665" t="s">
        <v>75</v>
      </c>
      <c r="L2665" s="13">
        <v>43728</v>
      </c>
      <c r="M2665" t="s">
        <v>76</v>
      </c>
      <c r="N2665" t="s">
        <v>1441</v>
      </c>
      <c r="O2665">
        <v>36.619999999999997</v>
      </c>
      <c r="P2665" t="s">
        <v>52</v>
      </c>
    </row>
    <row r="2666" spans="1:16" ht="15" customHeight="1" x14ac:dyDescent="0.4">
      <c r="A2666" t="s">
        <v>15</v>
      </c>
      <c r="B2666" t="s">
        <v>16</v>
      </c>
      <c r="C2666" s="13">
        <v>43466</v>
      </c>
      <c r="D2666" s="13">
        <v>43830</v>
      </c>
      <c r="E2666" t="s">
        <v>17</v>
      </c>
      <c r="F2666">
        <v>3</v>
      </c>
      <c r="G2666" t="s">
        <v>18</v>
      </c>
      <c r="H2666">
        <v>1</v>
      </c>
      <c r="I2666" t="s">
        <v>19</v>
      </c>
      <c r="J2666">
        <v>269</v>
      </c>
      <c r="K2666" t="s">
        <v>75</v>
      </c>
      <c r="L2666" s="13">
        <v>43789</v>
      </c>
      <c r="M2666" t="s">
        <v>76</v>
      </c>
      <c r="N2666" t="s">
        <v>1442</v>
      </c>
      <c r="O2666">
        <v>25.88</v>
      </c>
      <c r="P2666" t="s">
        <v>52</v>
      </c>
    </row>
    <row r="2667" spans="1:16" ht="15" customHeight="1" x14ac:dyDescent="0.4">
      <c r="A2667" t="s">
        <v>15</v>
      </c>
      <c r="B2667" t="s">
        <v>16</v>
      </c>
      <c r="C2667" s="13">
        <v>43466</v>
      </c>
      <c r="D2667" s="13">
        <v>43830</v>
      </c>
      <c r="E2667" t="s">
        <v>30</v>
      </c>
      <c r="F2667">
        <v>3</v>
      </c>
      <c r="G2667" t="s">
        <v>18</v>
      </c>
      <c r="H2667">
        <v>1</v>
      </c>
      <c r="I2667" t="s">
        <v>19</v>
      </c>
      <c r="J2667">
        <v>403</v>
      </c>
      <c r="K2667" t="s">
        <v>1703</v>
      </c>
      <c r="L2667" s="13">
        <v>43819</v>
      </c>
      <c r="M2667" t="s">
        <v>1706</v>
      </c>
      <c r="N2667" t="s">
        <v>1707</v>
      </c>
      <c r="O2667">
        <v>192</v>
      </c>
      <c r="P2667" t="s">
        <v>264</v>
      </c>
    </row>
    <row r="2668" spans="1:16" ht="15" customHeight="1" x14ac:dyDescent="0.4">
      <c r="A2668" t="s">
        <v>15</v>
      </c>
      <c r="B2668" t="s">
        <v>16</v>
      </c>
      <c r="C2668" s="13">
        <v>43466</v>
      </c>
      <c r="D2668" s="13">
        <v>43830</v>
      </c>
      <c r="E2668" t="s">
        <v>30</v>
      </c>
      <c r="F2668">
        <v>3</v>
      </c>
      <c r="G2668" t="s">
        <v>18</v>
      </c>
      <c r="H2668">
        <v>1</v>
      </c>
      <c r="I2668" t="s">
        <v>19</v>
      </c>
      <c r="J2668">
        <v>403</v>
      </c>
      <c r="K2668" t="s">
        <v>1703</v>
      </c>
      <c r="L2668" s="13">
        <v>43819</v>
      </c>
      <c r="M2668" t="s">
        <v>1704</v>
      </c>
      <c r="N2668" t="s">
        <v>1705</v>
      </c>
      <c r="O2668">
        <v>192</v>
      </c>
      <c r="P2668" t="s">
        <v>264</v>
      </c>
    </row>
    <row r="2669" spans="1:16" ht="15" customHeight="1" x14ac:dyDescent="0.4">
      <c r="A2669" t="s">
        <v>15</v>
      </c>
      <c r="B2669" t="s">
        <v>16</v>
      </c>
      <c r="C2669" s="13">
        <v>43466</v>
      </c>
      <c r="D2669" s="13">
        <v>43830</v>
      </c>
      <c r="E2669" t="s">
        <v>17</v>
      </c>
      <c r="F2669">
        <v>3</v>
      </c>
      <c r="G2669" t="s">
        <v>18</v>
      </c>
      <c r="H2669">
        <v>1</v>
      </c>
      <c r="I2669" t="s">
        <v>19</v>
      </c>
      <c r="J2669">
        <v>441</v>
      </c>
      <c r="K2669" t="s">
        <v>268</v>
      </c>
      <c r="L2669" s="13">
        <v>43651</v>
      </c>
      <c r="M2669" t="s">
        <v>1708</v>
      </c>
      <c r="N2669" t="s">
        <v>1709</v>
      </c>
      <c r="O2669">
        <v>50.23</v>
      </c>
      <c r="P2669" t="s">
        <v>494</v>
      </c>
    </row>
    <row r="2670" spans="1:16" ht="15" customHeight="1" x14ac:dyDescent="0.4">
      <c r="A2670" t="s">
        <v>15</v>
      </c>
      <c r="B2670" t="s">
        <v>16</v>
      </c>
      <c r="C2670" s="13">
        <v>43466</v>
      </c>
      <c r="D2670" s="13">
        <v>43830</v>
      </c>
      <c r="E2670" t="s">
        <v>17</v>
      </c>
      <c r="F2670">
        <v>3</v>
      </c>
      <c r="G2670" t="s">
        <v>18</v>
      </c>
      <c r="H2670">
        <v>1</v>
      </c>
      <c r="I2670" t="s">
        <v>19</v>
      </c>
      <c r="J2670">
        <v>702</v>
      </c>
      <c r="K2670" t="s">
        <v>275</v>
      </c>
      <c r="L2670" s="13">
        <v>43644</v>
      </c>
      <c r="M2670" t="s">
        <v>1710</v>
      </c>
      <c r="N2670" t="s">
        <v>46</v>
      </c>
      <c r="O2670">
        <v>59.4</v>
      </c>
      <c r="P2670" t="s">
        <v>46</v>
      </c>
    </row>
    <row r="2671" spans="1:16" ht="15" customHeight="1" x14ac:dyDescent="0.4">
      <c r="A2671" t="s">
        <v>15</v>
      </c>
      <c r="B2671" t="s">
        <v>16</v>
      </c>
      <c r="C2671" s="13">
        <v>43466</v>
      </c>
      <c r="D2671" s="13">
        <v>43830</v>
      </c>
      <c r="E2671" t="s">
        <v>17</v>
      </c>
      <c r="F2671">
        <v>3</v>
      </c>
      <c r="G2671" t="s">
        <v>18</v>
      </c>
      <c r="H2671">
        <v>1</v>
      </c>
      <c r="I2671" t="s">
        <v>19</v>
      </c>
      <c r="J2671">
        <v>883</v>
      </c>
      <c r="K2671" t="s">
        <v>371</v>
      </c>
      <c r="L2671" s="13">
        <v>43830</v>
      </c>
      <c r="M2671" t="s">
        <v>1711</v>
      </c>
      <c r="N2671" t="s">
        <v>376</v>
      </c>
      <c r="O2671">
        <v>51.17</v>
      </c>
      <c r="P2671" t="s">
        <v>46</v>
      </c>
    </row>
    <row r="2672" spans="1:16" ht="15" customHeight="1" x14ac:dyDescent="0.4">
      <c r="A2672" t="s">
        <v>15</v>
      </c>
      <c r="B2672" t="s">
        <v>16</v>
      </c>
      <c r="C2672" s="13">
        <v>43466</v>
      </c>
      <c r="D2672" s="13">
        <v>43830</v>
      </c>
      <c r="E2672" t="s">
        <v>17</v>
      </c>
      <c r="F2672">
        <v>3</v>
      </c>
      <c r="G2672" t="s">
        <v>18</v>
      </c>
      <c r="H2672">
        <v>1</v>
      </c>
      <c r="I2672" t="s">
        <v>19</v>
      </c>
      <c r="J2672">
        <v>891</v>
      </c>
      <c r="K2672" t="s">
        <v>377</v>
      </c>
      <c r="L2672" s="13">
        <v>43466</v>
      </c>
      <c r="M2672" t="s">
        <v>1675</v>
      </c>
      <c r="N2672" t="s">
        <v>1712</v>
      </c>
      <c r="O2672">
        <v>2332.6799999999998</v>
      </c>
      <c r="P2672" t="s">
        <v>1444</v>
      </c>
    </row>
    <row r="2673" spans="1:16" ht="15" customHeight="1" x14ac:dyDescent="0.4">
      <c r="A2673" t="s">
        <v>15</v>
      </c>
      <c r="B2673" t="s">
        <v>16</v>
      </c>
      <c r="C2673" s="13">
        <v>43466</v>
      </c>
      <c r="D2673" s="13">
        <v>43830</v>
      </c>
      <c r="E2673" t="s">
        <v>17</v>
      </c>
      <c r="F2673">
        <v>3</v>
      </c>
      <c r="G2673" t="s">
        <v>18</v>
      </c>
      <c r="H2673">
        <v>1</v>
      </c>
      <c r="I2673" t="s">
        <v>19</v>
      </c>
      <c r="J2673">
        <v>891</v>
      </c>
      <c r="K2673" t="s">
        <v>377</v>
      </c>
      <c r="L2673" s="13">
        <v>43556</v>
      </c>
      <c r="M2673" t="s">
        <v>1677</v>
      </c>
      <c r="N2673" t="s">
        <v>1712</v>
      </c>
      <c r="O2673">
        <v>2332.6799999999998</v>
      </c>
      <c r="P2673" t="s">
        <v>1444</v>
      </c>
    </row>
    <row r="2674" spans="1:16" ht="15" customHeight="1" x14ac:dyDescent="0.4">
      <c r="A2674" t="s">
        <v>15</v>
      </c>
      <c r="B2674" t="s">
        <v>16</v>
      </c>
      <c r="C2674" s="13">
        <v>43466</v>
      </c>
      <c r="D2674" s="13">
        <v>43830</v>
      </c>
      <c r="E2674" t="s">
        <v>17</v>
      </c>
      <c r="F2674">
        <v>3</v>
      </c>
      <c r="G2674" t="s">
        <v>18</v>
      </c>
      <c r="H2674">
        <v>1</v>
      </c>
      <c r="I2674" t="s">
        <v>19</v>
      </c>
      <c r="J2674">
        <v>891</v>
      </c>
      <c r="K2674" t="s">
        <v>377</v>
      </c>
      <c r="L2674" s="13">
        <v>43647</v>
      </c>
      <c r="M2674" t="s">
        <v>1678</v>
      </c>
      <c r="N2674" t="s">
        <v>1679</v>
      </c>
      <c r="O2674">
        <v>2332.69</v>
      </c>
      <c r="P2674" t="s">
        <v>1444</v>
      </c>
    </row>
    <row r="2675" spans="1:16" ht="15" customHeight="1" x14ac:dyDescent="0.4">
      <c r="A2675" t="s">
        <v>15</v>
      </c>
      <c r="B2675" t="s">
        <v>16</v>
      </c>
      <c r="C2675" s="13">
        <v>43466</v>
      </c>
      <c r="D2675" s="13">
        <v>43830</v>
      </c>
      <c r="E2675" t="s">
        <v>17</v>
      </c>
      <c r="F2675">
        <v>3</v>
      </c>
      <c r="G2675" t="s">
        <v>18</v>
      </c>
      <c r="H2675">
        <v>1</v>
      </c>
      <c r="I2675" t="s">
        <v>19</v>
      </c>
      <c r="J2675">
        <v>891</v>
      </c>
      <c r="K2675" t="s">
        <v>377</v>
      </c>
      <c r="L2675" s="13">
        <v>43739</v>
      </c>
      <c r="M2675" t="s">
        <v>1680</v>
      </c>
      <c r="N2675" t="s">
        <v>1695</v>
      </c>
      <c r="O2675">
        <v>2332.6999999999998</v>
      </c>
      <c r="P2675" t="s">
        <v>1444</v>
      </c>
    </row>
    <row r="2676" spans="1:16" ht="15" customHeight="1" x14ac:dyDescent="0.4">
      <c r="A2676" t="s">
        <v>15</v>
      </c>
      <c r="B2676" t="s">
        <v>16</v>
      </c>
      <c r="C2676" s="13">
        <v>43466</v>
      </c>
      <c r="D2676" s="13">
        <v>43830</v>
      </c>
      <c r="E2676" t="s">
        <v>17</v>
      </c>
      <c r="F2676">
        <v>3</v>
      </c>
      <c r="G2676" t="s">
        <v>18</v>
      </c>
      <c r="H2676">
        <v>1</v>
      </c>
      <c r="I2676" t="s">
        <v>19</v>
      </c>
      <c r="J2676">
        <v>891</v>
      </c>
      <c r="K2676" t="s">
        <v>377</v>
      </c>
      <c r="L2676" s="13">
        <v>43830</v>
      </c>
      <c r="M2676" t="s">
        <v>1327</v>
      </c>
      <c r="N2676" t="s">
        <v>1713</v>
      </c>
      <c r="O2676">
        <v>230.15</v>
      </c>
      <c r="P2676" t="s">
        <v>1444</v>
      </c>
    </row>
    <row r="2677" spans="1:16" ht="15" customHeight="1" x14ac:dyDescent="0.4">
      <c r="A2677" t="s">
        <v>15</v>
      </c>
      <c r="B2677" t="s">
        <v>16</v>
      </c>
      <c r="C2677" s="13">
        <v>43466</v>
      </c>
      <c r="D2677" s="13">
        <v>43830</v>
      </c>
      <c r="E2677" t="s">
        <v>17</v>
      </c>
      <c r="F2677">
        <v>5</v>
      </c>
      <c r="G2677" t="s">
        <v>501</v>
      </c>
      <c r="H2677">
        <v>40</v>
      </c>
      <c r="I2677" t="s">
        <v>501</v>
      </c>
      <c r="J2677">
        <v>264</v>
      </c>
      <c r="K2677" t="s">
        <v>502</v>
      </c>
      <c r="L2677" s="13">
        <v>43486</v>
      </c>
      <c r="M2677" t="s">
        <v>76</v>
      </c>
      <c r="N2677" t="s">
        <v>1437</v>
      </c>
      <c r="O2677">
        <v>13.89</v>
      </c>
      <c r="P2677" t="s">
        <v>52</v>
      </c>
    </row>
    <row r="2678" spans="1:16" ht="15" customHeight="1" x14ac:dyDescent="0.4">
      <c r="A2678" t="s">
        <v>15</v>
      </c>
      <c r="B2678" t="s">
        <v>16</v>
      </c>
      <c r="C2678" s="13">
        <v>43466</v>
      </c>
      <c r="D2678" s="13">
        <v>43830</v>
      </c>
      <c r="E2678" t="s">
        <v>17</v>
      </c>
      <c r="F2678">
        <v>5</v>
      </c>
      <c r="G2678" t="s">
        <v>501</v>
      </c>
      <c r="H2678">
        <v>40</v>
      </c>
      <c r="I2678" t="s">
        <v>501</v>
      </c>
      <c r="J2678">
        <v>264</v>
      </c>
      <c r="K2678" t="s">
        <v>502</v>
      </c>
      <c r="L2678" s="13">
        <v>43546</v>
      </c>
      <c r="M2678" t="s">
        <v>76</v>
      </c>
      <c r="N2678" t="s">
        <v>1438</v>
      </c>
      <c r="O2678">
        <v>8.5</v>
      </c>
      <c r="P2678" t="s">
        <v>52</v>
      </c>
    </row>
    <row r="2679" spans="1:16" ht="15" customHeight="1" x14ac:dyDescent="0.4">
      <c r="A2679" t="s">
        <v>15</v>
      </c>
      <c r="B2679" t="s">
        <v>16</v>
      </c>
      <c r="C2679" s="13">
        <v>43466</v>
      </c>
      <c r="D2679" s="13">
        <v>43830</v>
      </c>
      <c r="E2679" t="s">
        <v>17</v>
      </c>
      <c r="F2679">
        <v>5</v>
      </c>
      <c r="G2679" t="s">
        <v>501</v>
      </c>
      <c r="H2679">
        <v>40</v>
      </c>
      <c r="I2679" t="s">
        <v>501</v>
      </c>
      <c r="J2679">
        <v>264</v>
      </c>
      <c r="K2679" t="s">
        <v>502</v>
      </c>
      <c r="L2679" s="13">
        <v>43606</v>
      </c>
      <c r="M2679" t="s">
        <v>76</v>
      </c>
      <c r="N2679" t="s">
        <v>1439</v>
      </c>
      <c r="O2679">
        <v>17.84</v>
      </c>
      <c r="P2679" t="s">
        <v>52</v>
      </c>
    </row>
    <row r="2680" spans="1:16" ht="15" customHeight="1" x14ac:dyDescent="0.4">
      <c r="A2680" t="s">
        <v>15</v>
      </c>
      <c r="B2680" t="s">
        <v>16</v>
      </c>
      <c r="C2680" s="13">
        <v>43466</v>
      </c>
      <c r="D2680" s="13">
        <v>43830</v>
      </c>
      <c r="E2680" t="s">
        <v>17</v>
      </c>
      <c r="F2680">
        <v>5</v>
      </c>
      <c r="G2680" t="s">
        <v>501</v>
      </c>
      <c r="H2680">
        <v>40</v>
      </c>
      <c r="I2680" t="s">
        <v>501</v>
      </c>
      <c r="J2680">
        <v>264</v>
      </c>
      <c r="K2680" t="s">
        <v>502</v>
      </c>
      <c r="L2680" s="13">
        <v>43666</v>
      </c>
      <c r="M2680" t="s">
        <v>76</v>
      </c>
      <c r="N2680" t="s">
        <v>1440</v>
      </c>
      <c r="O2680">
        <v>29.92</v>
      </c>
      <c r="P2680" t="s">
        <v>52</v>
      </c>
    </row>
    <row r="2681" spans="1:16" ht="15" customHeight="1" x14ac:dyDescent="0.4">
      <c r="A2681" t="s">
        <v>15</v>
      </c>
      <c r="B2681" t="s">
        <v>16</v>
      </c>
      <c r="C2681" s="13">
        <v>43466</v>
      </c>
      <c r="D2681" s="13">
        <v>43830</v>
      </c>
      <c r="E2681" t="s">
        <v>17</v>
      </c>
      <c r="F2681">
        <v>5</v>
      </c>
      <c r="G2681" t="s">
        <v>501</v>
      </c>
      <c r="H2681">
        <v>40</v>
      </c>
      <c r="I2681" t="s">
        <v>501</v>
      </c>
      <c r="J2681">
        <v>264</v>
      </c>
      <c r="K2681" t="s">
        <v>502</v>
      </c>
      <c r="L2681" s="13">
        <v>43728</v>
      </c>
      <c r="M2681" t="s">
        <v>76</v>
      </c>
      <c r="N2681" t="s">
        <v>1441</v>
      </c>
      <c r="O2681">
        <v>38.11</v>
      </c>
      <c r="P2681" t="s">
        <v>52</v>
      </c>
    </row>
    <row r="2682" spans="1:16" ht="15" customHeight="1" x14ac:dyDescent="0.4">
      <c r="A2682" t="s">
        <v>15</v>
      </c>
      <c r="B2682" t="s">
        <v>16</v>
      </c>
      <c r="C2682" s="13">
        <v>43466</v>
      </c>
      <c r="D2682" s="13">
        <v>43830</v>
      </c>
      <c r="E2682" t="s">
        <v>17</v>
      </c>
      <c r="F2682">
        <v>5</v>
      </c>
      <c r="G2682" t="s">
        <v>501</v>
      </c>
      <c r="H2682">
        <v>40</v>
      </c>
      <c r="I2682" t="s">
        <v>501</v>
      </c>
      <c r="J2682">
        <v>264</v>
      </c>
      <c r="K2682" t="s">
        <v>502</v>
      </c>
      <c r="L2682" s="13">
        <v>43789</v>
      </c>
      <c r="M2682" t="s">
        <v>76</v>
      </c>
      <c r="N2682" t="s">
        <v>1442</v>
      </c>
      <c r="O2682">
        <v>26.94</v>
      </c>
      <c r="P2682" t="s">
        <v>52</v>
      </c>
    </row>
    <row r="2683" spans="1:16" ht="15" customHeight="1" x14ac:dyDescent="0.4">
      <c r="A2683" t="s">
        <v>15</v>
      </c>
      <c r="B2683" t="s">
        <v>16</v>
      </c>
      <c r="C2683" s="13">
        <v>43466</v>
      </c>
      <c r="D2683" s="13">
        <v>43830</v>
      </c>
      <c r="E2683" t="s">
        <v>17</v>
      </c>
      <c r="F2683">
        <v>5</v>
      </c>
      <c r="G2683" t="s">
        <v>501</v>
      </c>
      <c r="H2683">
        <v>40</v>
      </c>
      <c r="I2683" t="s">
        <v>501</v>
      </c>
      <c r="J2683">
        <v>741</v>
      </c>
      <c r="K2683" t="s">
        <v>505</v>
      </c>
      <c r="L2683" s="13">
        <v>43646</v>
      </c>
      <c r="M2683" t="s">
        <v>1714</v>
      </c>
      <c r="N2683" t="s">
        <v>1715</v>
      </c>
      <c r="O2683">
        <v>78.62</v>
      </c>
      <c r="P2683" t="s">
        <v>508</v>
      </c>
    </row>
    <row r="2684" spans="1:16" ht="15" customHeight="1" x14ac:dyDescent="0.4">
      <c r="A2684" t="s">
        <v>15</v>
      </c>
      <c r="B2684" t="s">
        <v>16</v>
      </c>
      <c r="C2684" s="13">
        <v>43466</v>
      </c>
      <c r="D2684" s="13">
        <v>43830</v>
      </c>
      <c r="E2684" t="s">
        <v>17</v>
      </c>
      <c r="F2684">
        <v>5</v>
      </c>
      <c r="G2684" t="s">
        <v>501</v>
      </c>
      <c r="H2684">
        <v>40</v>
      </c>
      <c r="I2684" t="s">
        <v>501</v>
      </c>
      <c r="J2684">
        <v>801</v>
      </c>
      <c r="K2684" t="s">
        <v>511</v>
      </c>
      <c r="L2684" s="13">
        <v>43466</v>
      </c>
      <c r="M2684" t="s">
        <v>1716</v>
      </c>
      <c r="N2684" t="s">
        <v>1717</v>
      </c>
      <c r="O2684">
        <v>247.48</v>
      </c>
      <c r="P2684" t="s">
        <v>508</v>
      </c>
    </row>
    <row r="2685" spans="1:16" ht="15" customHeight="1" x14ac:dyDescent="0.4">
      <c r="A2685" t="s">
        <v>15</v>
      </c>
      <c r="B2685" t="s">
        <v>16</v>
      </c>
      <c r="C2685" s="13">
        <v>43466</v>
      </c>
      <c r="D2685" s="13">
        <v>43830</v>
      </c>
      <c r="E2685" t="s">
        <v>17</v>
      </c>
      <c r="F2685">
        <v>5</v>
      </c>
      <c r="G2685" t="s">
        <v>501</v>
      </c>
      <c r="H2685">
        <v>40</v>
      </c>
      <c r="I2685" t="s">
        <v>501</v>
      </c>
      <c r="J2685">
        <v>801</v>
      </c>
      <c r="K2685" t="s">
        <v>511</v>
      </c>
      <c r="L2685" s="13">
        <v>43526</v>
      </c>
      <c r="M2685" t="s">
        <v>1718</v>
      </c>
      <c r="N2685" t="s">
        <v>1719</v>
      </c>
      <c r="O2685">
        <v>247.48</v>
      </c>
      <c r="P2685" t="s">
        <v>508</v>
      </c>
    </row>
    <row r="2686" spans="1:16" ht="15" customHeight="1" x14ac:dyDescent="0.4">
      <c r="A2686" t="s">
        <v>15</v>
      </c>
      <c r="B2686" t="s">
        <v>16</v>
      </c>
      <c r="C2686" s="13">
        <v>43466</v>
      </c>
      <c r="D2686" s="13">
        <v>43830</v>
      </c>
      <c r="E2686" t="s">
        <v>17</v>
      </c>
      <c r="F2686">
        <v>5</v>
      </c>
      <c r="G2686" t="s">
        <v>501</v>
      </c>
      <c r="H2686">
        <v>40</v>
      </c>
      <c r="I2686" t="s">
        <v>501</v>
      </c>
      <c r="J2686">
        <v>801</v>
      </c>
      <c r="K2686" t="s">
        <v>511</v>
      </c>
      <c r="L2686" s="13">
        <v>43618</v>
      </c>
      <c r="M2686" t="s">
        <v>1720</v>
      </c>
      <c r="N2686" t="s">
        <v>1721</v>
      </c>
      <c r="O2686">
        <v>247.47</v>
      </c>
      <c r="P2686" t="s">
        <v>508</v>
      </c>
    </row>
    <row r="2687" spans="1:16" ht="15" customHeight="1" x14ac:dyDescent="0.4">
      <c r="A2687" t="s">
        <v>15</v>
      </c>
      <c r="B2687" t="s">
        <v>16</v>
      </c>
      <c r="C2687" s="13">
        <v>43466</v>
      </c>
      <c r="D2687" s="13">
        <v>43830</v>
      </c>
      <c r="E2687" t="s">
        <v>17</v>
      </c>
      <c r="F2687">
        <v>5</v>
      </c>
      <c r="G2687" t="s">
        <v>501</v>
      </c>
      <c r="H2687">
        <v>40</v>
      </c>
      <c r="I2687" t="s">
        <v>501</v>
      </c>
      <c r="J2687">
        <v>801</v>
      </c>
      <c r="K2687" t="s">
        <v>511</v>
      </c>
      <c r="L2687" s="13">
        <v>43712</v>
      </c>
      <c r="M2687" t="s">
        <v>1722</v>
      </c>
      <c r="N2687" t="s">
        <v>1723</v>
      </c>
      <c r="O2687">
        <v>247.48</v>
      </c>
      <c r="P2687" t="s">
        <v>508</v>
      </c>
    </row>
    <row r="2688" spans="1:16" ht="15" customHeight="1" x14ac:dyDescent="0.4">
      <c r="A2688" t="s">
        <v>15</v>
      </c>
      <c r="B2688" t="s">
        <v>16</v>
      </c>
      <c r="C2688" s="13">
        <v>43466</v>
      </c>
      <c r="D2688" s="13">
        <v>43830</v>
      </c>
      <c r="E2688" t="s">
        <v>17</v>
      </c>
      <c r="F2688">
        <v>6</v>
      </c>
      <c r="G2688" t="s">
        <v>525</v>
      </c>
      <c r="H2688">
        <v>65</v>
      </c>
      <c r="I2688" t="s">
        <v>526</v>
      </c>
      <c r="J2688">
        <v>821</v>
      </c>
      <c r="K2688" t="s">
        <v>527</v>
      </c>
      <c r="L2688" s="13">
        <v>43525</v>
      </c>
      <c r="M2688" t="s">
        <v>1724</v>
      </c>
      <c r="N2688" t="s">
        <v>1725</v>
      </c>
      <c r="O2688">
        <v>2367.75</v>
      </c>
      <c r="P2688" t="s">
        <v>530</v>
      </c>
    </row>
    <row r="2689" spans="1:16" ht="15" customHeight="1" x14ac:dyDescent="0.4">
      <c r="A2689" t="s">
        <v>15</v>
      </c>
      <c r="B2689" t="s">
        <v>16</v>
      </c>
      <c r="C2689" s="13">
        <v>43466</v>
      </c>
      <c r="D2689" s="13">
        <v>43830</v>
      </c>
      <c r="E2689" t="s">
        <v>17</v>
      </c>
      <c r="F2689">
        <v>6</v>
      </c>
      <c r="G2689" t="s">
        <v>525</v>
      </c>
      <c r="H2689">
        <v>65</v>
      </c>
      <c r="I2689" t="s">
        <v>526</v>
      </c>
      <c r="J2689">
        <v>821</v>
      </c>
      <c r="K2689" t="s">
        <v>527</v>
      </c>
      <c r="L2689" s="13">
        <v>43709</v>
      </c>
      <c r="M2689" t="s">
        <v>1726</v>
      </c>
      <c r="N2689" t="s">
        <v>1727</v>
      </c>
      <c r="O2689">
        <v>2367.75</v>
      </c>
      <c r="P2689" t="s">
        <v>530</v>
      </c>
    </row>
    <row r="2690" spans="1:16" ht="15" customHeight="1" x14ac:dyDescent="0.4">
      <c r="A2690" t="s">
        <v>15</v>
      </c>
      <c r="B2690" t="s">
        <v>16</v>
      </c>
      <c r="C2690" s="13">
        <v>43466</v>
      </c>
      <c r="D2690" s="13">
        <v>43830</v>
      </c>
      <c r="E2690" t="s">
        <v>17</v>
      </c>
      <c r="F2690">
        <v>6</v>
      </c>
      <c r="G2690" t="s">
        <v>525</v>
      </c>
      <c r="H2690">
        <v>65</v>
      </c>
      <c r="I2690" t="s">
        <v>526</v>
      </c>
      <c r="J2690">
        <v>821</v>
      </c>
      <c r="K2690" t="s">
        <v>527</v>
      </c>
      <c r="L2690" s="13">
        <v>43830</v>
      </c>
      <c r="M2690" t="s">
        <v>1728</v>
      </c>
      <c r="N2690" t="s">
        <v>46</v>
      </c>
      <c r="O2690">
        <v>-3157</v>
      </c>
      <c r="P2690" t="s">
        <v>46</v>
      </c>
    </row>
    <row r="2691" spans="1:16" ht="15" customHeight="1" x14ac:dyDescent="0.4">
      <c r="A2691" t="s">
        <v>15</v>
      </c>
      <c r="B2691" t="s">
        <v>16</v>
      </c>
      <c r="C2691" s="13">
        <v>43466</v>
      </c>
      <c r="D2691" s="13">
        <v>43830</v>
      </c>
      <c r="E2691" t="s">
        <v>17</v>
      </c>
      <c r="F2691">
        <v>8</v>
      </c>
      <c r="G2691" t="s">
        <v>501</v>
      </c>
      <c r="H2691">
        <v>40</v>
      </c>
      <c r="I2691" t="s">
        <v>501</v>
      </c>
      <c r="J2691">
        <v>264</v>
      </c>
      <c r="K2691" t="s">
        <v>502</v>
      </c>
      <c r="L2691" s="13">
        <v>43487</v>
      </c>
      <c r="M2691" t="s">
        <v>76</v>
      </c>
      <c r="N2691" t="s">
        <v>1665</v>
      </c>
      <c r="O2691">
        <v>37.25</v>
      </c>
      <c r="P2691" t="s">
        <v>52</v>
      </c>
    </row>
    <row r="2692" spans="1:16" ht="15" customHeight="1" x14ac:dyDescent="0.4">
      <c r="A2692" t="s">
        <v>15</v>
      </c>
      <c r="B2692" t="s">
        <v>16</v>
      </c>
      <c r="C2692" s="13">
        <v>43466</v>
      </c>
      <c r="D2692" s="13">
        <v>43830</v>
      </c>
      <c r="E2692" t="s">
        <v>17</v>
      </c>
      <c r="F2692">
        <v>8</v>
      </c>
      <c r="G2692" t="s">
        <v>501</v>
      </c>
      <c r="H2692">
        <v>40</v>
      </c>
      <c r="I2692" t="s">
        <v>501</v>
      </c>
      <c r="J2692">
        <v>264</v>
      </c>
      <c r="K2692" t="s">
        <v>502</v>
      </c>
      <c r="L2692" s="13">
        <v>43547</v>
      </c>
      <c r="M2692" t="s">
        <v>76</v>
      </c>
      <c r="N2692" t="s">
        <v>1666</v>
      </c>
      <c r="O2692">
        <v>27.59</v>
      </c>
      <c r="P2692" t="s">
        <v>52</v>
      </c>
    </row>
    <row r="2693" spans="1:16" ht="15" customHeight="1" x14ac:dyDescent="0.4">
      <c r="A2693" t="s">
        <v>15</v>
      </c>
      <c r="B2693" t="s">
        <v>16</v>
      </c>
      <c r="C2693" s="13">
        <v>43466</v>
      </c>
      <c r="D2693" s="13">
        <v>43830</v>
      </c>
      <c r="E2693" t="s">
        <v>17</v>
      </c>
      <c r="F2693">
        <v>8</v>
      </c>
      <c r="G2693" t="s">
        <v>501</v>
      </c>
      <c r="H2693">
        <v>40</v>
      </c>
      <c r="I2693" t="s">
        <v>501</v>
      </c>
      <c r="J2693">
        <v>264</v>
      </c>
      <c r="K2693" t="s">
        <v>502</v>
      </c>
      <c r="L2693" s="13">
        <v>43612</v>
      </c>
      <c r="M2693" t="s">
        <v>76</v>
      </c>
      <c r="N2693" t="s">
        <v>1667</v>
      </c>
      <c r="O2693">
        <v>24.61</v>
      </c>
      <c r="P2693" t="s">
        <v>52</v>
      </c>
    </row>
    <row r="2694" spans="1:16" ht="15" customHeight="1" x14ac:dyDescent="0.4">
      <c r="A2694" t="s">
        <v>15</v>
      </c>
      <c r="B2694" t="s">
        <v>16</v>
      </c>
      <c r="C2694" s="13">
        <v>43466</v>
      </c>
      <c r="D2694" s="13">
        <v>43830</v>
      </c>
      <c r="E2694" t="s">
        <v>17</v>
      </c>
      <c r="F2694">
        <v>8</v>
      </c>
      <c r="G2694" t="s">
        <v>501</v>
      </c>
      <c r="H2694">
        <v>40</v>
      </c>
      <c r="I2694" t="s">
        <v>501</v>
      </c>
      <c r="J2694">
        <v>264</v>
      </c>
      <c r="K2694" t="s">
        <v>502</v>
      </c>
      <c r="L2694" s="13">
        <v>43668</v>
      </c>
      <c r="M2694" t="s">
        <v>76</v>
      </c>
      <c r="N2694" t="s">
        <v>1668</v>
      </c>
      <c r="O2694">
        <v>25.14</v>
      </c>
      <c r="P2694" t="s">
        <v>52</v>
      </c>
    </row>
    <row r="2695" spans="1:16" ht="15" customHeight="1" x14ac:dyDescent="0.4">
      <c r="A2695" t="s">
        <v>15</v>
      </c>
      <c r="B2695" t="s">
        <v>16</v>
      </c>
      <c r="C2695" s="13">
        <v>43466</v>
      </c>
      <c r="D2695" s="13">
        <v>43830</v>
      </c>
      <c r="E2695" t="s">
        <v>17</v>
      </c>
      <c r="F2695">
        <v>8</v>
      </c>
      <c r="G2695" t="s">
        <v>501</v>
      </c>
      <c r="H2695">
        <v>40</v>
      </c>
      <c r="I2695" t="s">
        <v>501</v>
      </c>
      <c r="J2695">
        <v>264</v>
      </c>
      <c r="K2695" t="s">
        <v>502</v>
      </c>
      <c r="L2695" s="13">
        <v>43730</v>
      </c>
      <c r="M2695" t="s">
        <v>76</v>
      </c>
      <c r="N2695" t="s">
        <v>1669</v>
      </c>
      <c r="O2695">
        <v>28.3</v>
      </c>
      <c r="P2695" t="s">
        <v>52</v>
      </c>
    </row>
    <row r="2696" spans="1:16" ht="15" customHeight="1" x14ac:dyDescent="0.4">
      <c r="A2696" t="s">
        <v>15</v>
      </c>
      <c r="B2696" t="s">
        <v>16</v>
      </c>
      <c r="C2696" s="13">
        <v>43466</v>
      </c>
      <c r="D2696" s="13">
        <v>43830</v>
      </c>
      <c r="E2696" t="s">
        <v>17</v>
      </c>
      <c r="F2696">
        <v>8</v>
      </c>
      <c r="G2696" t="s">
        <v>501</v>
      </c>
      <c r="H2696">
        <v>40</v>
      </c>
      <c r="I2696" t="s">
        <v>501</v>
      </c>
      <c r="J2696">
        <v>264</v>
      </c>
      <c r="K2696" t="s">
        <v>502</v>
      </c>
      <c r="L2696" s="13">
        <v>43792</v>
      </c>
      <c r="M2696" t="s">
        <v>76</v>
      </c>
      <c r="N2696" t="s">
        <v>1670</v>
      </c>
      <c r="O2696">
        <v>29.83</v>
      </c>
      <c r="P2696" t="s">
        <v>52</v>
      </c>
    </row>
    <row r="2697" spans="1:16" ht="15" customHeight="1" x14ac:dyDescent="0.4">
      <c r="A2697" t="s">
        <v>15</v>
      </c>
      <c r="B2697" t="s">
        <v>16</v>
      </c>
      <c r="C2697" s="13">
        <v>43466</v>
      </c>
      <c r="D2697" s="13">
        <v>43830</v>
      </c>
      <c r="E2697" t="s">
        <v>17</v>
      </c>
      <c r="F2697">
        <v>8</v>
      </c>
      <c r="G2697" t="s">
        <v>501</v>
      </c>
      <c r="H2697">
        <v>40</v>
      </c>
      <c r="I2697" t="s">
        <v>501</v>
      </c>
      <c r="J2697">
        <v>741</v>
      </c>
      <c r="K2697" t="s">
        <v>505</v>
      </c>
      <c r="L2697" s="13">
        <v>43646</v>
      </c>
      <c r="M2697" t="s">
        <v>1714</v>
      </c>
      <c r="N2697" t="s">
        <v>1729</v>
      </c>
      <c r="O2697">
        <v>78.38</v>
      </c>
      <c r="P2697" t="s">
        <v>508</v>
      </c>
    </row>
    <row r="2698" spans="1:16" ht="15" customHeight="1" x14ac:dyDescent="0.4">
      <c r="A2698" t="s">
        <v>15</v>
      </c>
      <c r="B2698" t="s">
        <v>16</v>
      </c>
      <c r="C2698" s="13">
        <v>43466</v>
      </c>
      <c r="D2698" s="13">
        <v>43830</v>
      </c>
      <c r="E2698" t="s">
        <v>17</v>
      </c>
      <c r="F2698">
        <v>8</v>
      </c>
      <c r="G2698" t="s">
        <v>501</v>
      </c>
      <c r="H2698">
        <v>40</v>
      </c>
      <c r="I2698" t="s">
        <v>501</v>
      </c>
      <c r="J2698">
        <v>801</v>
      </c>
      <c r="K2698" t="s">
        <v>511</v>
      </c>
      <c r="L2698" s="13">
        <v>43466</v>
      </c>
      <c r="M2698" t="s">
        <v>1716</v>
      </c>
      <c r="N2698" t="s">
        <v>1717</v>
      </c>
      <c r="O2698">
        <v>247.48</v>
      </c>
      <c r="P2698" t="s">
        <v>508</v>
      </c>
    </row>
    <row r="2699" spans="1:16" ht="15" customHeight="1" x14ac:dyDescent="0.4">
      <c r="A2699" t="s">
        <v>15</v>
      </c>
      <c r="B2699" t="s">
        <v>16</v>
      </c>
      <c r="C2699" s="13">
        <v>43466</v>
      </c>
      <c r="D2699" s="13">
        <v>43830</v>
      </c>
      <c r="E2699" t="s">
        <v>17</v>
      </c>
      <c r="F2699">
        <v>8</v>
      </c>
      <c r="G2699" t="s">
        <v>501</v>
      </c>
      <c r="H2699">
        <v>40</v>
      </c>
      <c r="I2699" t="s">
        <v>501</v>
      </c>
      <c r="J2699">
        <v>801</v>
      </c>
      <c r="K2699" t="s">
        <v>511</v>
      </c>
      <c r="L2699" s="13">
        <v>43526</v>
      </c>
      <c r="M2699" t="s">
        <v>1718</v>
      </c>
      <c r="N2699" t="s">
        <v>1719</v>
      </c>
      <c r="O2699">
        <v>247.48</v>
      </c>
      <c r="P2699" t="s">
        <v>508</v>
      </c>
    </row>
    <row r="2700" spans="1:16" ht="15" customHeight="1" x14ac:dyDescent="0.4">
      <c r="A2700" t="s">
        <v>15</v>
      </c>
      <c r="B2700" t="s">
        <v>16</v>
      </c>
      <c r="C2700" s="13">
        <v>43466</v>
      </c>
      <c r="D2700" s="13">
        <v>43830</v>
      </c>
      <c r="E2700" t="s">
        <v>17</v>
      </c>
      <c r="F2700">
        <v>8</v>
      </c>
      <c r="G2700" t="s">
        <v>501</v>
      </c>
      <c r="H2700">
        <v>40</v>
      </c>
      <c r="I2700" t="s">
        <v>501</v>
      </c>
      <c r="J2700">
        <v>801</v>
      </c>
      <c r="K2700" t="s">
        <v>511</v>
      </c>
      <c r="L2700" s="13">
        <v>43618</v>
      </c>
      <c r="M2700" t="s">
        <v>1720</v>
      </c>
      <c r="N2700" t="s">
        <v>1721</v>
      </c>
      <c r="O2700">
        <v>247.48</v>
      </c>
      <c r="P2700" t="s">
        <v>508</v>
      </c>
    </row>
    <row r="2701" spans="1:16" ht="15" customHeight="1" x14ac:dyDescent="0.4">
      <c r="A2701" t="s">
        <v>15</v>
      </c>
      <c r="B2701" t="s">
        <v>16</v>
      </c>
      <c r="C2701" s="13">
        <v>43466</v>
      </c>
      <c r="D2701" s="13">
        <v>43830</v>
      </c>
      <c r="E2701" t="s">
        <v>17</v>
      </c>
      <c r="F2701">
        <v>8</v>
      </c>
      <c r="G2701" t="s">
        <v>501</v>
      </c>
      <c r="H2701">
        <v>40</v>
      </c>
      <c r="I2701" t="s">
        <v>501</v>
      </c>
      <c r="J2701">
        <v>801</v>
      </c>
      <c r="K2701" t="s">
        <v>511</v>
      </c>
      <c r="L2701" s="13">
        <v>43712</v>
      </c>
      <c r="M2701" t="s">
        <v>1722</v>
      </c>
      <c r="N2701" t="s">
        <v>1723</v>
      </c>
      <c r="O2701">
        <v>247.48</v>
      </c>
      <c r="P2701" t="s">
        <v>508</v>
      </c>
    </row>
    <row r="2702" spans="1:16" ht="15" customHeight="1" x14ac:dyDescent="0.4">
      <c r="A2702" t="s">
        <v>15</v>
      </c>
      <c r="B2702" t="s">
        <v>16</v>
      </c>
      <c r="C2702" s="13">
        <v>43466</v>
      </c>
      <c r="D2702" s="13">
        <v>43830</v>
      </c>
      <c r="E2702" t="s">
        <v>17</v>
      </c>
      <c r="F2702">
        <v>9</v>
      </c>
      <c r="G2702" t="s">
        <v>525</v>
      </c>
      <c r="H2702">
        <v>65</v>
      </c>
      <c r="I2702" t="s">
        <v>526</v>
      </c>
      <c r="J2702">
        <v>269</v>
      </c>
      <c r="K2702" t="s">
        <v>1730</v>
      </c>
      <c r="L2702" s="13">
        <v>43710</v>
      </c>
      <c r="M2702" t="s">
        <v>1731</v>
      </c>
      <c r="N2702" t="s">
        <v>1732</v>
      </c>
      <c r="O2702">
        <v>45.1</v>
      </c>
      <c r="P2702" t="s">
        <v>530</v>
      </c>
    </row>
    <row r="2703" spans="1:16" ht="15" customHeight="1" x14ac:dyDescent="0.4">
      <c r="A2703" t="s">
        <v>15</v>
      </c>
      <c r="B2703" t="s">
        <v>16</v>
      </c>
      <c r="C2703" s="13">
        <v>43466</v>
      </c>
      <c r="D2703" s="13">
        <v>43830</v>
      </c>
      <c r="E2703" t="s">
        <v>17</v>
      </c>
      <c r="F2703">
        <v>9</v>
      </c>
      <c r="G2703" t="s">
        <v>525</v>
      </c>
      <c r="H2703">
        <v>65</v>
      </c>
      <c r="I2703" t="s">
        <v>526</v>
      </c>
      <c r="J2703">
        <v>821</v>
      </c>
      <c r="K2703" t="s">
        <v>527</v>
      </c>
      <c r="L2703" s="13">
        <v>43830</v>
      </c>
      <c r="M2703" t="s">
        <v>553</v>
      </c>
      <c r="N2703" t="s">
        <v>46</v>
      </c>
      <c r="O2703">
        <v>1578.5</v>
      </c>
      <c r="P2703" t="s">
        <v>46</v>
      </c>
    </row>
    <row r="2704" spans="1:16" ht="15" customHeight="1" x14ac:dyDescent="0.4">
      <c r="A2704" t="s">
        <v>15</v>
      </c>
      <c r="B2704" t="s">
        <v>16</v>
      </c>
      <c r="C2704" s="13">
        <v>43466</v>
      </c>
      <c r="D2704" s="13">
        <v>43830</v>
      </c>
      <c r="E2704" t="s">
        <v>17</v>
      </c>
      <c r="F2704">
        <v>11</v>
      </c>
      <c r="G2704" t="s">
        <v>501</v>
      </c>
      <c r="H2704">
        <v>40</v>
      </c>
      <c r="I2704" t="s">
        <v>501</v>
      </c>
      <c r="J2704">
        <v>264</v>
      </c>
      <c r="K2704" t="s">
        <v>502</v>
      </c>
      <c r="L2704" s="13">
        <v>43487</v>
      </c>
      <c r="M2704" t="s">
        <v>76</v>
      </c>
      <c r="N2704" t="s">
        <v>1665</v>
      </c>
      <c r="O2704">
        <v>37.25</v>
      </c>
      <c r="P2704" t="s">
        <v>52</v>
      </c>
    </row>
    <row r="2705" spans="1:16" ht="15" customHeight="1" x14ac:dyDescent="0.4">
      <c r="A2705" t="s">
        <v>15</v>
      </c>
      <c r="B2705" t="s">
        <v>16</v>
      </c>
      <c r="C2705" s="13">
        <v>43466</v>
      </c>
      <c r="D2705" s="13">
        <v>43830</v>
      </c>
      <c r="E2705" t="s">
        <v>17</v>
      </c>
      <c r="F2705">
        <v>11</v>
      </c>
      <c r="G2705" t="s">
        <v>501</v>
      </c>
      <c r="H2705">
        <v>40</v>
      </c>
      <c r="I2705" t="s">
        <v>501</v>
      </c>
      <c r="J2705">
        <v>264</v>
      </c>
      <c r="K2705" t="s">
        <v>502</v>
      </c>
      <c r="L2705" s="13">
        <v>43547</v>
      </c>
      <c r="M2705" t="s">
        <v>76</v>
      </c>
      <c r="N2705" t="s">
        <v>1666</v>
      </c>
      <c r="O2705">
        <v>27.59</v>
      </c>
      <c r="P2705" t="s">
        <v>52</v>
      </c>
    </row>
    <row r="2706" spans="1:16" ht="15" customHeight="1" x14ac:dyDescent="0.4">
      <c r="A2706" t="s">
        <v>15</v>
      </c>
      <c r="B2706" t="s">
        <v>16</v>
      </c>
      <c r="C2706" s="13">
        <v>43466</v>
      </c>
      <c r="D2706" s="13">
        <v>43830</v>
      </c>
      <c r="E2706" t="s">
        <v>17</v>
      </c>
      <c r="F2706">
        <v>11</v>
      </c>
      <c r="G2706" t="s">
        <v>501</v>
      </c>
      <c r="H2706">
        <v>40</v>
      </c>
      <c r="I2706" t="s">
        <v>501</v>
      </c>
      <c r="J2706">
        <v>264</v>
      </c>
      <c r="K2706" t="s">
        <v>502</v>
      </c>
      <c r="L2706" s="13">
        <v>43612</v>
      </c>
      <c r="M2706" t="s">
        <v>76</v>
      </c>
      <c r="N2706" t="s">
        <v>1667</v>
      </c>
      <c r="O2706">
        <v>24.61</v>
      </c>
      <c r="P2706" t="s">
        <v>52</v>
      </c>
    </row>
    <row r="2707" spans="1:16" ht="15" customHeight="1" x14ac:dyDescent="0.4">
      <c r="A2707" t="s">
        <v>15</v>
      </c>
      <c r="B2707" t="s">
        <v>16</v>
      </c>
      <c r="C2707" s="13">
        <v>43466</v>
      </c>
      <c r="D2707" s="13">
        <v>43830</v>
      </c>
      <c r="E2707" t="s">
        <v>17</v>
      </c>
      <c r="F2707">
        <v>11</v>
      </c>
      <c r="G2707" t="s">
        <v>501</v>
      </c>
      <c r="H2707">
        <v>40</v>
      </c>
      <c r="I2707" t="s">
        <v>501</v>
      </c>
      <c r="J2707">
        <v>264</v>
      </c>
      <c r="K2707" t="s">
        <v>502</v>
      </c>
      <c r="L2707" s="13">
        <v>43668</v>
      </c>
      <c r="M2707" t="s">
        <v>76</v>
      </c>
      <c r="N2707" t="s">
        <v>1668</v>
      </c>
      <c r="O2707">
        <v>25.14</v>
      </c>
      <c r="P2707" t="s">
        <v>52</v>
      </c>
    </row>
    <row r="2708" spans="1:16" ht="15" customHeight="1" x14ac:dyDescent="0.4">
      <c r="A2708" t="s">
        <v>15</v>
      </c>
      <c r="B2708" t="s">
        <v>16</v>
      </c>
      <c r="C2708" s="13">
        <v>43466</v>
      </c>
      <c r="D2708" s="13">
        <v>43830</v>
      </c>
      <c r="E2708" t="s">
        <v>17</v>
      </c>
      <c r="F2708">
        <v>11</v>
      </c>
      <c r="G2708" t="s">
        <v>501</v>
      </c>
      <c r="H2708">
        <v>40</v>
      </c>
      <c r="I2708" t="s">
        <v>501</v>
      </c>
      <c r="J2708">
        <v>264</v>
      </c>
      <c r="K2708" t="s">
        <v>502</v>
      </c>
      <c r="L2708" s="13">
        <v>43730</v>
      </c>
      <c r="M2708" t="s">
        <v>76</v>
      </c>
      <c r="N2708" t="s">
        <v>1669</v>
      </c>
      <c r="O2708">
        <v>28.3</v>
      </c>
      <c r="P2708" t="s">
        <v>52</v>
      </c>
    </row>
    <row r="2709" spans="1:16" ht="15" customHeight="1" x14ac:dyDescent="0.4">
      <c r="A2709" t="s">
        <v>15</v>
      </c>
      <c r="B2709" t="s">
        <v>16</v>
      </c>
      <c r="C2709" s="13">
        <v>43466</v>
      </c>
      <c r="D2709" s="13">
        <v>43830</v>
      </c>
      <c r="E2709" t="s">
        <v>17</v>
      </c>
      <c r="F2709">
        <v>11</v>
      </c>
      <c r="G2709" t="s">
        <v>501</v>
      </c>
      <c r="H2709">
        <v>40</v>
      </c>
      <c r="I2709" t="s">
        <v>501</v>
      </c>
      <c r="J2709">
        <v>264</v>
      </c>
      <c r="K2709" t="s">
        <v>502</v>
      </c>
      <c r="L2709" s="13">
        <v>43792</v>
      </c>
      <c r="M2709" t="s">
        <v>76</v>
      </c>
      <c r="N2709" t="s">
        <v>1670</v>
      </c>
      <c r="O2709">
        <v>29.83</v>
      </c>
      <c r="P2709" t="s">
        <v>52</v>
      </c>
    </row>
    <row r="2710" spans="1:16" ht="15" customHeight="1" x14ac:dyDescent="0.4">
      <c r="A2710" t="s">
        <v>15</v>
      </c>
      <c r="B2710" t="s">
        <v>16</v>
      </c>
      <c r="C2710" s="13">
        <v>43466</v>
      </c>
      <c r="D2710" s="13">
        <v>43830</v>
      </c>
      <c r="E2710" t="s">
        <v>17</v>
      </c>
      <c r="F2710">
        <v>11</v>
      </c>
      <c r="G2710" t="s">
        <v>501</v>
      </c>
      <c r="H2710">
        <v>40</v>
      </c>
      <c r="I2710" t="s">
        <v>501</v>
      </c>
      <c r="J2710">
        <v>741</v>
      </c>
      <c r="K2710" t="s">
        <v>505</v>
      </c>
      <c r="L2710" s="13">
        <v>43646</v>
      </c>
      <c r="M2710" t="s">
        <v>1714</v>
      </c>
      <c r="N2710" t="s">
        <v>1733</v>
      </c>
      <c r="O2710">
        <v>75.900000000000006</v>
      </c>
      <c r="P2710" t="s">
        <v>508</v>
      </c>
    </row>
    <row r="2711" spans="1:16" ht="15" customHeight="1" x14ac:dyDescent="0.4">
      <c r="A2711" t="s">
        <v>15</v>
      </c>
      <c r="B2711" t="s">
        <v>16</v>
      </c>
      <c r="C2711" s="13">
        <v>43466</v>
      </c>
      <c r="D2711" s="13">
        <v>43830</v>
      </c>
      <c r="E2711" t="s">
        <v>17</v>
      </c>
      <c r="F2711">
        <v>11</v>
      </c>
      <c r="G2711" t="s">
        <v>501</v>
      </c>
      <c r="H2711">
        <v>40</v>
      </c>
      <c r="I2711" t="s">
        <v>501</v>
      </c>
      <c r="J2711">
        <v>801</v>
      </c>
      <c r="K2711" t="s">
        <v>511</v>
      </c>
      <c r="L2711" s="13">
        <v>43466</v>
      </c>
      <c r="M2711" t="s">
        <v>1716</v>
      </c>
      <c r="N2711" t="s">
        <v>1717</v>
      </c>
      <c r="O2711">
        <v>247.54</v>
      </c>
      <c r="P2711" t="s">
        <v>508</v>
      </c>
    </row>
    <row r="2712" spans="1:16" ht="15" customHeight="1" x14ac:dyDescent="0.4">
      <c r="A2712" t="s">
        <v>15</v>
      </c>
      <c r="B2712" t="s">
        <v>16</v>
      </c>
      <c r="C2712" s="13">
        <v>43466</v>
      </c>
      <c r="D2712" s="13">
        <v>43830</v>
      </c>
      <c r="E2712" t="s">
        <v>17</v>
      </c>
      <c r="F2712">
        <v>11</v>
      </c>
      <c r="G2712" t="s">
        <v>501</v>
      </c>
      <c r="H2712">
        <v>40</v>
      </c>
      <c r="I2712" t="s">
        <v>501</v>
      </c>
      <c r="J2712">
        <v>801</v>
      </c>
      <c r="K2712" t="s">
        <v>511</v>
      </c>
      <c r="L2712" s="13">
        <v>43526</v>
      </c>
      <c r="M2712" t="s">
        <v>1718</v>
      </c>
      <c r="N2712" t="s">
        <v>1719</v>
      </c>
      <c r="O2712">
        <v>247.54</v>
      </c>
      <c r="P2712" t="s">
        <v>508</v>
      </c>
    </row>
    <row r="2713" spans="1:16" ht="15" customHeight="1" x14ac:dyDescent="0.4">
      <c r="A2713" t="s">
        <v>15</v>
      </c>
      <c r="B2713" t="s">
        <v>16</v>
      </c>
      <c r="C2713" s="13">
        <v>43466</v>
      </c>
      <c r="D2713" s="13">
        <v>43830</v>
      </c>
      <c r="E2713" t="s">
        <v>17</v>
      </c>
      <c r="F2713">
        <v>11</v>
      </c>
      <c r="G2713" t="s">
        <v>501</v>
      </c>
      <c r="H2713">
        <v>40</v>
      </c>
      <c r="I2713" t="s">
        <v>501</v>
      </c>
      <c r="J2713">
        <v>801</v>
      </c>
      <c r="K2713" t="s">
        <v>511</v>
      </c>
      <c r="L2713" s="13">
        <v>43618</v>
      </c>
      <c r="M2713" t="s">
        <v>1720</v>
      </c>
      <c r="N2713" t="s">
        <v>1721</v>
      </c>
      <c r="O2713">
        <v>247.55</v>
      </c>
      <c r="P2713" t="s">
        <v>508</v>
      </c>
    </row>
    <row r="2714" spans="1:16" ht="15" customHeight="1" x14ac:dyDescent="0.4">
      <c r="A2714" t="s">
        <v>15</v>
      </c>
      <c r="B2714" t="s">
        <v>16</v>
      </c>
      <c r="C2714" s="13">
        <v>43466</v>
      </c>
      <c r="D2714" s="13">
        <v>43830</v>
      </c>
      <c r="E2714" t="s">
        <v>17</v>
      </c>
      <c r="F2714">
        <v>11</v>
      </c>
      <c r="G2714" t="s">
        <v>501</v>
      </c>
      <c r="H2714">
        <v>40</v>
      </c>
      <c r="I2714" t="s">
        <v>501</v>
      </c>
      <c r="J2714">
        <v>801</v>
      </c>
      <c r="K2714" t="s">
        <v>511</v>
      </c>
      <c r="L2714" s="13">
        <v>43712</v>
      </c>
      <c r="M2714" t="s">
        <v>1722</v>
      </c>
      <c r="N2714" t="s">
        <v>1723</v>
      </c>
      <c r="O2714">
        <v>247.54</v>
      </c>
      <c r="P2714" t="s">
        <v>508</v>
      </c>
    </row>
    <row r="2715" spans="1:16" ht="15" customHeight="1" x14ac:dyDescent="0.4">
      <c r="A2715" t="s">
        <v>15</v>
      </c>
      <c r="B2715" t="s">
        <v>16</v>
      </c>
      <c r="C2715" s="13">
        <v>43466</v>
      </c>
      <c r="D2715" s="13">
        <v>43830</v>
      </c>
      <c r="E2715" t="s">
        <v>17</v>
      </c>
      <c r="F2715">
        <v>12</v>
      </c>
      <c r="G2715" t="s">
        <v>525</v>
      </c>
      <c r="H2715">
        <v>65</v>
      </c>
      <c r="I2715" t="s">
        <v>526</v>
      </c>
      <c r="J2715">
        <v>821</v>
      </c>
      <c r="K2715" t="s">
        <v>527</v>
      </c>
      <c r="L2715" s="13">
        <v>43830</v>
      </c>
      <c r="M2715" t="s">
        <v>558</v>
      </c>
      <c r="N2715" t="s">
        <v>46</v>
      </c>
      <c r="O2715">
        <v>1578.5</v>
      </c>
      <c r="P2715" t="s">
        <v>46</v>
      </c>
    </row>
    <row r="2716" spans="1:16" ht="15" customHeight="1" x14ac:dyDescent="0.4">
      <c r="A2716" t="s">
        <v>15</v>
      </c>
      <c r="B2716" t="s">
        <v>16</v>
      </c>
      <c r="C2716" s="13">
        <v>43466</v>
      </c>
      <c r="D2716" s="13">
        <v>43830</v>
      </c>
      <c r="E2716" t="s">
        <v>17</v>
      </c>
      <c r="F2716">
        <v>13</v>
      </c>
      <c r="G2716" t="s">
        <v>560</v>
      </c>
      <c r="H2716">
        <v>50</v>
      </c>
      <c r="I2716" t="s">
        <v>561</v>
      </c>
      <c r="J2716">
        <v>269</v>
      </c>
      <c r="K2716" t="s">
        <v>562</v>
      </c>
      <c r="L2716" s="13">
        <v>43479</v>
      </c>
      <c r="M2716" t="s">
        <v>76</v>
      </c>
      <c r="N2716" t="s">
        <v>1734</v>
      </c>
      <c r="O2716">
        <v>504.4</v>
      </c>
      <c r="P2716" t="s">
        <v>565</v>
      </c>
    </row>
    <row r="2717" spans="1:16" ht="15" customHeight="1" x14ac:dyDescent="0.4">
      <c r="A2717" t="s">
        <v>15</v>
      </c>
      <c r="B2717" t="s">
        <v>16</v>
      </c>
      <c r="C2717" s="13">
        <v>43466</v>
      </c>
      <c r="D2717" s="13">
        <v>43830</v>
      </c>
      <c r="E2717" t="s">
        <v>17</v>
      </c>
      <c r="F2717">
        <v>13</v>
      </c>
      <c r="G2717" t="s">
        <v>560</v>
      </c>
      <c r="H2717">
        <v>50</v>
      </c>
      <c r="I2717" t="s">
        <v>561</v>
      </c>
      <c r="J2717">
        <v>269</v>
      </c>
      <c r="K2717" t="s">
        <v>562</v>
      </c>
      <c r="L2717" s="13">
        <v>43509</v>
      </c>
      <c r="M2717" t="s">
        <v>76</v>
      </c>
      <c r="N2717" t="s">
        <v>1735</v>
      </c>
      <c r="O2717">
        <v>494.03</v>
      </c>
      <c r="P2717" t="s">
        <v>565</v>
      </c>
    </row>
    <row r="2718" spans="1:16" ht="15" customHeight="1" x14ac:dyDescent="0.4">
      <c r="A2718" t="s">
        <v>15</v>
      </c>
      <c r="B2718" t="s">
        <v>16</v>
      </c>
      <c r="C2718" s="13">
        <v>43466</v>
      </c>
      <c r="D2718" s="13">
        <v>43830</v>
      </c>
      <c r="E2718" t="s">
        <v>17</v>
      </c>
      <c r="F2718">
        <v>13</v>
      </c>
      <c r="G2718" t="s">
        <v>560</v>
      </c>
      <c r="H2718">
        <v>50</v>
      </c>
      <c r="I2718" t="s">
        <v>561</v>
      </c>
      <c r="J2718">
        <v>269</v>
      </c>
      <c r="K2718" t="s">
        <v>562</v>
      </c>
      <c r="L2718" s="13">
        <v>43537</v>
      </c>
      <c r="M2718" t="s">
        <v>76</v>
      </c>
      <c r="N2718" t="s">
        <v>1736</v>
      </c>
      <c r="O2718">
        <v>454.33</v>
      </c>
      <c r="P2718" t="s">
        <v>565</v>
      </c>
    </row>
    <row r="2719" spans="1:16" ht="15" customHeight="1" x14ac:dyDescent="0.4">
      <c r="A2719" t="s">
        <v>15</v>
      </c>
      <c r="B2719" t="s">
        <v>16</v>
      </c>
      <c r="C2719" s="13">
        <v>43466</v>
      </c>
      <c r="D2719" s="13">
        <v>43830</v>
      </c>
      <c r="E2719" t="s">
        <v>17</v>
      </c>
      <c r="F2719">
        <v>13</v>
      </c>
      <c r="G2719" t="s">
        <v>560</v>
      </c>
      <c r="H2719">
        <v>50</v>
      </c>
      <c r="I2719" t="s">
        <v>561</v>
      </c>
      <c r="J2719">
        <v>269</v>
      </c>
      <c r="K2719" t="s">
        <v>562</v>
      </c>
      <c r="L2719" s="13">
        <v>43572</v>
      </c>
      <c r="M2719" t="s">
        <v>76</v>
      </c>
      <c r="N2719" t="s">
        <v>1737</v>
      </c>
      <c r="O2719">
        <v>445.42</v>
      </c>
      <c r="P2719" t="s">
        <v>565</v>
      </c>
    </row>
    <row r="2720" spans="1:16" ht="15" customHeight="1" x14ac:dyDescent="0.4">
      <c r="A2720" t="s">
        <v>15</v>
      </c>
      <c r="B2720" t="s">
        <v>16</v>
      </c>
      <c r="C2720" s="13">
        <v>43466</v>
      </c>
      <c r="D2720" s="13">
        <v>43830</v>
      </c>
      <c r="E2720" t="s">
        <v>17</v>
      </c>
      <c r="F2720">
        <v>13</v>
      </c>
      <c r="G2720" t="s">
        <v>560</v>
      </c>
      <c r="H2720">
        <v>50</v>
      </c>
      <c r="I2720" t="s">
        <v>561</v>
      </c>
      <c r="J2720">
        <v>269</v>
      </c>
      <c r="K2720" t="s">
        <v>562</v>
      </c>
      <c r="L2720" s="13">
        <v>43599</v>
      </c>
      <c r="M2720" t="s">
        <v>76</v>
      </c>
      <c r="N2720" t="s">
        <v>1738</v>
      </c>
      <c r="O2720">
        <v>372.98</v>
      </c>
      <c r="P2720" t="s">
        <v>565</v>
      </c>
    </row>
    <row r="2721" spans="1:16" ht="15" customHeight="1" x14ac:dyDescent="0.4">
      <c r="A2721" t="s">
        <v>15</v>
      </c>
      <c r="B2721" t="s">
        <v>16</v>
      </c>
      <c r="C2721" s="13">
        <v>43466</v>
      </c>
      <c r="D2721" s="13">
        <v>43830</v>
      </c>
      <c r="E2721" t="s">
        <v>17</v>
      </c>
      <c r="F2721">
        <v>13</v>
      </c>
      <c r="G2721" t="s">
        <v>560</v>
      </c>
      <c r="H2721">
        <v>50</v>
      </c>
      <c r="I2721" t="s">
        <v>561</v>
      </c>
      <c r="J2721">
        <v>269</v>
      </c>
      <c r="K2721" t="s">
        <v>562</v>
      </c>
      <c r="L2721" s="13">
        <v>43629</v>
      </c>
      <c r="M2721" t="s">
        <v>76</v>
      </c>
      <c r="N2721" t="s">
        <v>1739</v>
      </c>
      <c r="O2721">
        <v>356.64</v>
      </c>
      <c r="P2721" t="s">
        <v>565</v>
      </c>
    </row>
    <row r="2722" spans="1:16" ht="15" customHeight="1" x14ac:dyDescent="0.4">
      <c r="A2722" t="s">
        <v>15</v>
      </c>
      <c r="B2722" t="s">
        <v>16</v>
      </c>
      <c r="C2722" s="13">
        <v>43466</v>
      </c>
      <c r="D2722" s="13">
        <v>43830</v>
      </c>
      <c r="E2722" t="s">
        <v>17</v>
      </c>
      <c r="F2722">
        <v>13</v>
      </c>
      <c r="G2722" t="s">
        <v>560</v>
      </c>
      <c r="H2722">
        <v>50</v>
      </c>
      <c r="I2722" t="s">
        <v>561</v>
      </c>
      <c r="J2722">
        <v>269</v>
      </c>
      <c r="K2722" t="s">
        <v>562</v>
      </c>
      <c r="L2722" s="13">
        <v>43659</v>
      </c>
      <c r="M2722" t="s">
        <v>76</v>
      </c>
      <c r="N2722" t="s">
        <v>1740</v>
      </c>
      <c r="O2722">
        <v>310.98</v>
      </c>
      <c r="P2722" t="s">
        <v>565</v>
      </c>
    </row>
    <row r="2723" spans="1:16" ht="15" customHeight="1" x14ac:dyDescent="0.4">
      <c r="A2723" t="s">
        <v>15</v>
      </c>
      <c r="B2723" t="s">
        <v>16</v>
      </c>
      <c r="C2723" s="13">
        <v>43466</v>
      </c>
      <c r="D2723" s="13">
        <v>43830</v>
      </c>
      <c r="E2723" t="s">
        <v>17</v>
      </c>
      <c r="F2723">
        <v>13</v>
      </c>
      <c r="G2723" t="s">
        <v>560</v>
      </c>
      <c r="H2723">
        <v>50</v>
      </c>
      <c r="I2723" t="s">
        <v>561</v>
      </c>
      <c r="J2723">
        <v>269</v>
      </c>
      <c r="K2723" t="s">
        <v>562</v>
      </c>
      <c r="L2723" s="13">
        <v>43690</v>
      </c>
      <c r="M2723" t="s">
        <v>76</v>
      </c>
      <c r="N2723" t="s">
        <v>1741</v>
      </c>
      <c r="O2723">
        <v>316.38</v>
      </c>
      <c r="P2723" t="s">
        <v>565</v>
      </c>
    </row>
    <row r="2724" spans="1:16" ht="15" customHeight="1" x14ac:dyDescent="0.4">
      <c r="A2724" t="s">
        <v>15</v>
      </c>
      <c r="B2724" t="s">
        <v>16</v>
      </c>
      <c r="C2724" s="13">
        <v>43466</v>
      </c>
      <c r="D2724" s="13">
        <v>43830</v>
      </c>
      <c r="E2724" t="s">
        <v>17</v>
      </c>
      <c r="F2724">
        <v>13</v>
      </c>
      <c r="G2724" t="s">
        <v>560</v>
      </c>
      <c r="H2724">
        <v>50</v>
      </c>
      <c r="I2724" t="s">
        <v>561</v>
      </c>
      <c r="J2724">
        <v>269</v>
      </c>
      <c r="K2724" t="s">
        <v>562</v>
      </c>
      <c r="L2724" s="13">
        <v>43722</v>
      </c>
      <c r="M2724" t="s">
        <v>76</v>
      </c>
      <c r="N2724" t="s">
        <v>1742</v>
      </c>
      <c r="O2724">
        <v>327.39999999999998</v>
      </c>
      <c r="P2724" t="s">
        <v>565</v>
      </c>
    </row>
    <row r="2725" spans="1:16" ht="15" customHeight="1" x14ac:dyDescent="0.4">
      <c r="A2725" t="s">
        <v>15</v>
      </c>
      <c r="B2725" t="s">
        <v>16</v>
      </c>
      <c r="C2725" s="13">
        <v>43466</v>
      </c>
      <c r="D2725" s="13">
        <v>43830</v>
      </c>
      <c r="E2725" t="s">
        <v>17</v>
      </c>
      <c r="F2725">
        <v>13</v>
      </c>
      <c r="G2725" t="s">
        <v>560</v>
      </c>
      <c r="H2725">
        <v>50</v>
      </c>
      <c r="I2725" t="s">
        <v>561</v>
      </c>
      <c r="J2725">
        <v>269</v>
      </c>
      <c r="K2725" t="s">
        <v>562</v>
      </c>
      <c r="L2725" s="13">
        <v>43751</v>
      </c>
      <c r="M2725" t="s">
        <v>76</v>
      </c>
      <c r="N2725" t="s">
        <v>1743</v>
      </c>
      <c r="O2725">
        <v>329.33</v>
      </c>
      <c r="P2725" t="s">
        <v>565</v>
      </c>
    </row>
    <row r="2726" spans="1:16" ht="15" customHeight="1" x14ac:dyDescent="0.4">
      <c r="A2726" t="s">
        <v>15</v>
      </c>
      <c r="B2726" t="s">
        <v>16</v>
      </c>
      <c r="C2726" s="13">
        <v>43466</v>
      </c>
      <c r="D2726" s="13">
        <v>43830</v>
      </c>
      <c r="E2726" t="s">
        <v>17</v>
      </c>
      <c r="F2726">
        <v>13</v>
      </c>
      <c r="G2726" t="s">
        <v>560</v>
      </c>
      <c r="H2726">
        <v>50</v>
      </c>
      <c r="I2726" t="s">
        <v>561</v>
      </c>
      <c r="J2726">
        <v>269</v>
      </c>
      <c r="K2726" t="s">
        <v>562</v>
      </c>
      <c r="L2726" s="13">
        <v>43782</v>
      </c>
      <c r="M2726" t="s">
        <v>76</v>
      </c>
      <c r="N2726" t="s">
        <v>1744</v>
      </c>
      <c r="O2726">
        <v>411.67</v>
      </c>
      <c r="P2726" t="s">
        <v>565</v>
      </c>
    </row>
    <row r="2727" spans="1:16" ht="15" customHeight="1" x14ac:dyDescent="0.4">
      <c r="A2727" t="s">
        <v>15</v>
      </c>
      <c r="B2727" t="s">
        <v>16</v>
      </c>
      <c r="C2727" s="13">
        <v>43466</v>
      </c>
      <c r="D2727" s="13">
        <v>43830</v>
      </c>
      <c r="E2727" t="s">
        <v>17</v>
      </c>
      <c r="F2727">
        <v>13</v>
      </c>
      <c r="G2727" t="s">
        <v>560</v>
      </c>
      <c r="H2727">
        <v>50</v>
      </c>
      <c r="I2727" t="s">
        <v>561</v>
      </c>
      <c r="J2727">
        <v>269</v>
      </c>
      <c r="K2727" t="s">
        <v>562</v>
      </c>
      <c r="L2727" s="13">
        <v>43812</v>
      </c>
      <c r="M2727" t="s">
        <v>76</v>
      </c>
      <c r="N2727" t="s">
        <v>1745</v>
      </c>
      <c r="O2727">
        <v>517.46</v>
      </c>
      <c r="P2727" t="s">
        <v>565</v>
      </c>
    </row>
    <row r="2728" spans="1:16" ht="15" customHeight="1" x14ac:dyDescent="0.4">
      <c r="A2728" t="s">
        <v>15</v>
      </c>
      <c r="B2728" t="s">
        <v>16</v>
      </c>
      <c r="C2728" s="13">
        <v>43466</v>
      </c>
      <c r="D2728" s="13">
        <v>43830</v>
      </c>
      <c r="E2728" t="s">
        <v>17</v>
      </c>
      <c r="F2728">
        <v>13</v>
      </c>
      <c r="G2728" t="s">
        <v>560</v>
      </c>
      <c r="H2728">
        <v>50</v>
      </c>
      <c r="I2728" t="s">
        <v>561</v>
      </c>
      <c r="J2728">
        <v>286</v>
      </c>
      <c r="K2728" t="s">
        <v>588</v>
      </c>
      <c r="L2728" s="13">
        <v>43830</v>
      </c>
      <c r="M2728" t="s">
        <v>1746</v>
      </c>
      <c r="N2728" t="s">
        <v>86</v>
      </c>
      <c r="O2728">
        <v>1101.9100000000001</v>
      </c>
      <c r="P2728" t="s">
        <v>46</v>
      </c>
    </row>
    <row r="2729" spans="1:16" ht="15" customHeight="1" x14ac:dyDescent="0.4">
      <c r="A2729" t="s">
        <v>15</v>
      </c>
      <c r="B2729" t="s">
        <v>16</v>
      </c>
      <c r="C2729" s="13">
        <v>43466</v>
      </c>
      <c r="D2729" s="13">
        <v>43830</v>
      </c>
      <c r="E2729" t="s">
        <v>17</v>
      </c>
      <c r="F2729">
        <v>14</v>
      </c>
      <c r="G2729" t="s">
        <v>560</v>
      </c>
      <c r="H2729">
        <v>50</v>
      </c>
      <c r="I2729" t="s">
        <v>561</v>
      </c>
      <c r="J2729">
        <v>269</v>
      </c>
      <c r="K2729" t="s">
        <v>562</v>
      </c>
      <c r="L2729" s="13">
        <v>43480</v>
      </c>
      <c r="M2729" t="s">
        <v>76</v>
      </c>
      <c r="N2729" t="s">
        <v>1747</v>
      </c>
      <c r="O2729">
        <v>489.81</v>
      </c>
      <c r="P2729" t="s">
        <v>565</v>
      </c>
    </row>
    <row r="2730" spans="1:16" ht="15" customHeight="1" x14ac:dyDescent="0.4">
      <c r="A2730" t="s">
        <v>15</v>
      </c>
      <c r="B2730" t="s">
        <v>16</v>
      </c>
      <c r="C2730" s="13">
        <v>43466</v>
      </c>
      <c r="D2730" s="13">
        <v>43830</v>
      </c>
      <c r="E2730" t="s">
        <v>17</v>
      </c>
      <c r="F2730">
        <v>14</v>
      </c>
      <c r="G2730" t="s">
        <v>560</v>
      </c>
      <c r="H2730">
        <v>50</v>
      </c>
      <c r="I2730" t="s">
        <v>561</v>
      </c>
      <c r="J2730">
        <v>269</v>
      </c>
      <c r="K2730" t="s">
        <v>562</v>
      </c>
      <c r="L2730" s="13">
        <v>43509</v>
      </c>
      <c r="M2730" t="s">
        <v>76</v>
      </c>
      <c r="N2730" t="s">
        <v>1748</v>
      </c>
      <c r="O2730">
        <v>513.35</v>
      </c>
      <c r="P2730" t="s">
        <v>565</v>
      </c>
    </row>
    <row r="2731" spans="1:16" ht="15" customHeight="1" x14ac:dyDescent="0.4">
      <c r="A2731" t="s">
        <v>15</v>
      </c>
      <c r="B2731" t="s">
        <v>16</v>
      </c>
      <c r="C2731" s="13">
        <v>43466</v>
      </c>
      <c r="D2731" s="13">
        <v>43830</v>
      </c>
      <c r="E2731" t="s">
        <v>17</v>
      </c>
      <c r="F2731">
        <v>14</v>
      </c>
      <c r="G2731" t="s">
        <v>560</v>
      </c>
      <c r="H2731">
        <v>50</v>
      </c>
      <c r="I2731" t="s">
        <v>561</v>
      </c>
      <c r="J2731">
        <v>269</v>
      </c>
      <c r="K2731" t="s">
        <v>562</v>
      </c>
      <c r="L2731" s="13">
        <v>43538</v>
      </c>
      <c r="M2731" t="s">
        <v>76</v>
      </c>
      <c r="N2731" t="s">
        <v>1749</v>
      </c>
      <c r="O2731">
        <v>453.93</v>
      </c>
      <c r="P2731" t="s">
        <v>565</v>
      </c>
    </row>
    <row r="2732" spans="1:16" ht="15" customHeight="1" x14ac:dyDescent="0.4">
      <c r="A2732" t="s">
        <v>15</v>
      </c>
      <c r="B2732" t="s">
        <v>16</v>
      </c>
      <c r="C2732" s="13">
        <v>43466</v>
      </c>
      <c r="D2732" s="13">
        <v>43830</v>
      </c>
      <c r="E2732" t="s">
        <v>17</v>
      </c>
      <c r="F2732">
        <v>14</v>
      </c>
      <c r="G2732" t="s">
        <v>560</v>
      </c>
      <c r="H2732">
        <v>50</v>
      </c>
      <c r="I2732" t="s">
        <v>561</v>
      </c>
      <c r="J2732">
        <v>269</v>
      </c>
      <c r="K2732" t="s">
        <v>562</v>
      </c>
      <c r="L2732" s="13">
        <v>43573</v>
      </c>
      <c r="M2732" t="s">
        <v>76</v>
      </c>
      <c r="N2732" t="s">
        <v>1750</v>
      </c>
      <c r="O2732">
        <v>452.29</v>
      </c>
      <c r="P2732" t="s">
        <v>565</v>
      </c>
    </row>
    <row r="2733" spans="1:16" ht="15" customHeight="1" x14ac:dyDescent="0.4">
      <c r="A2733" t="s">
        <v>15</v>
      </c>
      <c r="B2733" t="s">
        <v>16</v>
      </c>
      <c r="C2733" s="13">
        <v>43466</v>
      </c>
      <c r="D2733" s="13">
        <v>43830</v>
      </c>
      <c r="E2733" t="s">
        <v>17</v>
      </c>
      <c r="F2733">
        <v>14</v>
      </c>
      <c r="G2733" t="s">
        <v>560</v>
      </c>
      <c r="H2733">
        <v>50</v>
      </c>
      <c r="I2733" t="s">
        <v>561</v>
      </c>
      <c r="J2733">
        <v>269</v>
      </c>
      <c r="K2733" t="s">
        <v>562</v>
      </c>
      <c r="L2733" s="13">
        <v>43599</v>
      </c>
      <c r="M2733" t="s">
        <v>76</v>
      </c>
      <c r="N2733" t="s">
        <v>1751</v>
      </c>
      <c r="O2733">
        <v>350.08</v>
      </c>
      <c r="P2733" t="s">
        <v>565</v>
      </c>
    </row>
    <row r="2734" spans="1:16" ht="15" customHeight="1" x14ac:dyDescent="0.4">
      <c r="A2734" t="s">
        <v>15</v>
      </c>
      <c r="B2734" t="s">
        <v>16</v>
      </c>
      <c r="C2734" s="13">
        <v>43466</v>
      </c>
      <c r="D2734" s="13">
        <v>43830</v>
      </c>
      <c r="E2734" t="s">
        <v>17</v>
      </c>
      <c r="F2734">
        <v>14</v>
      </c>
      <c r="G2734" t="s">
        <v>560</v>
      </c>
      <c r="H2734">
        <v>50</v>
      </c>
      <c r="I2734" t="s">
        <v>561</v>
      </c>
      <c r="J2734">
        <v>269</v>
      </c>
      <c r="K2734" t="s">
        <v>562</v>
      </c>
      <c r="L2734" s="13">
        <v>43629</v>
      </c>
      <c r="M2734" t="s">
        <v>76</v>
      </c>
      <c r="N2734" t="s">
        <v>1752</v>
      </c>
      <c r="O2734">
        <v>352.88</v>
      </c>
      <c r="P2734" t="s">
        <v>565</v>
      </c>
    </row>
    <row r="2735" spans="1:16" ht="15" customHeight="1" x14ac:dyDescent="0.4">
      <c r="A2735" t="s">
        <v>15</v>
      </c>
      <c r="B2735" t="s">
        <v>16</v>
      </c>
      <c r="C2735" s="13">
        <v>43466</v>
      </c>
      <c r="D2735" s="13">
        <v>43830</v>
      </c>
      <c r="E2735" t="s">
        <v>17</v>
      </c>
      <c r="F2735">
        <v>14</v>
      </c>
      <c r="G2735" t="s">
        <v>560</v>
      </c>
      <c r="H2735">
        <v>50</v>
      </c>
      <c r="I2735" t="s">
        <v>561</v>
      </c>
      <c r="J2735">
        <v>269</v>
      </c>
      <c r="K2735" t="s">
        <v>562</v>
      </c>
      <c r="L2735" s="13">
        <v>43659</v>
      </c>
      <c r="M2735" t="s">
        <v>76</v>
      </c>
      <c r="N2735" t="s">
        <v>1753</v>
      </c>
      <c r="O2735">
        <v>288.95</v>
      </c>
      <c r="P2735" t="s">
        <v>565</v>
      </c>
    </row>
    <row r="2736" spans="1:16" ht="15" customHeight="1" x14ac:dyDescent="0.4">
      <c r="A2736" t="s">
        <v>15</v>
      </c>
      <c r="B2736" t="s">
        <v>16</v>
      </c>
      <c r="C2736" s="13">
        <v>43466</v>
      </c>
      <c r="D2736" s="13">
        <v>43830</v>
      </c>
      <c r="E2736" t="s">
        <v>17</v>
      </c>
      <c r="F2736">
        <v>14</v>
      </c>
      <c r="G2736" t="s">
        <v>560</v>
      </c>
      <c r="H2736">
        <v>50</v>
      </c>
      <c r="I2736" t="s">
        <v>561</v>
      </c>
      <c r="J2736">
        <v>269</v>
      </c>
      <c r="K2736" t="s">
        <v>562</v>
      </c>
      <c r="L2736" s="13">
        <v>43698</v>
      </c>
      <c r="M2736" t="s">
        <v>76</v>
      </c>
      <c r="N2736" t="s">
        <v>1754</v>
      </c>
      <c r="O2736">
        <v>344.71</v>
      </c>
      <c r="P2736" t="s">
        <v>565</v>
      </c>
    </row>
    <row r="2737" spans="1:16" ht="15" customHeight="1" x14ac:dyDescent="0.4">
      <c r="A2737" t="s">
        <v>15</v>
      </c>
      <c r="B2737" t="s">
        <v>16</v>
      </c>
      <c r="C2737" s="13">
        <v>43466</v>
      </c>
      <c r="D2737" s="13">
        <v>43830</v>
      </c>
      <c r="E2737" t="s">
        <v>17</v>
      </c>
      <c r="F2737">
        <v>14</v>
      </c>
      <c r="G2737" t="s">
        <v>560</v>
      </c>
      <c r="H2737">
        <v>50</v>
      </c>
      <c r="I2737" t="s">
        <v>561</v>
      </c>
      <c r="J2737">
        <v>269</v>
      </c>
      <c r="K2737" t="s">
        <v>562</v>
      </c>
      <c r="L2737" s="13">
        <v>43721</v>
      </c>
      <c r="M2737" t="s">
        <v>76</v>
      </c>
      <c r="N2737" t="s">
        <v>1755</v>
      </c>
      <c r="O2737">
        <v>239.73</v>
      </c>
      <c r="P2737" t="s">
        <v>565</v>
      </c>
    </row>
    <row r="2738" spans="1:16" ht="15" customHeight="1" x14ac:dyDescent="0.4">
      <c r="A2738" t="s">
        <v>15</v>
      </c>
      <c r="B2738" t="s">
        <v>16</v>
      </c>
      <c r="C2738" s="13">
        <v>43466</v>
      </c>
      <c r="D2738" s="13">
        <v>43830</v>
      </c>
      <c r="E2738" t="s">
        <v>17</v>
      </c>
      <c r="F2738">
        <v>14</v>
      </c>
      <c r="G2738" t="s">
        <v>560</v>
      </c>
      <c r="H2738">
        <v>50</v>
      </c>
      <c r="I2738" t="s">
        <v>561</v>
      </c>
      <c r="J2738">
        <v>269</v>
      </c>
      <c r="K2738" t="s">
        <v>562</v>
      </c>
      <c r="L2738" s="13">
        <v>43751</v>
      </c>
      <c r="M2738" t="s">
        <v>76</v>
      </c>
      <c r="N2738" t="s">
        <v>1756</v>
      </c>
      <c r="O2738">
        <v>299.89</v>
      </c>
      <c r="P2738" t="s">
        <v>565</v>
      </c>
    </row>
    <row r="2739" spans="1:16" ht="15" customHeight="1" x14ac:dyDescent="0.4">
      <c r="A2739" t="s">
        <v>15</v>
      </c>
      <c r="B2739" t="s">
        <v>16</v>
      </c>
      <c r="C2739" s="13">
        <v>43466</v>
      </c>
      <c r="D2739" s="13">
        <v>43830</v>
      </c>
      <c r="E2739" t="s">
        <v>17</v>
      </c>
      <c r="F2739">
        <v>14</v>
      </c>
      <c r="G2739" t="s">
        <v>560</v>
      </c>
      <c r="H2739">
        <v>50</v>
      </c>
      <c r="I2739" t="s">
        <v>561</v>
      </c>
      <c r="J2739">
        <v>269</v>
      </c>
      <c r="K2739" t="s">
        <v>562</v>
      </c>
      <c r="L2739" s="13">
        <v>43790</v>
      </c>
      <c r="M2739" t="s">
        <v>76</v>
      </c>
      <c r="N2739" t="s">
        <v>1757</v>
      </c>
      <c r="O2739">
        <v>505.8</v>
      </c>
      <c r="P2739" t="s">
        <v>565</v>
      </c>
    </row>
    <row r="2740" spans="1:16" ht="15" customHeight="1" x14ac:dyDescent="0.4">
      <c r="A2740" t="s">
        <v>15</v>
      </c>
      <c r="B2740" t="s">
        <v>16</v>
      </c>
      <c r="C2740" s="13">
        <v>43466</v>
      </c>
      <c r="D2740" s="13">
        <v>43830</v>
      </c>
      <c r="E2740" t="s">
        <v>17</v>
      </c>
      <c r="F2740">
        <v>14</v>
      </c>
      <c r="G2740" t="s">
        <v>560</v>
      </c>
      <c r="H2740">
        <v>50</v>
      </c>
      <c r="I2740" t="s">
        <v>561</v>
      </c>
      <c r="J2740">
        <v>269</v>
      </c>
      <c r="K2740" t="s">
        <v>562</v>
      </c>
      <c r="L2740" s="13">
        <v>43812</v>
      </c>
      <c r="M2740" t="s">
        <v>76</v>
      </c>
      <c r="N2740" t="s">
        <v>1758</v>
      </c>
      <c r="O2740">
        <v>379.81</v>
      </c>
      <c r="P2740" t="s">
        <v>565</v>
      </c>
    </row>
    <row r="2741" spans="1:16" ht="15" customHeight="1" x14ac:dyDescent="0.4">
      <c r="A2741" t="s">
        <v>15</v>
      </c>
      <c r="B2741" t="s">
        <v>16</v>
      </c>
      <c r="C2741" s="13">
        <v>43466</v>
      </c>
      <c r="D2741" s="13">
        <v>43830</v>
      </c>
      <c r="E2741" t="s">
        <v>17</v>
      </c>
      <c r="F2741">
        <v>14</v>
      </c>
      <c r="G2741" t="s">
        <v>560</v>
      </c>
      <c r="H2741">
        <v>50</v>
      </c>
      <c r="I2741" t="s">
        <v>561</v>
      </c>
      <c r="J2741">
        <v>286</v>
      </c>
      <c r="K2741" t="s">
        <v>588</v>
      </c>
      <c r="L2741" s="13">
        <v>43830</v>
      </c>
      <c r="M2741" t="s">
        <v>1759</v>
      </c>
      <c r="N2741" t="s">
        <v>86</v>
      </c>
      <c r="O2741">
        <v>1350.61</v>
      </c>
      <c r="P2741" t="s">
        <v>46</v>
      </c>
    </row>
    <row r="2742" spans="1:16" ht="15" customHeight="1" x14ac:dyDescent="0.4">
      <c r="A2742" t="s">
        <v>15</v>
      </c>
      <c r="B2742" t="s">
        <v>16</v>
      </c>
      <c r="C2742" s="13">
        <v>43466</v>
      </c>
      <c r="D2742" s="13">
        <v>43830</v>
      </c>
      <c r="E2742" t="s">
        <v>17</v>
      </c>
      <c r="F2742">
        <v>15</v>
      </c>
      <c r="G2742" t="s">
        <v>560</v>
      </c>
      <c r="H2742">
        <v>50</v>
      </c>
      <c r="I2742" t="s">
        <v>561</v>
      </c>
      <c r="J2742">
        <v>269</v>
      </c>
      <c r="K2742" t="s">
        <v>562</v>
      </c>
      <c r="L2742" s="13">
        <v>43480</v>
      </c>
      <c r="M2742" t="s">
        <v>76</v>
      </c>
      <c r="N2742" t="s">
        <v>1747</v>
      </c>
      <c r="O2742">
        <v>489.82</v>
      </c>
      <c r="P2742" t="s">
        <v>565</v>
      </c>
    </row>
    <row r="2743" spans="1:16" ht="15" customHeight="1" x14ac:dyDescent="0.4">
      <c r="A2743" t="s">
        <v>15</v>
      </c>
      <c r="B2743" t="s">
        <v>16</v>
      </c>
      <c r="C2743" s="13">
        <v>43466</v>
      </c>
      <c r="D2743" s="13">
        <v>43830</v>
      </c>
      <c r="E2743" t="s">
        <v>17</v>
      </c>
      <c r="F2743">
        <v>15</v>
      </c>
      <c r="G2743" t="s">
        <v>560</v>
      </c>
      <c r="H2743">
        <v>50</v>
      </c>
      <c r="I2743" t="s">
        <v>561</v>
      </c>
      <c r="J2743">
        <v>269</v>
      </c>
      <c r="K2743" t="s">
        <v>562</v>
      </c>
      <c r="L2743" s="13">
        <v>43509</v>
      </c>
      <c r="M2743" t="s">
        <v>76</v>
      </c>
      <c r="N2743" t="s">
        <v>1748</v>
      </c>
      <c r="O2743">
        <v>513.35</v>
      </c>
      <c r="P2743" t="s">
        <v>565</v>
      </c>
    </row>
    <row r="2744" spans="1:16" ht="15" customHeight="1" x14ac:dyDescent="0.4">
      <c r="A2744" t="s">
        <v>15</v>
      </c>
      <c r="B2744" t="s">
        <v>16</v>
      </c>
      <c r="C2744" s="13">
        <v>43466</v>
      </c>
      <c r="D2744" s="13">
        <v>43830</v>
      </c>
      <c r="E2744" t="s">
        <v>17</v>
      </c>
      <c r="F2744">
        <v>15</v>
      </c>
      <c r="G2744" t="s">
        <v>560</v>
      </c>
      <c r="H2744">
        <v>50</v>
      </c>
      <c r="I2744" t="s">
        <v>561</v>
      </c>
      <c r="J2744">
        <v>269</v>
      </c>
      <c r="K2744" t="s">
        <v>562</v>
      </c>
      <c r="L2744" s="13">
        <v>43538</v>
      </c>
      <c r="M2744" t="s">
        <v>76</v>
      </c>
      <c r="N2744" t="s">
        <v>1749</v>
      </c>
      <c r="O2744">
        <v>453.93</v>
      </c>
      <c r="P2744" t="s">
        <v>565</v>
      </c>
    </row>
    <row r="2745" spans="1:16" ht="15" customHeight="1" x14ac:dyDescent="0.4">
      <c r="A2745" t="s">
        <v>15</v>
      </c>
      <c r="B2745" t="s">
        <v>16</v>
      </c>
      <c r="C2745" s="13">
        <v>43466</v>
      </c>
      <c r="D2745" s="13">
        <v>43830</v>
      </c>
      <c r="E2745" t="s">
        <v>17</v>
      </c>
      <c r="F2745">
        <v>15</v>
      </c>
      <c r="G2745" t="s">
        <v>560</v>
      </c>
      <c r="H2745">
        <v>50</v>
      </c>
      <c r="I2745" t="s">
        <v>561</v>
      </c>
      <c r="J2745">
        <v>269</v>
      </c>
      <c r="K2745" t="s">
        <v>562</v>
      </c>
      <c r="L2745" s="13">
        <v>43573</v>
      </c>
      <c r="M2745" t="s">
        <v>76</v>
      </c>
      <c r="N2745" t="s">
        <v>1750</v>
      </c>
      <c r="O2745">
        <v>452.29</v>
      </c>
      <c r="P2745" t="s">
        <v>565</v>
      </c>
    </row>
    <row r="2746" spans="1:16" ht="15" customHeight="1" x14ac:dyDescent="0.4">
      <c r="A2746" t="s">
        <v>15</v>
      </c>
      <c r="B2746" t="s">
        <v>16</v>
      </c>
      <c r="C2746" s="13">
        <v>43466</v>
      </c>
      <c r="D2746" s="13">
        <v>43830</v>
      </c>
      <c r="E2746" t="s">
        <v>17</v>
      </c>
      <c r="F2746">
        <v>15</v>
      </c>
      <c r="G2746" t="s">
        <v>560</v>
      </c>
      <c r="H2746">
        <v>50</v>
      </c>
      <c r="I2746" t="s">
        <v>561</v>
      </c>
      <c r="J2746">
        <v>269</v>
      </c>
      <c r="K2746" t="s">
        <v>562</v>
      </c>
      <c r="L2746" s="13">
        <v>43599</v>
      </c>
      <c r="M2746" t="s">
        <v>76</v>
      </c>
      <c r="N2746" t="s">
        <v>1751</v>
      </c>
      <c r="O2746">
        <v>350.08</v>
      </c>
      <c r="P2746" t="s">
        <v>565</v>
      </c>
    </row>
    <row r="2747" spans="1:16" ht="15" customHeight="1" x14ac:dyDescent="0.4">
      <c r="A2747" t="s">
        <v>15</v>
      </c>
      <c r="B2747" t="s">
        <v>16</v>
      </c>
      <c r="C2747" s="13">
        <v>43466</v>
      </c>
      <c r="D2747" s="13">
        <v>43830</v>
      </c>
      <c r="E2747" t="s">
        <v>17</v>
      </c>
      <c r="F2747">
        <v>15</v>
      </c>
      <c r="G2747" t="s">
        <v>560</v>
      </c>
      <c r="H2747">
        <v>50</v>
      </c>
      <c r="I2747" t="s">
        <v>561</v>
      </c>
      <c r="J2747">
        <v>269</v>
      </c>
      <c r="K2747" t="s">
        <v>562</v>
      </c>
      <c r="L2747" s="13">
        <v>43629</v>
      </c>
      <c r="M2747" t="s">
        <v>76</v>
      </c>
      <c r="N2747" t="s">
        <v>1752</v>
      </c>
      <c r="O2747">
        <v>352.88</v>
      </c>
      <c r="P2747" t="s">
        <v>565</v>
      </c>
    </row>
    <row r="2748" spans="1:16" ht="15" customHeight="1" x14ac:dyDescent="0.4">
      <c r="A2748" t="s">
        <v>15</v>
      </c>
      <c r="B2748" t="s">
        <v>16</v>
      </c>
      <c r="C2748" s="13">
        <v>43466</v>
      </c>
      <c r="D2748" s="13">
        <v>43830</v>
      </c>
      <c r="E2748" t="s">
        <v>17</v>
      </c>
      <c r="F2748">
        <v>15</v>
      </c>
      <c r="G2748" t="s">
        <v>560</v>
      </c>
      <c r="H2748">
        <v>50</v>
      </c>
      <c r="I2748" t="s">
        <v>561</v>
      </c>
      <c r="J2748">
        <v>269</v>
      </c>
      <c r="K2748" t="s">
        <v>562</v>
      </c>
      <c r="L2748" s="13">
        <v>43659</v>
      </c>
      <c r="M2748" t="s">
        <v>76</v>
      </c>
      <c r="N2748" t="s">
        <v>1753</v>
      </c>
      <c r="O2748">
        <v>288.95999999999998</v>
      </c>
      <c r="P2748" t="s">
        <v>565</v>
      </c>
    </row>
    <row r="2749" spans="1:16" ht="15" customHeight="1" x14ac:dyDescent="0.4">
      <c r="A2749" t="s">
        <v>15</v>
      </c>
      <c r="B2749" t="s">
        <v>16</v>
      </c>
      <c r="C2749" s="13">
        <v>43466</v>
      </c>
      <c r="D2749" s="13">
        <v>43830</v>
      </c>
      <c r="E2749" t="s">
        <v>17</v>
      </c>
      <c r="F2749">
        <v>15</v>
      </c>
      <c r="G2749" t="s">
        <v>560</v>
      </c>
      <c r="H2749">
        <v>50</v>
      </c>
      <c r="I2749" t="s">
        <v>561</v>
      </c>
      <c r="J2749">
        <v>269</v>
      </c>
      <c r="K2749" t="s">
        <v>562</v>
      </c>
      <c r="L2749" s="13">
        <v>43698</v>
      </c>
      <c r="M2749" t="s">
        <v>76</v>
      </c>
      <c r="N2749" t="s">
        <v>1754</v>
      </c>
      <c r="O2749">
        <v>344.71</v>
      </c>
      <c r="P2749" t="s">
        <v>565</v>
      </c>
    </row>
    <row r="2750" spans="1:16" ht="15" customHeight="1" x14ac:dyDescent="0.4">
      <c r="A2750" t="s">
        <v>15</v>
      </c>
      <c r="B2750" t="s">
        <v>16</v>
      </c>
      <c r="C2750" s="13">
        <v>43466</v>
      </c>
      <c r="D2750" s="13">
        <v>43830</v>
      </c>
      <c r="E2750" t="s">
        <v>17</v>
      </c>
      <c r="F2750">
        <v>15</v>
      </c>
      <c r="G2750" t="s">
        <v>560</v>
      </c>
      <c r="H2750">
        <v>50</v>
      </c>
      <c r="I2750" t="s">
        <v>561</v>
      </c>
      <c r="J2750">
        <v>269</v>
      </c>
      <c r="K2750" t="s">
        <v>562</v>
      </c>
      <c r="L2750" s="13">
        <v>43721</v>
      </c>
      <c r="M2750" t="s">
        <v>76</v>
      </c>
      <c r="N2750" t="s">
        <v>1755</v>
      </c>
      <c r="O2750">
        <v>239.73</v>
      </c>
      <c r="P2750" t="s">
        <v>565</v>
      </c>
    </row>
    <row r="2751" spans="1:16" ht="15" customHeight="1" x14ac:dyDescent="0.4">
      <c r="A2751" t="s">
        <v>15</v>
      </c>
      <c r="B2751" t="s">
        <v>16</v>
      </c>
      <c r="C2751" s="13">
        <v>43466</v>
      </c>
      <c r="D2751" s="13">
        <v>43830</v>
      </c>
      <c r="E2751" t="s">
        <v>17</v>
      </c>
      <c r="F2751">
        <v>15</v>
      </c>
      <c r="G2751" t="s">
        <v>560</v>
      </c>
      <c r="H2751">
        <v>50</v>
      </c>
      <c r="I2751" t="s">
        <v>561</v>
      </c>
      <c r="J2751">
        <v>269</v>
      </c>
      <c r="K2751" t="s">
        <v>562</v>
      </c>
      <c r="L2751" s="13">
        <v>43751</v>
      </c>
      <c r="M2751" t="s">
        <v>76</v>
      </c>
      <c r="N2751" t="s">
        <v>1756</v>
      </c>
      <c r="O2751">
        <v>299.88</v>
      </c>
      <c r="P2751" t="s">
        <v>565</v>
      </c>
    </row>
    <row r="2752" spans="1:16" ht="15" customHeight="1" x14ac:dyDescent="0.4">
      <c r="A2752" t="s">
        <v>15</v>
      </c>
      <c r="B2752" t="s">
        <v>16</v>
      </c>
      <c r="C2752" s="13">
        <v>43466</v>
      </c>
      <c r="D2752" s="13">
        <v>43830</v>
      </c>
      <c r="E2752" t="s">
        <v>17</v>
      </c>
      <c r="F2752">
        <v>15</v>
      </c>
      <c r="G2752" t="s">
        <v>560</v>
      </c>
      <c r="H2752">
        <v>50</v>
      </c>
      <c r="I2752" t="s">
        <v>561</v>
      </c>
      <c r="J2752">
        <v>269</v>
      </c>
      <c r="K2752" t="s">
        <v>562</v>
      </c>
      <c r="L2752" s="13">
        <v>43790</v>
      </c>
      <c r="M2752" t="s">
        <v>76</v>
      </c>
      <c r="N2752" t="s">
        <v>1757</v>
      </c>
      <c r="O2752">
        <v>505.8</v>
      </c>
      <c r="P2752" t="s">
        <v>565</v>
      </c>
    </row>
    <row r="2753" spans="1:16" ht="15" customHeight="1" x14ac:dyDescent="0.4">
      <c r="A2753" t="s">
        <v>15</v>
      </c>
      <c r="B2753" t="s">
        <v>16</v>
      </c>
      <c r="C2753" s="13">
        <v>43466</v>
      </c>
      <c r="D2753" s="13">
        <v>43830</v>
      </c>
      <c r="E2753" t="s">
        <v>17</v>
      </c>
      <c r="F2753">
        <v>15</v>
      </c>
      <c r="G2753" t="s">
        <v>560</v>
      </c>
      <c r="H2753">
        <v>50</v>
      </c>
      <c r="I2753" t="s">
        <v>561</v>
      </c>
      <c r="J2753">
        <v>269</v>
      </c>
      <c r="K2753" t="s">
        <v>562</v>
      </c>
      <c r="L2753" s="13">
        <v>43812</v>
      </c>
      <c r="M2753" t="s">
        <v>76</v>
      </c>
      <c r="N2753" t="s">
        <v>1758</v>
      </c>
      <c r="O2753">
        <v>379.81</v>
      </c>
      <c r="P2753" t="s">
        <v>565</v>
      </c>
    </row>
    <row r="2754" spans="1:16" ht="15" customHeight="1" x14ac:dyDescent="0.4">
      <c r="A2754" t="s">
        <v>15</v>
      </c>
      <c r="B2754" t="s">
        <v>16</v>
      </c>
      <c r="C2754" s="13">
        <v>43466</v>
      </c>
      <c r="D2754" s="13">
        <v>43830</v>
      </c>
      <c r="E2754" t="s">
        <v>17</v>
      </c>
      <c r="F2754">
        <v>15</v>
      </c>
      <c r="G2754" t="s">
        <v>560</v>
      </c>
      <c r="H2754">
        <v>50</v>
      </c>
      <c r="I2754" t="s">
        <v>561</v>
      </c>
      <c r="J2754">
        <v>286</v>
      </c>
      <c r="K2754" t="s">
        <v>588</v>
      </c>
      <c r="L2754" s="13">
        <v>43830</v>
      </c>
      <c r="M2754" t="s">
        <v>1760</v>
      </c>
      <c r="N2754" t="s">
        <v>86</v>
      </c>
      <c r="O2754">
        <v>1641.39</v>
      </c>
      <c r="P2754" t="s">
        <v>46</v>
      </c>
    </row>
    <row r="2755" spans="1:16" ht="15" customHeight="1" x14ac:dyDescent="0.4">
      <c r="A2755" t="s">
        <v>15</v>
      </c>
      <c r="B2755" t="s">
        <v>16</v>
      </c>
      <c r="C2755" s="13">
        <v>43466</v>
      </c>
      <c r="D2755" s="13">
        <v>43830</v>
      </c>
      <c r="E2755" t="s">
        <v>17</v>
      </c>
      <c r="F2755">
        <v>15</v>
      </c>
      <c r="G2755" t="s">
        <v>560</v>
      </c>
      <c r="H2755">
        <v>50</v>
      </c>
      <c r="I2755" t="s">
        <v>561</v>
      </c>
      <c r="J2755">
        <v>289</v>
      </c>
      <c r="K2755" t="s">
        <v>615</v>
      </c>
      <c r="L2755" s="13">
        <v>43830</v>
      </c>
      <c r="M2755" t="s">
        <v>616</v>
      </c>
      <c r="N2755" t="s">
        <v>98</v>
      </c>
      <c r="O2755">
        <v>-22.05</v>
      </c>
      <c r="P2755" t="s">
        <v>46</v>
      </c>
    </row>
    <row r="2756" spans="1:16" ht="15" customHeight="1" x14ac:dyDescent="0.4">
      <c r="A2756" t="s">
        <v>15</v>
      </c>
      <c r="B2756" t="s">
        <v>16</v>
      </c>
      <c r="C2756" s="13">
        <v>43466</v>
      </c>
      <c r="D2756" s="13">
        <v>43830</v>
      </c>
      <c r="E2756" t="s">
        <v>17</v>
      </c>
      <c r="F2756">
        <v>16</v>
      </c>
      <c r="G2756" t="s">
        <v>617</v>
      </c>
      <c r="H2756">
        <v>6</v>
      </c>
      <c r="I2756" t="s">
        <v>618</v>
      </c>
      <c r="J2756">
        <v>269</v>
      </c>
      <c r="K2756" t="s">
        <v>75</v>
      </c>
      <c r="L2756" s="13">
        <v>43487</v>
      </c>
      <c r="M2756" t="s">
        <v>76</v>
      </c>
      <c r="N2756" t="s">
        <v>1665</v>
      </c>
      <c r="O2756">
        <v>32.590000000000003</v>
      </c>
      <c r="P2756" t="s">
        <v>52</v>
      </c>
    </row>
    <row r="2757" spans="1:16" ht="15" customHeight="1" x14ac:dyDescent="0.4">
      <c r="A2757" t="s">
        <v>15</v>
      </c>
      <c r="B2757" t="s">
        <v>16</v>
      </c>
      <c r="C2757" s="13">
        <v>43466</v>
      </c>
      <c r="D2757" s="13">
        <v>43830</v>
      </c>
      <c r="E2757" t="s">
        <v>17</v>
      </c>
      <c r="F2757">
        <v>16</v>
      </c>
      <c r="G2757" t="s">
        <v>617</v>
      </c>
      <c r="H2757">
        <v>6</v>
      </c>
      <c r="I2757" t="s">
        <v>618</v>
      </c>
      <c r="J2757">
        <v>269</v>
      </c>
      <c r="K2757" t="s">
        <v>75</v>
      </c>
      <c r="L2757" s="13">
        <v>43547</v>
      </c>
      <c r="M2757" t="s">
        <v>76</v>
      </c>
      <c r="N2757" t="s">
        <v>1666</v>
      </c>
      <c r="O2757">
        <v>24.14</v>
      </c>
      <c r="P2757" t="s">
        <v>52</v>
      </c>
    </row>
    <row r="2758" spans="1:16" ht="15" customHeight="1" x14ac:dyDescent="0.4">
      <c r="A2758" t="s">
        <v>15</v>
      </c>
      <c r="B2758" t="s">
        <v>16</v>
      </c>
      <c r="C2758" s="13">
        <v>43466</v>
      </c>
      <c r="D2758" s="13">
        <v>43830</v>
      </c>
      <c r="E2758" t="s">
        <v>17</v>
      </c>
      <c r="F2758">
        <v>16</v>
      </c>
      <c r="G2758" t="s">
        <v>617</v>
      </c>
      <c r="H2758">
        <v>6</v>
      </c>
      <c r="I2758" t="s">
        <v>618</v>
      </c>
      <c r="J2758">
        <v>269</v>
      </c>
      <c r="K2758" t="s">
        <v>75</v>
      </c>
      <c r="L2758" s="13">
        <v>43612</v>
      </c>
      <c r="M2758" t="s">
        <v>76</v>
      </c>
      <c r="N2758" t="s">
        <v>1667</v>
      </c>
      <c r="O2758">
        <v>21.53</v>
      </c>
      <c r="P2758" t="s">
        <v>52</v>
      </c>
    </row>
    <row r="2759" spans="1:16" ht="15" customHeight="1" x14ac:dyDescent="0.4">
      <c r="A2759" t="s">
        <v>15</v>
      </c>
      <c r="B2759" t="s">
        <v>16</v>
      </c>
      <c r="C2759" s="13">
        <v>43466</v>
      </c>
      <c r="D2759" s="13">
        <v>43830</v>
      </c>
      <c r="E2759" t="s">
        <v>17</v>
      </c>
      <c r="F2759">
        <v>16</v>
      </c>
      <c r="G2759" t="s">
        <v>617</v>
      </c>
      <c r="H2759">
        <v>6</v>
      </c>
      <c r="I2759" t="s">
        <v>618</v>
      </c>
      <c r="J2759">
        <v>269</v>
      </c>
      <c r="K2759" t="s">
        <v>75</v>
      </c>
      <c r="L2759" s="13">
        <v>43668</v>
      </c>
      <c r="M2759" t="s">
        <v>76</v>
      </c>
      <c r="N2759" t="s">
        <v>1668</v>
      </c>
      <c r="O2759">
        <v>22</v>
      </c>
      <c r="P2759" t="s">
        <v>52</v>
      </c>
    </row>
    <row r="2760" spans="1:16" ht="15" customHeight="1" x14ac:dyDescent="0.4">
      <c r="A2760" t="s">
        <v>15</v>
      </c>
      <c r="B2760" t="s">
        <v>16</v>
      </c>
      <c r="C2760" s="13">
        <v>43466</v>
      </c>
      <c r="D2760" s="13">
        <v>43830</v>
      </c>
      <c r="E2760" t="s">
        <v>17</v>
      </c>
      <c r="F2760">
        <v>16</v>
      </c>
      <c r="G2760" t="s">
        <v>617</v>
      </c>
      <c r="H2760">
        <v>6</v>
      </c>
      <c r="I2760" t="s">
        <v>618</v>
      </c>
      <c r="J2760">
        <v>269</v>
      </c>
      <c r="K2760" t="s">
        <v>75</v>
      </c>
      <c r="L2760" s="13">
        <v>43730</v>
      </c>
      <c r="M2760" t="s">
        <v>76</v>
      </c>
      <c r="N2760" t="s">
        <v>1669</v>
      </c>
      <c r="O2760">
        <v>24.77</v>
      </c>
      <c r="P2760" t="s">
        <v>52</v>
      </c>
    </row>
    <row r="2761" spans="1:16" ht="15" customHeight="1" x14ac:dyDescent="0.4">
      <c r="A2761" t="s">
        <v>15</v>
      </c>
      <c r="B2761" t="s">
        <v>16</v>
      </c>
      <c r="C2761" s="13">
        <v>43466</v>
      </c>
      <c r="D2761" s="13">
        <v>43830</v>
      </c>
      <c r="E2761" t="s">
        <v>17</v>
      </c>
      <c r="F2761">
        <v>16</v>
      </c>
      <c r="G2761" t="s">
        <v>617</v>
      </c>
      <c r="H2761">
        <v>6</v>
      </c>
      <c r="I2761" t="s">
        <v>618</v>
      </c>
      <c r="J2761">
        <v>269</v>
      </c>
      <c r="K2761" t="s">
        <v>75</v>
      </c>
      <c r="L2761" s="13">
        <v>43792</v>
      </c>
      <c r="M2761" t="s">
        <v>76</v>
      </c>
      <c r="N2761" t="s">
        <v>1670</v>
      </c>
      <c r="O2761">
        <v>26.1</v>
      </c>
      <c r="P2761" t="s">
        <v>52</v>
      </c>
    </row>
    <row r="2762" spans="1:16" ht="15" customHeight="1" x14ac:dyDescent="0.4">
      <c r="A2762" t="s">
        <v>15</v>
      </c>
      <c r="B2762" t="s">
        <v>16</v>
      </c>
      <c r="C2762" s="13">
        <v>43466</v>
      </c>
      <c r="D2762" s="13">
        <v>43830</v>
      </c>
      <c r="E2762" t="s">
        <v>17</v>
      </c>
      <c r="F2762">
        <v>17</v>
      </c>
      <c r="G2762" t="s">
        <v>619</v>
      </c>
      <c r="H2762">
        <v>6</v>
      </c>
      <c r="I2762" t="s">
        <v>620</v>
      </c>
      <c r="J2762">
        <v>269</v>
      </c>
      <c r="K2762" t="s">
        <v>75</v>
      </c>
      <c r="L2762" s="13">
        <v>43487</v>
      </c>
      <c r="M2762" t="s">
        <v>76</v>
      </c>
      <c r="N2762" t="s">
        <v>1665</v>
      </c>
      <c r="O2762">
        <v>32.590000000000003</v>
      </c>
      <c r="P2762" t="s">
        <v>52</v>
      </c>
    </row>
    <row r="2763" spans="1:16" ht="15" customHeight="1" x14ac:dyDescent="0.4">
      <c r="A2763" t="s">
        <v>15</v>
      </c>
      <c r="B2763" t="s">
        <v>16</v>
      </c>
      <c r="C2763" s="13">
        <v>43466</v>
      </c>
      <c r="D2763" s="13">
        <v>43830</v>
      </c>
      <c r="E2763" t="s">
        <v>17</v>
      </c>
      <c r="F2763">
        <v>17</v>
      </c>
      <c r="G2763" t="s">
        <v>619</v>
      </c>
      <c r="H2763">
        <v>6</v>
      </c>
      <c r="I2763" t="s">
        <v>620</v>
      </c>
      <c r="J2763">
        <v>269</v>
      </c>
      <c r="K2763" t="s">
        <v>75</v>
      </c>
      <c r="L2763" s="13">
        <v>43547</v>
      </c>
      <c r="M2763" t="s">
        <v>76</v>
      </c>
      <c r="N2763" t="s">
        <v>1666</v>
      </c>
      <c r="O2763">
        <v>24.14</v>
      </c>
      <c r="P2763" t="s">
        <v>52</v>
      </c>
    </row>
    <row r="2764" spans="1:16" ht="15" customHeight="1" x14ac:dyDescent="0.4">
      <c r="A2764" t="s">
        <v>15</v>
      </c>
      <c r="B2764" t="s">
        <v>16</v>
      </c>
      <c r="C2764" s="13">
        <v>43466</v>
      </c>
      <c r="D2764" s="13">
        <v>43830</v>
      </c>
      <c r="E2764" t="s">
        <v>17</v>
      </c>
      <c r="F2764">
        <v>17</v>
      </c>
      <c r="G2764" t="s">
        <v>619</v>
      </c>
      <c r="H2764">
        <v>6</v>
      </c>
      <c r="I2764" t="s">
        <v>620</v>
      </c>
      <c r="J2764">
        <v>269</v>
      </c>
      <c r="K2764" t="s">
        <v>75</v>
      </c>
      <c r="L2764" s="13">
        <v>43612</v>
      </c>
      <c r="M2764" t="s">
        <v>76</v>
      </c>
      <c r="N2764" t="s">
        <v>1667</v>
      </c>
      <c r="O2764">
        <v>21.53</v>
      </c>
      <c r="P2764" t="s">
        <v>52</v>
      </c>
    </row>
    <row r="2765" spans="1:16" ht="15" customHeight="1" x14ac:dyDescent="0.4">
      <c r="A2765" t="s">
        <v>15</v>
      </c>
      <c r="B2765" t="s">
        <v>16</v>
      </c>
      <c r="C2765" s="13">
        <v>43466</v>
      </c>
      <c r="D2765" s="13">
        <v>43830</v>
      </c>
      <c r="E2765" t="s">
        <v>17</v>
      </c>
      <c r="F2765">
        <v>17</v>
      </c>
      <c r="G2765" t="s">
        <v>619</v>
      </c>
      <c r="H2765">
        <v>6</v>
      </c>
      <c r="I2765" t="s">
        <v>620</v>
      </c>
      <c r="J2765">
        <v>269</v>
      </c>
      <c r="K2765" t="s">
        <v>75</v>
      </c>
      <c r="L2765" s="13">
        <v>43668</v>
      </c>
      <c r="M2765" t="s">
        <v>76</v>
      </c>
      <c r="N2765" t="s">
        <v>1668</v>
      </c>
      <c r="O2765">
        <v>22</v>
      </c>
      <c r="P2765" t="s">
        <v>52</v>
      </c>
    </row>
    <row r="2766" spans="1:16" ht="15" customHeight="1" x14ac:dyDescent="0.4">
      <c r="A2766" t="s">
        <v>15</v>
      </c>
      <c r="B2766" t="s">
        <v>16</v>
      </c>
      <c r="C2766" s="13">
        <v>43466</v>
      </c>
      <c r="D2766" s="13">
        <v>43830</v>
      </c>
      <c r="E2766" t="s">
        <v>17</v>
      </c>
      <c r="F2766">
        <v>17</v>
      </c>
      <c r="G2766" t="s">
        <v>619</v>
      </c>
      <c r="H2766">
        <v>6</v>
      </c>
      <c r="I2766" t="s">
        <v>620</v>
      </c>
      <c r="J2766">
        <v>269</v>
      </c>
      <c r="K2766" t="s">
        <v>75</v>
      </c>
      <c r="L2766" s="13">
        <v>43730</v>
      </c>
      <c r="M2766" t="s">
        <v>76</v>
      </c>
      <c r="N2766" t="s">
        <v>1669</v>
      </c>
      <c r="O2766">
        <v>24.77</v>
      </c>
      <c r="P2766" t="s">
        <v>52</v>
      </c>
    </row>
    <row r="2767" spans="1:16" ht="15" customHeight="1" x14ac:dyDescent="0.4">
      <c r="A2767" t="s">
        <v>15</v>
      </c>
      <c r="B2767" t="s">
        <v>16</v>
      </c>
      <c r="C2767" s="13">
        <v>43466</v>
      </c>
      <c r="D2767" s="13">
        <v>43830</v>
      </c>
      <c r="E2767" t="s">
        <v>17</v>
      </c>
      <c r="F2767">
        <v>17</v>
      </c>
      <c r="G2767" t="s">
        <v>619</v>
      </c>
      <c r="H2767">
        <v>6</v>
      </c>
      <c r="I2767" t="s">
        <v>620</v>
      </c>
      <c r="J2767">
        <v>269</v>
      </c>
      <c r="K2767" t="s">
        <v>75</v>
      </c>
      <c r="L2767" s="13">
        <v>43792</v>
      </c>
      <c r="M2767" t="s">
        <v>76</v>
      </c>
      <c r="N2767" t="s">
        <v>1670</v>
      </c>
      <c r="O2767">
        <v>26.1</v>
      </c>
      <c r="P2767" t="s">
        <v>52</v>
      </c>
    </row>
    <row r="2768" spans="1:16" ht="15" customHeight="1" x14ac:dyDescent="0.4">
      <c r="A2768" t="s">
        <v>15</v>
      </c>
      <c r="B2768" t="s">
        <v>16</v>
      </c>
      <c r="C2768" s="13">
        <v>43101</v>
      </c>
      <c r="D2768" s="13">
        <v>43465</v>
      </c>
      <c r="E2768" t="s">
        <v>17</v>
      </c>
      <c r="F2768">
        <v>0</v>
      </c>
      <c r="G2768" t="s">
        <v>18</v>
      </c>
      <c r="H2768">
        <v>1</v>
      </c>
      <c r="I2768" t="s">
        <v>19</v>
      </c>
      <c r="J2768">
        <v>117</v>
      </c>
      <c r="K2768" t="s">
        <v>623</v>
      </c>
      <c r="L2768" s="13">
        <v>43115</v>
      </c>
      <c r="M2768" t="s">
        <v>1761</v>
      </c>
      <c r="N2768" t="s">
        <v>46</v>
      </c>
      <c r="O2768">
        <v>9.92</v>
      </c>
      <c r="P2768" t="s">
        <v>46</v>
      </c>
    </row>
    <row r="2769" spans="1:16" ht="15" customHeight="1" x14ac:dyDescent="0.4">
      <c r="A2769" t="s">
        <v>15</v>
      </c>
      <c r="B2769" t="s">
        <v>16</v>
      </c>
      <c r="C2769" s="13">
        <v>43101</v>
      </c>
      <c r="D2769" s="13">
        <v>43465</v>
      </c>
      <c r="E2769" t="s">
        <v>17</v>
      </c>
      <c r="F2769">
        <v>0</v>
      </c>
      <c r="G2769" t="s">
        <v>18</v>
      </c>
      <c r="H2769">
        <v>1</v>
      </c>
      <c r="I2769" t="s">
        <v>19</v>
      </c>
      <c r="J2769">
        <v>171</v>
      </c>
      <c r="K2769" t="s">
        <v>20</v>
      </c>
      <c r="L2769" s="13">
        <v>43199</v>
      </c>
      <c r="M2769" t="s">
        <v>1762</v>
      </c>
      <c r="N2769" t="s">
        <v>1763</v>
      </c>
      <c r="O2769">
        <v>1680</v>
      </c>
      <c r="P2769" t="s">
        <v>23</v>
      </c>
    </row>
    <row r="2770" spans="1:16" ht="15" customHeight="1" x14ac:dyDescent="0.4">
      <c r="A2770" t="s">
        <v>15</v>
      </c>
      <c r="B2770" t="s">
        <v>16</v>
      </c>
      <c r="C2770" s="13">
        <v>43101</v>
      </c>
      <c r="D2770" s="13">
        <v>43465</v>
      </c>
      <c r="E2770" t="s">
        <v>17</v>
      </c>
      <c r="F2770">
        <v>0</v>
      </c>
      <c r="G2770" t="s">
        <v>18</v>
      </c>
      <c r="H2770">
        <v>1</v>
      </c>
      <c r="I2770" t="s">
        <v>19</v>
      </c>
      <c r="J2770">
        <v>171</v>
      </c>
      <c r="K2770" t="s">
        <v>20</v>
      </c>
      <c r="L2770" s="13">
        <v>43395</v>
      </c>
      <c r="M2770" t="s">
        <v>1764</v>
      </c>
      <c r="N2770" t="s">
        <v>1765</v>
      </c>
      <c r="O2770">
        <v>1176</v>
      </c>
      <c r="P2770" t="s">
        <v>23</v>
      </c>
    </row>
    <row r="2771" spans="1:16" ht="15" customHeight="1" x14ac:dyDescent="0.4">
      <c r="A2771" t="s">
        <v>15</v>
      </c>
      <c r="B2771" t="s">
        <v>16</v>
      </c>
      <c r="C2771" s="13">
        <v>43101</v>
      </c>
      <c r="D2771" s="13">
        <v>43465</v>
      </c>
      <c r="E2771" t="s">
        <v>30</v>
      </c>
      <c r="F2771">
        <v>0</v>
      </c>
      <c r="G2771" t="s">
        <v>18</v>
      </c>
      <c r="H2771">
        <v>1</v>
      </c>
      <c r="I2771" t="s">
        <v>19</v>
      </c>
      <c r="J2771">
        <v>233</v>
      </c>
      <c r="K2771" t="s">
        <v>31</v>
      </c>
      <c r="L2771" s="13">
        <v>43110</v>
      </c>
      <c r="M2771" t="s">
        <v>1766</v>
      </c>
      <c r="N2771" t="s">
        <v>46</v>
      </c>
      <c r="O2771">
        <v>75</v>
      </c>
      <c r="P2771" t="s">
        <v>46</v>
      </c>
    </row>
    <row r="2772" spans="1:16" ht="15" customHeight="1" x14ac:dyDescent="0.4">
      <c r="A2772" t="s">
        <v>15</v>
      </c>
      <c r="B2772" t="s">
        <v>16</v>
      </c>
      <c r="C2772" s="13">
        <v>43101</v>
      </c>
      <c r="D2772" s="13">
        <v>43465</v>
      </c>
      <c r="E2772" t="s">
        <v>30</v>
      </c>
      <c r="F2772">
        <v>0</v>
      </c>
      <c r="G2772" t="s">
        <v>18</v>
      </c>
      <c r="H2772">
        <v>1</v>
      </c>
      <c r="I2772" t="s">
        <v>19</v>
      </c>
      <c r="J2772">
        <v>233</v>
      </c>
      <c r="K2772" t="s">
        <v>31</v>
      </c>
      <c r="L2772" s="13">
        <v>43305</v>
      </c>
      <c r="M2772" t="s">
        <v>1767</v>
      </c>
      <c r="N2772" t="s">
        <v>46</v>
      </c>
      <c r="O2772">
        <v>142.41</v>
      </c>
      <c r="P2772" t="s">
        <v>46</v>
      </c>
    </row>
    <row r="2773" spans="1:16" ht="15" customHeight="1" x14ac:dyDescent="0.4">
      <c r="A2773" t="s">
        <v>15</v>
      </c>
      <c r="B2773" t="s">
        <v>16</v>
      </c>
      <c r="C2773" s="13">
        <v>43101</v>
      </c>
      <c r="D2773" s="13">
        <v>43465</v>
      </c>
      <c r="E2773" t="s">
        <v>30</v>
      </c>
      <c r="F2773">
        <v>0</v>
      </c>
      <c r="G2773" t="s">
        <v>18</v>
      </c>
      <c r="H2773">
        <v>1</v>
      </c>
      <c r="I2773" t="s">
        <v>19</v>
      </c>
      <c r="J2773">
        <v>233</v>
      </c>
      <c r="K2773" t="s">
        <v>31</v>
      </c>
      <c r="L2773" s="13">
        <v>43305</v>
      </c>
      <c r="M2773" t="s">
        <v>1768</v>
      </c>
      <c r="N2773" t="s">
        <v>46</v>
      </c>
      <c r="O2773">
        <v>17.989999999999998</v>
      </c>
      <c r="P2773" t="s">
        <v>46</v>
      </c>
    </row>
    <row r="2774" spans="1:16" ht="15" customHeight="1" x14ac:dyDescent="0.4">
      <c r="A2774" t="s">
        <v>15</v>
      </c>
      <c r="B2774" t="s">
        <v>16</v>
      </c>
      <c r="C2774" s="13">
        <v>43101</v>
      </c>
      <c r="D2774" s="13">
        <v>43465</v>
      </c>
      <c r="E2774" t="s">
        <v>30</v>
      </c>
      <c r="F2774">
        <v>0</v>
      </c>
      <c r="G2774" t="s">
        <v>18</v>
      </c>
      <c r="H2774">
        <v>1</v>
      </c>
      <c r="I2774" t="s">
        <v>19</v>
      </c>
      <c r="J2774">
        <v>234</v>
      </c>
      <c r="K2774" t="s">
        <v>1769</v>
      </c>
      <c r="L2774" s="13">
        <v>43273</v>
      </c>
      <c r="M2774" t="s">
        <v>1770</v>
      </c>
      <c r="N2774" t="s">
        <v>1771</v>
      </c>
      <c r="O2774">
        <v>443.72</v>
      </c>
      <c r="P2774" t="s">
        <v>1444</v>
      </c>
    </row>
    <row r="2775" spans="1:16" ht="15" customHeight="1" x14ac:dyDescent="0.4">
      <c r="A2775" t="s">
        <v>15</v>
      </c>
      <c r="B2775" t="s">
        <v>16</v>
      </c>
      <c r="C2775" s="13">
        <v>43101</v>
      </c>
      <c r="D2775" s="13">
        <v>43465</v>
      </c>
      <c r="E2775" t="s">
        <v>30</v>
      </c>
      <c r="F2775">
        <v>0</v>
      </c>
      <c r="G2775" t="s">
        <v>18</v>
      </c>
      <c r="H2775">
        <v>1</v>
      </c>
      <c r="I2775" t="s">
        <v>19</v>
      </c>
      <c r="J2775">
        <v>236</v>
      </c>
      <c r="K2775" t="s">
        <v>950</v>
      </c>
      <c r="L2775" s="13">
        <v>43339</v>
      </c>
      <c r="M2775" t="s">
        <v>1772</v>
      </c>
      <c r="N2775" t="s">
        <v>1773</v>
      </c>
      <c r="O2775">
        <v>862.4</v>
      </c>
      <c r="P2775" t="s">
        <v>1444</v>
      </c>
    </row>
    <row r="2776" spans="1:16" ht="15" customHeight="1" x14ac:dyDescent="0.4">
      <c r="A2776" t="s">
        <v>15</v>
      </c>
      <c r="B2776" t="s">
        <v>16</v>
      </c>
      <c r="C2776" s="13">
        <v>43101</v>
      </c>
      <c r="D2776" s="13">
        <v>43465</v>
      </c>
      <c r="E2776" t="s">
        <v>30</v>
      </c>
      <c r="F2776">
        <v>0</v>
      </c>
      <c r="G2776" t="s">
        <v>18</v>
      </c>
      <c r="H2776">
        <v>1</v>
      </c>
      <c r="I2776" t="s">
        <v>19</v>
      </c>
      <c r="J2776">
        <v>236</v>
      </c>
      <c r="K2776" t="s">
        <v>950</v>
      </c>
      <c r="L2776" s="13">
        <v>43346</v>
      </c>
      <c r="M2776" t="s">
        <v>1774</v>
      </c>
      <c r="N2776" t="s">
        <v>46</v>
      </c>
      <c r="O2776">
        <v>931.92</v>
      </c>
      <c r="P2776" t="s">
        <v>46</v>
      </c>
    </row>
    <row r="2777" spans="1:16" ht="15" customHeight="1" x14ac:dyDescent="0.4">
      <c r="A2777" t="s">
        <v>15</v>
      </c>
      <c r="B2777" t="s">
        <v>16</v>
      </c>
      <c r="C2777" s="13">
        <v>43101</v>
      </c>
      <c r="D2777" s="13">
        <v>43465</v>
      </c>
      <c r="E2777" t="s">
        <v>30</v>
      </c>
      <c r="F2777">
        <v>0</v>
      </c>
      <c r="G2777" t="s">
        <v>18</v>
      </c>
      <c r="H2777">
        <v>1</v>
      </c>
      <c r="I2777" t="s">
        <v>19</v>
      </c>
      <c r="J2777">
        <v>236</v>
      </c>
      <c r="K2777" t="s">
        <v>950</v>
      </c>
      <c r="L2777" s="13">
        <v>43405</v>
      </c>
      <c r="M2777" t="s">
        <v>1775</v>
      </c>
      <c r="N2777" t="s">
        <v>46</v>
      </c>
      <c r="O2777">
        <v>10.9</v>
      </c>
      <c r="P2777" t="s">
        <v>46</v>
      </c>
    </row>
    <row r="2778" spans="1:16" ht="15" customHeight="1" x14ac:dyDescent="0.4">
      <c r="A2778" t="s">
        <v>15</v>
      </c>
      <c r="B2778" t="s">
        <v>16</v>
      </c>
      <c r="C2778" s="13">
        <v>43101</v>
      </c>
      <c r="D2778" s="13">
        <v>43465</v>
      </c>
      <c r="E2778" t="s">
        <v>17</v>
      </c>
      <c r="F2778">
        <v>0</v>
      </c>
      <c r="G2778" t="s">
        <v>18</v>
      </c>
      <c r="H2778">
        <v>1</v>
      </c>
      <c r="I2778" t="s">
        <v>19</v>
      </c>
      <c r="J2778">
        <v>241</v>
      </c>
      <c r="K2778" t="s">
        <v>1048</v>
      </c>
      <c r="L2778" s="13">
        <v>43208</v>
      </c>
      <c r="M2778" t="s">
        <v>1776</v>
      </c>
      <c r="N2778" t="s">
        <v>1777</v>
      </c>
      <c r="O2778">
        <v>150</v>
      </c>
      <c r="P2778" t="s">
        <v>388</v>
      </c>
    </row>
    <row r="2779" spans="1:16" ht="15" customHeight="1" x14ac:dyDescent="0.4">
      <c r="A2779" t="s">
        <v>15</v>
      </c>
      <c r="B2779" t="s">
        <v>16</v>
      </c>
      <c r="C2779" s="13">
        <v>43101</v>
      </c>
      <c r="D2779" s="13">
        <v>43465</v>
      </c>
      <c r="E2779" t="s">
        <v>17</v>
      </c>
      <c r="F2779">
        <v>0</v>
      </c>
      <c r="G2779" t="s">
        <v>18</v>
      </c>
      <c r="H2779">
        <v>1</v>
      </c>
      <c r="I2779" t="s">
        <v>19</v>
      </c>
      <c r="J2779">
        <v>242</v>
      </c>
      <c r="K2779" t="s">
        <v>40</v>
      </c>
      <c r="L2779" s="13">
        <v>43130</v>
      </c>
      <c r="M2779" t="s">
        <v>1778</v>
      </c>
      <c r="N2779" t="s">
        <v>1779</v>
      </c>
      <c r="O2779">
        <v>1518.1</v>
      </c>
      <c r="P2779" t="s">
        <v>43</v>
      </c>
    </row>
    <row r="2780" spans="1:16" ht="15" customHeight="1" x14ac:dyDescent="0.4">
      <c r="A2780" t="s">
        <v>15</v>
      </c>
      <c r="B2780" t="s">
        <v>16</v>
      </c>
      <c r="C2780" s="13">
        <v>43101</v>
      </c>
      <c r="D2780" s="13">
        <v>43465</v>
      </c>
      <c r="E2780" t="s">
        <v>17</v>
      </c>
      <c r="F2780">
        <v>0</v>
      </c>
      <c r="G2780" t="s">
        <v>18</v>
      </c>
      <c r="H2780">
        <v>1</v>
      </c>
      <c r="I2780" t="s">
        <v>19</v>
      </c>
      <c r="J2780">
        <v>242</v>
      </c>
      <c r="K2780" t="s">
        <v>40</v>
      </c>
      <c r="L2780" s="13">
        <v>43465</v>
      </c>
      <c r="M2780" t="s">
        <v>48</v>
      </c>
      <c r="N2780" t="s">
        <v>45</v>
      </c>
      <c r="O2780">
        <v>-109.69</v>
      </c>
      <c r="P2780" t="s">
        <v>46</v>
      </c>
    </row>
    <row r="2781" spans="1:16" ht="15" customHeight="1" x14ac:dyDescent="0.4">
      <c r="A2781" t="s">
        <v>15</v>
      </c>
      <c r="B2781" t="s">
        <v>16</v>
      </c>
      <c r="C2781" s="13">
        <v>43101</v>
      </c>
      <c r="D2781" s="13">
        <v>43465</v>
      </c>
      <c r="E2781" t="s">
        <v>17</v>
      </c>
      <c r="F2781">
        <v>0</v>
      </c>
      <c r="G2781" t="s">
        <v>18</v>
      </c>
      <c r="H2781">
        <v>1</v>
      </c>
      <c r="I2781" t="s">
        <v>19</v>
      </c>
      <c r="J2781">
        <v>242</v>
      </c>
      <c r="K2781" t="s">
        <v>40</v>
      </c>
      <c r="L2781" s="13">
        <v>43465</v>
      </c>
      <c r="M2781" t="s">
        <v>47</v>
      </c>
      <c r="N2781" t="s">
        <v>45</v>
      </c>
      <c r="O2781">
        <v>-438.77</v>
      </c>
      <c r="P2781" t="s">
        <v>46</v>
      </c>
    </row>
    <row r="2782" spans="1:16" ht="15" customHeight="1" x14ac:dyDescent="0.4">
      <c r="A2782" t="s">
        <v>15</v>
      </c>
      <c r="B2782" t="s">
        <v>16</v>
      </c>
      <c r="C2782" s="13">
        <v>43101</v>
      </c>
      <c r="D2782" s="13">
        <v>43465</v>
      </c>
      <c r="E2782" t="s">
        <v>17</v>
      </c>
      <c r="F2782">
        <v>0</v>
      </c>
      <c r="G2782" t="s">
        <v>18</v>
      </c>
      <c r="H2782">
        <v>1</v>
      </c>
      <c r="I2782" t="s">
        <v>19</v>
      </c>
      <c r="J2782">
        <v>242</v>
      </c>
      <c r="K2782" t="s">
        <v>40</v>
      </c>
      <c r="L2782" s="13">
        <v>43465</v>
      </c>
      <c r="M2782" t="s">
        <v>44</v>
      </c>
      <c r="N2782" t="s">
        <v>45</v>
      </c>
      <c r="O2782">
        <v>-329.08</v>
      </c>
      <c r="P2782" t="s">
        <v>46</v>
      </c>
    </row>
    <row r="2783" spans="1:16" ht="15" customHeight="1" x14ac:dyDescent="0.4">
      <c r="A2783" t="s">
        <v>15</v>
      </c>
      <c r="B2783" t="s">
        <v>16</v>
      </c>
      <c r="C2783" s="13">
        <v>43101</v>
      </c>
      <c r="D2783" s="13">
        <v>43465</v>
      </c>
      <c r="E2783" t="s">
        <v>17</v>
      </c>
      <c r="F2783">
        <v>0</v>
      </c>
      <c r="G2783" t="s">
        <v>18</v>
      </c>
      <c r="H2783">
        <v>1</v>
      </c>
      <c r="I2783" t="s">
        <v>19</v>
      </c>
      <c r="J2783">
        <v>268</v>
      </c>
      <c r="K2783" t="s">
        <v>49</v>
      </c>
      <c r="L2783" s="13">
        <v>43120</v>
      </c>
      <c r="M2783" t="s">
        <v>351</v>
      </c>
      <c r="N2783" t="s">
        <v>1780</v>
      </c>
      <c r="O2783">
        <v>25.58</v>
      </c>
      <c r="P2783" t="s">
        <v>52</v>
      </c>
    </row>
    <row r="2784" spans="1:16" ht="15" customHeight="1" x14ac:dyDescent="0.4">
      <c r="A2784" t="s">
        <v>15</v>
      </c>
      <c r="B2784" t="s">
        <v>16</v>
      </c>
      <c r="C2784" s="13">
        <v>43101</v>
      </c>
      <c r="D2784" s="13">
        <v>43465</v>
      </c>
      <c r="E2784" t="s">
        <v>17</v>
      </c>
      <c r="F2784">
        <v>0</v>
      </c>
      <c r="G2784" t="s">
        <v>18</v>
      </c>
      <c r="H2784">
        <v>1</v>
      </c>
      <c r="I2784" t="s">
        <v>19</v>
      </c>
      <c r="J2784">
        <v>268</v>
      </c>
      <c r="K2784" t="s">
        <v>49</v>
      </c>
      <c r="L2784" s="13">
        <v>43179</v>
      </c>
      <c r="M2784" t="s">
        <v>351</v>
      </c>
      <c r="N2784" t="s">
        <v>1781</v>
      </c>
      <c r="O2784">
        <v>20.28</v>
      </c>
      <c r="P2784" t="s">
        <v>52</v>
      </c>
    </row>
    <row r="2785" spans="1:16" ht="15" customHeight="1" x14ac:dyDescent="0.4">
      <c r="A2785" t="s">
        <v>15</v>
      </c>
      <c r="B2785" t="s">
        <v>16</v>
      </c>
      <c r="C2785" s="13">
        <v>43101</v>
      </c>
      <c r="D2785" s="13">
        <v>43465</v>
      </c>
      <c r="E2785" t="s">
        <v>17</v>
      </c>
      <c r="F2785">
        <v>0</v>
      </c>
      <c r="G2785" t="s">
        <v>18</v>
      </c>
      <c r="H2785">
        <v>1</v>
      </c>
      <c r="I2785" t="s">
        <v>19</v>
      </c>
      <c r="J2785">
        <v>268</v>
      </c>
      <c r="K2785" t="s">
        <v>49</v>
      </c>
      <c r="L2785" s="13">
        <v>43242</v>
      </c>
      <c r="M2785" t="s">
        <v>351</v>
      </c>
      <c r="N2785" t="s">
        <v>1782</v>
      </c>
      <c r="O2785">
        <v>23.88</v>
      </c>
      <c r="P2785" t="s">
        <v>52</v>
      </c>
    </row>
    <row r="2786" spans="1:16" ht="15" customHeight="1" x14ac:dyDescent="0.4">
      <c r="A2786" t="s">
        <v>15</v>
      </c>
      <c r="B2786" t="s">
        <v>16</v>
      </c>
      <c r="C2786" s="13">
        <v>43101</v>
      </c>
      <c r="D2786" s="13">
        <v>43465</v>
      </c>
      <c r="E2786" t="s">
        <v>17</v>
      </c>
      <c r="F2786">
        <v>0</v>
      </c>
      <c r="G2786" t="s">
        <v>18</v>
      </c>
      <c r="H2786">
        <v>1</v>
      </c>
      <c r="I2786" t="s">
        <v>19</v>
      </c>
      <c r="J2786">
        <v>268</v>
      </c>
      <c r="K2786" t="s">
        <v>49</v>
      </c>
      <c r="L2786" s="13">
        <v>43301</v>
      </c>
      <c r="M2786" t="s">
        <v>351</v>
      </c>
      <c r="N2786" t="s">
        <v>1783</v>
      </c>
      <c r="O2786">
        <v>65.209999999999994</v>
      </c>
      <c r="P2786" t="s">
        <v>52</v>
      </c>
    </row>
    <row r="2787" spans="1:16" ht="15" customHeight="1" x14ac:dyDescent="0.4">
      <c r="A2787" t="s">
        <v>15</v>
      </c>
      <c r="B2787" t="s">
        <v>16</v>
      </c>
      <c r="C2787" s="13">
        <v>43101</v>
      </c>
      <c r="D2787" s="13">
        <v>43465</v>
      </c>
      <c r="E2787" t="s">
        <v>17</v>
      </c>
      <c r="F2787">
        <v>0</v>
      </c>
      <c r="G2787" t="s">
        <v>18</v>
      </c>
      <c r="H2787">
        <v>1</v>
      </c>
      <c r="I2787" t="s">
        <v>19</v>
      </c>
      <c r="J2787">
        <v>268</v>
      </c>
      <c r="K2787" t="s">
        <v>49</v>
      </c>
      <c r="L2787" s="13">
        <v>43363</v>
      </c>
      <c r="M2787" t="s">
        <v>351</v>
      </c>
      <c r="N2787" t="s">
        <v>1784</v>
      </c>
      <c r="O2787">
        <v>66.86</v>
      </c>
      <c r="P2787" t="s">
        <v>52</v>
      </c>
    </row>
    <row r="2788" spans="1:16" ht="15" customHeight="1" x14ac:dyDescent="0.4">
      <c r="A2788" t="s">
        <v>15</v>
      </c>
      <c r="B2788" t="s">
        <v>16</v>
      </c>
      <c r="C2788" s="13">
        <v>43101</v>
      </c>
      <c r="D2788" s="13">
        <v>43465</v>
      </c>
      <c r="E2788" t="s">
        <v>17</v>
      </c>
      <c r="F2788">
        <v>0</v>
      </c>
      <c r="G2788" t="s">
        <v>18</v>
      </c>
      <c r="H2788">
        <v>1</v>
      </c>
      <c r="I2788" t="s">
        <v>19</v>
      </c>
      <c r="J2788">
        <v>268</v>
      </c>
      <c r="K2788" t="s">
        <v>49</v>
      </c>
      <c r="L2788" s="13">
        <v>43425</v>
      </c>
      <c r="M2788" t="s">
        <v>351</v>
      </c>
      <c r="N2788" t="s">
        <v>1785</v>
      </c>
      <c r="O2788">
        <v>64.11</v>
      </c>
      <c r="P2788" t="s">
        <v>52</v>
      </c>
    </row>
    <row r="2789" spans="1:16" ht="15" customHeight="1" x14ac:dyDescent="0.4">
      <c r="A2789" t="s">
        <v>15</v>
      </c>
      <c r="B2789" t="s">
        <v>16</v>
      </c>
      <c r="C2789" s="13">
        <v>43101</v>
      </c>
      <c r="D2789" s="13">
        <v>43465</v>
      </c>
      <c r="E2789" t="s">
        <v>17</v>
      </c>
      <c r="F2789">
        <v>0</v>
      </c>
      <c r="G2789" t="s">
        <v>18</v>
      </c>
      <c r="H2789">
        <v>1</v>
      </c>
      <c r="I2789" t="s">
        <v>19</v>
      </c>
      <c r="J2789">
        <v>269</v>
      </c>
      <c r="K2789" t="s">
        <v>75</v>
      </c>
      <c r="L2789" s="13">
        <v>43120</v>
      </c>
      <c r="M2789" t="s">
        <v>351</v>
      </c>
      <c r="N2789" t="s">
        <v>1780</v>
      </c>
      <c r="O2789">
        <v>191.84</v>
      </c>
      <c r="P2789" t="s">
        <v>52</v>
      </c>
    </row>
    <row r="2790" spans="1:16" ht="15" customHeight="1" x14ac:dyDescent="0.4">
      <c r="A2790" t="s">
        <v>15</v>
      </c>
      <c r="B2790" t="s">
        <v>16</v>
      </c>
      <c r="C2790" s="13">
        <v>43101</v>
      </c>
      <c r="D2790" s="13">
        <v>43465</v>
      </c>
      <c r="E2790" t="s">
        <v>17</v>
      </c>
      <c r="F2790">
        <v>0</v>
      </c>
      <c r="G2790" t="s">
        <v>18</v>
      </c>
      <c r="H2790">
        <v>1</v>
      </c>
      <c r="I2790" t="s">
        <v>19</v>
      </c>
      <c r="J2790">
        <v>269</v>
      </c>
      <c r="K2790" t="s">
        <v>75</v>
      </c>
      <c r="L2790" s="13">
        <v>43179</v>
      </c>
      <c r="M2790" t="s">
        <v>351</v>
      </c>
      <c r="N2790" t="s">
        <v>1781</v>
      </c>
      <c r="O2790">
        <v>152.08000000000001</v>
      </c>
      <c r="P2790" t="s">
        <v>52</v>
      </c>
    </row>
    <row r="2791" spans="1:16" ht="15" customHeight="1" x14ac:dyDescent="0.4">
      <c r="A2791" t="s">
        <v>15</v>
      </c>
      <c r="B2791" t="s">
        <v>16</v>
      </c>
      <c r="C2791" s="13">
        <v>43101</v>
      </c>
      <c r="D2791" s="13">
        <v>43465</v>
      </c>
      <c r="E2791" t="s">
        <v>17</v>
      </c>
      <c r="F2791">
        <v>0</v>
      </c>
      <c r="G2791" t="s">
        <v>18</v>
      </c>
      <c r="H2791">
        <v>1</v>
      </c>
      <c r="I2791" t="s">
        <v>19</v>
      </c>
      <c r="J2791">
        <v>269</v>
      </c>
      <c r="K2791" t="s">
        <v>75</v>
      </c>
      <c r="L2791" s="13">
        <v>43242</v>
      </c>
      <c r="M2791" t="s">
        <v>351</v>
      </c>
      <c r="N2791" t="s">
        <v>1782</v>
      </c>
      <c r="O2791">
        <v>179.09</v>
      </c>
      <c r="P2791" t="s">
        <v>52</v>
      </c>
    </row>
    <row r="2792" spans="1:16" ht="15" customHeight="1" x14ac:dyDescent="0.4">
      <c r="A2792" t="s">
        <v>15</v>
      </c>
      <c r="B2792" t="s">
        <v>16</v>
      </c>
      <c r="C2792" s="13">
        <v>43101</v>
      </c>
      <c r="D2792" s="13">
        <v>43465</v>
      </c>
      <c r="E2792" t="s">
        <v>17</v>
      </c>
      <c r="F2792">
        <v>0</v>
      </c>
      <c r="G2792" t="s">
        <v>18</v>
      </c>
      <c r="H2792">
        <v>1</v>
      </c>
      <c r="I2792" t="s">
        <v>19</v>
      </c>
      <c r="J2792">
        <v>269</v>
      </c>
      <c r="K2792" t="s">
        <v>75</v>
      </c>
      <c r="L2792" s="13">
        <v>43301</v>
      </c>
      <c r="M2792" t="s">
        <v>351</v>
      </c>
      <c r="N2792" t="s">
        <v>1783</v>
      </c>
      <c r="O2792">
        <v>489.09</v>
      </c>
      <c r="P2792" t="s">
        <v>52</v>
      </c>
    </row>
    <row r="2793" spans="1:16" ht="15" customHeight="1" x14ac:dyDescent="0.4">
      <c r="A2793" t="s">
        <v>15</v>
      </c>
      <c r="B2793" t="s">
        <v>16</v>
      </c>
      <c r="C2793" s="13">
        <v>43101</v>
      </c>
      <c r="D2793" s="13">
        <v>43465</v>
      </c>
      <c r="E2793" t="s">
        <v>17</v>
      </c>
      <c r="F2793">
        <v>0</v>
      </c>
      <c r="G2793" t="s">
        <v>18</v>
      </c>
      <c r="H2793">
        <v>1</v>
      </c>
      <c r="I2793" t="s">
        <v>19</v>
      </c>
      <c r="J2793">
        <v>269</v>
      </c>
      <c r="K2793" t="s">
        <v>75</v>
      </c>
      <c r="L2793" s="13">
        <v>43363</v>
      </c>
      <c r="M2793" t="s">
        <v>351</v>
      </c>
      <c r="N2793" t="s">
        <v>1784</v>
      </c>
      <c r="O2793">
        <v>501.44</v>
      </c>
      <c r="P2793" t="s">
        <v>52</v>
      </c>
    </row>
    <row r="2794" spans="1:16" ht="15" customHeight="1" x14ac:dyDescent="0.4">
      <c r="A2794" t="s">
        <v>15</v>
      </c>
      <c r="B2794" t="s">
        <v>16</v>
      </c>
      <c r="C2794" s="13">
        <v>43101</v>
      </c>
      <c r="D2794" s="13">
        <v>43465</v>
      </c>
      <c r="E2794" t="s">
        <v>17</v>
      </c>
      <c r="F2794">
        <v>0</v>
      </c>
      <c r="G2794" t="s">
        <v>18</v>
      </c>
      <c r="H2794">
        <v>1</v>
      </c>
      <c r="I2794" t="s">
        <v>19</v>
      </c>
      <c r="J2794">
        <v>269</v>
      </c>
      <c r="K2794" t="s">
        <v>75</v>
      </c>
      <c r="L2794" s="13">
        <v>43425</v>
      </c>
      <c r="M2794" t="s">
        <v>351</v>
      </c>
      <c r="N2794" t="s">
        <v>1785</v>
      </c>
      <c r="O2794">
        <v>480.8</v>
      </c>
      <c r="P2794" t="s">
        <v>52</v>
      </c>
    </row>
    <row r="2795" spans="1:16" ht="15" customHeight="1" x14ac:dyDescent="0.4">
      <c r="A2795" t="s">
        <v>15</v>
      </c>
      <c r="B2795" t="s">
        <v>16</v>
      </c>
      <c r="C2795" s="13">
        <v>43101</v>
      </c>
      <c r="D2795" s="13">
        <v>43465</v>
      </c>
      <c r="E2795" t="s">
        <v>17</v>
      </c>
      <c r="F2795">
        <v>0</v>
      </c>
      <c r="G2795" t="s">
        <v>18</v>
      </c>
      <c r="H2795">
        <v>1</v>
      </c>
      <c r="I2795" t="s">
        <v>19</v>
      </c>
      <c r="J2795">
        <v>269</v>
      </c>
      <c r="K2795" t="s">
        <v>75</v>
      </c>
      <c r="L2795" s="13">
        <v>43465</v>
      </c>
      <c r="M2795" t="s">
        <v>1786</v>
      </c>
      <c r="N2795" t="s">
        <v>1787</v>
      </c>
      <c r="O2795">
        <v>-1994.34</v>
      </c>
      <c r="P2795" t="s">
        <v>1444</v>
      </c>
    </row>
    <row r="2796" spans="1:16" ht="15" customHeight="1" x14ac:dyDescent="0.4">
      <c r="A2796" t="s">
        <v>15</v>
      </c>
      <c r="B2796" t="s">
        <v>16</v>
      </c>
      <c r="C2796" s="13">
        <v>43101</v>
      </c>
      <c r="D2796" s="13">
        <v>43465</v>
      </c>
      <c r="E2796" t="s">
        <v>17</v>
      </c>
      <c r="F2796">
        <v>0</v>
      </c>
      <c r="G2796" t="s">
        <v>18</v>
      </c>
      <c r="H2796">
        <v>1</v>
      </c>
      <c r="I2796" t="s">
        <v>19</v>
      </c>
      <c r="J2796">
        <v>281</v>
      </c>
      <c r="K2796" t="s">
        <v>78</v>
      </c>
      <c r="L2796" s="13">
        <v>43154</v>
      </c>
      <c r="M2796" t="s">
        <v>1788</v>
      </c>
      <c r="N2796" t="s">
        <v>1789</v>
      </c>
      <c r="O2796">
        <v>6123.13</v>
      </c>
      <c r="P2796" t="s">
        <v>81</v>
      </c>
    </row>
    <row r="2797" spans="1:16" ht="15" customHeight="1" x14ac:dyDescent="0.4">
      <c r="A2797" t="s">
        <v>15</v>
      </c>
      <c r="B2797" t="s">
        <v>16</v>
      </c>
      <c r="C2797" s="13">
        <v>43101</v>
      </c>
      <c r="D2797" s="13">
        <v>43465</v>
      </c>
      <c r="E2797" t="s">
        <v>17</v>
      </c>
      <c r="F2797">
        <v>0</v>
      </c>
      <c r="G2797" t="s">
        <v>18</v>
      </c>
      <c r="H2797">
        <v>1</v>
      </c>
      <c r="I2797" t="s">
        <v>19</v>
      </c>
      <c r="J2797">
        <v>281</v>
      </c>
      <c r="K2797" t="s">
        <v>78</v>
      </c>
      <c r="L2797" s="13">
        <v>43342</v>
      </c>
      <c r="M2797" t="s">
        <v>1790</v>
      </c>
      <c r="N2797" t="s">
        <v>1791</v>
      </c>
      <c r="O2797">
        <v>5826.5</v>
      </c>
      <c r="P2797" t="s">
        <v>81</v>
      </c>
    </row>
    <row r="2798" spans="1:16" ht="15" customHeight="1" x14ac:dyDescent="0.4">
      <c r="A2798" t="s">
        <v>15</v>
      </c>
      <c r="B2798" t="s">
        <v>16</v>
      </c>
      <c r="C2798" s="13">
        <v>43101</v>
      </c>
      <c r="D2798" s="13">
        <v>43465</v>
      </c>
      <c r="E2798" t="s">
        <v>17</v>
      </c>
      <c r="F2798">
        <v>0</v>
      </c>
      <c r="G2798" t="s">
        <v>18</v>
      </c>
      <c r="H2798">
        <v>1</v>
      </c>
      <c r="I2798" t="s">
        <v>19</v>
      </c>
      <c r="J2798">
        <v>281</v>
      </c>
      <c r="K2798" t="s">
        <v>78</v>
      </c>
      <c r="L2798" s="13">
        <v>43465</v>
      </c>
      <c r="M2798" t="s">
        <v>87</v>
      </c>
      <c r="N2798" t="s">
        <v>86</v>
      </c>
      <c r="O2798">
        <v>-1479.91</v>
      </c>
      <c r="P2798" t="s">
        <v>46</v>
      </c>
    </row>
    <row r="2799" spans="1:16" ht="15" customHeight="1" x14ac:dyDescent="0.4">
      <c r="A2799" t="s">
        <v>15</v>
      </c>
      <c r="B2799" t="s">
        <v>16</v>
      </c>
      <c r="C2799" s="13">
        <v>43101</v>
      </c>
      <c r="D2799" s="13">
        <v>43465</v>
      </c>
      <c r="E2799" t="s">
        <v>17</v>
      </c>
      <c r="F2799">
        <v>0</v>
      </c>
      <c r="G2799" t="s">
        <v>18</v>
      </c>
      <c r="H2799">
        <v>1</v>
      </c>
      <c r="I2799" t="s">
        <v>19</v>
      </c>
      <c r="J2799">
        <v>281</v>
      </c>
      <c r="K2799" t="s">
        <v>78</v>
      </c>
      <c r="L2799" s="13">
        <v>43465</v>
      </c>
      <c r="M2799" t="s">
        <v>90</v>
      </c>
      <c r="N2799" t="s">
        <v>86</v>
      </c>
      <c r="O2799">
        <v>-1164.1500000000001</v>
      </c>
      <c r="P2799" t="s">
        <v>46</v>
      </c>
    </row>
    <row r="2800" spans="1:16" ht="15" customHeight="1" x14ac:dyDescent="0.4">
      <c r="A2800" t="s">
        <v>15</v>
      </c>
      <c r="B2800" t="s">
        <v>16</v>
      </c>
      <c r="C2800" s="13">
        <v>43101</v>
      </c>
      <c r="D2800" s="13">
        <v>43465</v>
      </c>
      <c r="E2800" t="s">
        <v>17</v>
      </c>
      <c r="F2800">
        <v>0</v>
      </c>
      <c r="G2800" t="s">
        <v>18</v>
      </c>
      <c r="H2800">
        <v>1</v>
      </c>
      <c r="I2800" t="s">
        <v>19</v>
      </c>
      <c r="J2800">
        <v>281</v>
      </c>
      <c r="K2800" t="s">
        <v>78</v>
      </c>
      <c r="L2800" s="13">
        <v>43465</v>
      </c>
      <c r="M2800" t="s">
        <v>1792</v>
      </c>
      <c r="N2800" t="s">
        <v>1793</v>
      </c>
      <c r="O2800">
        <v>-692.4</v>
      </c>
      <c r="P2800" t="s">
        <v>1444</v>
      </c>
    </row>
    <row r="2801" spans="1:16" ht="15" customHeight="1" x14ac:dyDescent="0.4">
      <c r="A2801" t="s">
        <v>15</v>
      </c>
      <c r="B2801" t="s">
        <v>16</v>
      </c>
      <c r="C2801" s="13">
        <v>43101</v>
      </c>
      <c r="D2801" s="13">
        <v>43465</v>
      </c>
      <c r="E2801" t="s">
        <v>17</v>
      </c>
      <c r="F2801">
        <v>0</v>
      </c>
      <c r="G2801" t="s">
        <v>18</v>
      </c>
      <c r="H2801">
        <v>1</v>
      </c>
      <c r="I2801" t="s">
        <v>19</v>
      </c>
      <c r="J2801">
        <v>281</v>
      </c>
      <c r="K2801" t="s">
        <v>78</v>
      </c>
      <c r="L2801" s="13">
        <v>43465</v>
      </c>
      <c r="M2801" t="s">
        <v>85</v>
      </c>
      <c r="N2801" t="s">
        <v>86</v>
      </c>
      <c r="O2801">
        <v>-7350.11</v>
      </c>
      <c r="P2801" t="s">
        <v>46</v>
      </c>
    </row>
    <row r="2802" spans="1:16" ht="15" customHeight="1" x14ac:dyDescent="0.4">
      <c r="A2802" t="s">
        <v>15</v>
      </c>
      <c r="B2802" t="s">
        <v>16</v>
      </c>
      <c r="C2802" s="13">
        <v>43101</v>
      </c>
      <c r="D2802" s="13">
        <v>43465</v>
      </c>
      <c r="E2802" t="s">
        <v>17</v>
      </c>
      <c r="F2802">
        <v>0</v>
      </c>
      <c r="G2802" t="s">
        <v>18</v>
      </c>
      <c r="H2802">
        <v>1</v>
      </c>
      <c r="I2802" t="s">
        <v>19</v>
      </c>
      <c r="J2802">
        <v>281</v>
      </c>
      <c r="K2802" t="s">
        <v>78</v>
      </c>
      <c r="L2802" s="13">
        <v>43465</v>
      </c>
      <c r="M2802" t="s">
        <v>89</v>
      </c>
      <c r="N2802" t="s">
        <v>86</v>
      </c>
      <c r="O2802">
        <v>-1247.8399999999999</v>
      </c>
      <c r="P2802" t="s">
        <v>46</v>
      </c>
    </row>
    <row r="2803" spans="1:16" ht="15" customHeight="1" x14ac:dyDescent="0.4">
      <c r="A2803" t="s">
        <v>15</v>
      </c>
      <c r="B2803" t="s">
        <v>16</v>
      </c>
      <c r="C2803" s="13">
        <v>43101</v>
      </c>
      <c r="D2803" s="13">
        <v>43465</v>
      </c>
      <c r="E2803" t="s">
        <v>17</v>
      </c>
      <c r="F2803">
        <v>0</v>
      </c>
      <c r="G2803" t="s">
        <v>18</v>
      </c>
      <c r="H2803">
        <v>1</v>
      </c>
      <c r="I2803" t="s">
        <v>19</v>
      </c>
      <c r="J2803">
        <v>281</v>
      </c>
      <c r="K2803" t="s">
        <v>78</v>
      </c>
      <c r="L2803" s="13">
        <v>43465</v>
      </c>
      <c r="M2803" t="s">
        <v>88</v>
      </c>
      <c r="N2803" t="s">
        <v>86</v>
      </c>
      <c r="O2803">
        <v>-15.22</v>
      </c>
      <c r="P2803" t="s">
        <v>46</v>
      </c>
    </row>
    <row r="2804" spans="1:16" ht="15" customHeight="1" x14ac:dyDescent="0.4">
      <c r="A2804" t="s">
        <v>15</v>
      </c>
      <c r="B2804" t="s">
        <v>16</v>
      </c>
      <c r="C2804" s="13">
        <v>43101</v>
      </c>
      <c r="D2804" s="13">
        <v>43465</v>
      </c>
      <c r="E2804" t="s">
        <v>17</v>
      </c>
      <c r="F2804">
        <v>0</v>
      </c>
      <c r="G2804" t="s">
        <v>18</v>
      </c>
      <c r="H2804">
        <v>1</v>
      </c>
      <c r="I2804" t="s">
        <v>19</v>
      </c>
      <c r="J2804">
        <v>285</v>
      </c>
      <c r="K2804" t="s">
        <v>91</v>
      </c>
      <c r="L2804" s="13">
        <v>43154</v>
      </c>
      <c r="M2804" t="s">
        <v>1064</v>
      </c>
      <c r="N2804" t="s">
        <v>1794</v>
      </c>
      <c r="O2804">
        <v>2481.5300000000002</v>
      </c>
      <c r="P2804" t="s">
        <v>1444</v>
      </c>
    </row>
    <row r="2805" spans="1:16" ht="15" customHeight="1" x14ac:dyDescent="0.4">
      <c r="A2805" t="s">
        <v>15</v>
      </c>
      <c r="B2805" t="s">
        <v>16</v>
      </c>
      <c r="C2805" s="13">
        <v>43101</v>
      </c>
      <c r="D2805" s="13">
        <v>43465</v>
      </c>
      <c r="E2805" t="s">
        <v>17</v>
      </c>
      <c r="F2805">
        <v>0</v>
      </c>
      <c r="G2805" t="s">
        <v>18</v>
      </c>
      <c r="H2805">
        <v>1</v>
      </c>
      <c r="I2805" t="s">
        <v>19</v>
      </c>
      <c r="J2805">
        <v>285</v>
      </c>
      <c r="K2805" t="s">
        <v>91</v>
      </c>
      <c r="L2805" s="13">
        <v>43342</v>
      </c>
      <c r="M2805" t="s">
        <v>1064</v>
      </c>
      <c r="N2805" t="s">
        <v>1795</v>
      </c>
      <c r="O2805">
        <v>1083.81</v>
      </c>
      <c r="P2805" t="s">
        <v>1444</v>
      </c>
    </row>
    <row r="2806" spans="1:16" ht="15" customHeight="1" x14ac:dyDescent="0.4">
      <c r="A2806" t="s">
        <v>15</v>
      </c>
      <c r="B2806" t="s">
        <v>16</v>
      </c>
      <c r="C2806" s="13">
        <v>43101</v>
      </c>
      <c r="D2806" s="13">
        <v>43465</v>
      </c>
      <c r="E2806" t="s">
        <v>17</v>
      </c>
      <c r="F2806">
        <v>0</v>
      </c>
      <c r="G2806" t="s">
        <v>18</v>
      </c>
      <c r="H2806">
        <v>1</v>
      </c>
      <c r="I2806" t="s">
        <v>19</v>
      </c>
      <c r="J2806">
        <v>289</v>
      </c>
      <c r="K2806" t="s">
        <v>96</v>
      </c>
      <c r="L2806" s="13">
        <v>43465</v>
      </c>
      <c r="M2806" t="s">
        <v>1797</v>
      </c>
      <c r="N2806" t="s">
        <v>86</v>
      </c>
      <c r="O2806">
        <v>15.22</v>
      </c>
      <c r="P2806" t="s">
        <v>46</v>
      </c>
    </row>
    <row r="2807" spans="1:16" ht="15" customHeight="1" x14ac:dyDescent="0.4">
      <c r="A2807" t="s">
        <v>15</v>
      </c>
      <c r="B2807" t="s">
        <v>16</v>
      </c>
      <c r="C2807" s="13">
        <v>43101</v>
      </c>
      <c r="D2807" s="13">
        <v>43465</v>
      </c>
      <c r="E2807" t="s">
        <v>17</v>
      </c>
      <c r="F2807">
        <v>0</v>
      </c>
      <c r="G2807" t="s">
        <v>18</v>
      </c>
      <c r="H2807">
        <v>1</v>
      </c>
      <c r="I2807" t="s">
        <v>19</v>
      </c>
      <c r="J2807">
        <v>289</v>
      </c>
      <c r="K2807" t="s">
        <v>96</v>
      </c>
      <c r="L2807" s="13">
        <v>43465</v>
      </c>
      <c r="M2807" t="s">
        <v>1796</v>
      </c>
      <c r="N2807" t="s">
        <v>98</v>
      </c>
      <c r="O2807">
        <v>11</v>
      </c>
      <c r="P2807" t="s">
        <v>46</v>
      </c>
    </row>
    <row r="2808" spans="1:16" ht="15" customHeight="1" x14ac:dyDescent="0.4">
      <c r="A2808" t="s">
        <v>15</v>
      </c>
      <c r="B2808" t="s">
        <v>16</v>
      </c>
      <c r="C2808" s="13">
        <v>43101</v>
      </c>
      <c r="D2808" s="13">
        <v>43465</v>
      </c>
      <c r="E2808" t="s">
        <v>17</v>
      </c>
      <c r="F2808">
        <v>0</v>
      </c>
      <c r="G2808" t="s">
        <v>18</v>
      </c>
      <c r="H2808">
        <v>1</v>
      </c>
      <c r="I2808" t="s">
        <v>19</v>
      </c>
      <c r="J2808">
        <v>321</v>
      </c>
      <c r="K2808" t="s">
        <v>104</v>
      </c>
      <c r="L2808" s="13">
        <v>43131</v>
      </c>
      <c r="M2808" t="s">
        <v>1798</v>
      </c>
      <c r="N2808" t="s">
        <v>1799</v>
      </c>
      <c r="O2808">
        <v>2100.4299999999998</v>
      </c>
      <c r="P2808" t="s">
        <v>34</v>
      </c>
    </row>
    <row r="2809" spans="1:16" ht="15" customHeight="1" x14ac:dyDescent="0.4">
      <c r="A2809" t="s">
        <v>15</v>
      </c>
      <c r="B2809" t="s">
        <v>16</v>
      </c>
      <c r="C2809" s="13">
        <v>43101</v>
      </c>
      <c r="D2809" s="13">
        <v>43465</v>
      </c>
      <c r="E2809" t="s">
        <v>17</v>
      </c>
      <c r="F2809">
        <v>0</v>
      </c>
      <c r="G2809" t="s">
        <v>18</v>
      </c>
      <c r="H2809">
        <v>1</v>
      </c>
      <c r="I2809" t="s">
        <v>19</v>
      </c>
      <c r="J2809">
        <v>321</v>
      </c>
      <c r="K2809" t="s">
        <v>104</v>
      </c>
      <c r="L2809" s="13">
        <v>43159</v>
      </c>
      <c r="M2809" t="s">
        <v>1800</v>
      </c>
      <c r="N2809" t="s">
        <v>1801</v>
      </c>
      <c r="O2809">
        <v>1982.8</v>
      </c>
      <c r="P2809" t="s">
        <v>34</v>
      </c>
    </row>
    <row r="2810" spans="1:16" ht="15" customHeight="1" x14ac:dyDescent="0.4">
      <c r="A2810" t="s">
        <v>15</v>
      </c>
      <c r="B2810" t="s">
        <v>16</v>
      </c>
      <c r="C2810" s="13">
        <v>43101</v>
      </c>
      <c r="D2810" s="13">
        <v>43465</v>
      </c>
      <c r="E2810" t="s">
        <v>17</v>
      </c>
      <c r="F2810">
        <v>0</v>
      </c>
      <c r="G2810" t="s">
        <v>18</v>
      </c>
      <c r="H2810">
        <v>1</v>
      </c>
      <c r="I2810" t="s">
        <v>19</v>
      </c>
      <c r="J2810">
        <v>321</v>
      </c>
      <c r="K2810" t="s">
        <v>104</v>
      </c>
      <c r="L2810" s="13">
        <v>43188</v>
      </c>
      <c r="M2810" t="s">
        <v>1802</v>
      </c>
      <c r="N2810" t="s">
        <v>1803</v>
      </c>
      <c r="O2810">
        <v>209.1</v>
      </c>
      <c r="P2810" t="s">
        <v>34</v>
      </c>
    </row>
    <row r="2811" spans="1:16" ht="15" customHeight="1" x14ac:dyDescent="0.4">
      <c r="A2811" t="s">
        <v>15</v>
      </c>
      <c r="B2811" t="s">
        <v>16</v>
      </c>
      <c r="C2811" s="13">
        <v>43101</v>
      </c>
      <c r="D2811" s="13">
        <v>43465</v>
      </c>
      <c r="E2811" t="s">
        <v>17</v>
      </c>
      <c r="F2811">
        <v>0</v>
      </c>
      <c r="G2811" t="s">
        <v>18</v>
      </c>
      <c r="H2811">
        <v>1</v>
      </c>
      <c r="I2811" t="s">
        <v>19</v>
      </c>
      <c r="J2811">
        <v>321</v>
      </c>
      <c r="K2811" t="s">
        <v>104</v>
      </c>
      <c r="L2811" s="13">
        <v>43188</v>
      </c>
      <c r="M2811" t="s">
        <v>1804</v>
      </c>
      <c r="N2811" t="s">
        <v>1803</v>
      </c>
      <c r="O2811">
        <v>175.46</v>
      </c>
      <c r="P2811" t="s">
        <v>34</v>
      </c>
    </row>
    <row r="2812" spans="1:16" ht="15" customHeight="1" x14ac:dyDescent="0.4">
      <c r="A2812" t="s">
        <v>15</v>
      </c>
      <c r="B2812" t="s">
        <v>16</v>
      </c>
      <c r="C2812" s="13">
        <v>43101</v>
      </c>
      <c r="D2812" s="13">
        <v>43465</v>
      </c>
      <c r="E2812" t="s">
        <v>17</v>
      </c>
      <c r="F2812">
        <v>0</v>
      </c>
      <c r="G2812" t="s">
        <v>18</v>
      </c>
      <c r="H2812">
        <v>1</v>
      </c>
      <c r="I2812" t="s">
        <v>19</v>
      </c>
      <c r="J2812">
        <v>321</v>
      </c>
      <c r="K2812" t="s">
        <v>104</v>
      </c>
      <c r="L2812" s="13">
        <v>43216</v>
      </c>
      <c r="M2812" t="s">
        <v>1805</v>
      </c>
      <c r="N2812" t="s">
        <v>1806</v>
      </c>
      <c r="O2812">
        <v>3097.22</v>
      </c>
      <c r="P2812" t="s">
        <v>34</v>
      </c>
    </row>
    <row r="2813" spans="1:16" ht="15" customHeight="1" x14ac:dyDescent="0.4">
      <c r="A2813" t="s">
        <v>15</v>
      </c>
      <c r="B2813" t="s">
        <v>16</v>
      </c>
      <c r="C2813" s="13">
        <v>43101</v>
      </c>
      <c r="D2813" s="13">
        <v>43465</v>
      </c>
      <c r="E2813" t="s">
        <v>17</v>
      </c>
      <c r="F2813">
        <v>0</v>
      </c>
      <c r="G2813" t="s">
        <v>18</v>
      </c>
      <c r="H2813">
        <v>1</v>
      </c>
      <c r="I2813" t="s">
        <v>19</v>
      </c>
      <c r="J2813">
        <v>321</v>
      </c>
      <c r="K2813" t="s">
        <v>104</v>
      </c>
      <c r="L2813" s="13">
        <v>43249</v>
      </c>
      <c r="M2813" t="s">
        <v>1807</v>
      </c>
      <c r="N2813" t="s">
        <v>1808</v>
      </c>
      <c r="O2813">
        <v>2146.6999999999998</v>
      </c>
      <c r="P2813" t="s">
        <v>34</v>
      </c>
    </row>
    <row r="2814" spans="1:16" ht="15" customHeight="1" x14ac:dyDescent="0.4">
      <c r="A2814" t="s">
        <v>15</v>
      </c>
      <c r="B2814" t="s">
        <v>16</v>
      </c>
      <c r="C2814" s="13">
        <v>43101</v>
      </c>
      <c r="D2814" s="13">
        <v>43465</v>
      </c>
      <c r="E2814" t="s">
        <v>17</v>
      </c>
      <c r="F2814">
        <v>0</v>
      </c>
      <c r="G2814" t="s">
        <v>18</v>
      </c>
      <c r="H2814">
        <v>1</v>
      </c>
      <c r="I2814" t="s">
        <v>19</v>
      </c>
      <c r="J2814">
        <v>321</v>
      </c>
      <c r="K2814" t="s">
        <v>104</v>
      </c>
      <c r="L2814" s="13">
        <v>43279</v>
      </c>
      <c r="M2814" t="s">
        <v>1809</v>
      </c>
      <c r="N2814" t="s">
        <v>1810</v>
      </c>
      <c r="O2814">
        <v>2146.6999999999998</v>
      </c>
      <c r="P2814" t="s">
        <v>34</v>
      </c>
    </row>
    <row r="2815" spans="1:16" ht="15" customHeight="1" x14ac:dyDescent="0.4">
      <c r="A2815" t="s">
        <v>15</v>
      </c>
      <c r="B2815" t="s">
        <v>16</v>
      </c>
      <c r="C2815" s="13">
        <v>43101</v>
      </c>
      <c r="D2815" s="13">
        <v>43465</v>
      </c>
      <c r="E2815" t="s">
        <v>17</v>
      </c>
      <c r="F2815">
        <v>0</v>
      </c>
      <c r="G2815" t="s">
        <v>18</v>
      </c>
      <c r="H2815">
        <v>1</v>
      </c>
      <c r="I2815" t="s">
        <v>19</v>
      </c>
      <c r="J2815">
        <v>321</v>
      </c>
      <c r="K2815" t="s">
        <v>104</v>
      </c>
      <c r="L2815" s="13">
        <v>43307</v>
      </c>
      <c r="M2815" t="s">
        <v>1811</v>
      </c>
      <c r="N2815" t="s">
        <v>1812</v>
      </c>
      <c r="O2815">
        <v>2151.63</v>
      </c>
      <c r="P2815" t="s">
        <v>34</v>
      </c>
    </row>
    <row r="2816" spans="1:16" ht="15" customHeight="1" x14ac:dyDescent="0.4">
      <c r="A2816" t="s">
        <v>15</v>
      </c>
      <c r="B2816" t="s">
        <v>16</v>
      </c>
      <c r="C2816" s="13">
        <v>43101</v>
      </c>
      <c r="D2816" s="13">
        <v>43465</v>
      </c>
      <c r="E2816" t="s">
        <v>17</v>
      </c>
      <c r="F2816">
        <v>0</v>
      </c>
      <c r="G2816" t="s">
        <v>18</v>
      </c>
      <c r="H2816">
        <v>1</v>
      </c>
      <c r="I2816" t="s">
        <v>19</v>
      </c>
      <c r="J2816">
        <v>321</v>
      </c>
      <c r="K2816" t="s">
        <v>104</v>
      </c>
      <c r="L2816" s="13">
        <v>43342</v>
      </c>
      <c r="M2816" t="s">
        <v>1813</v>
      </c>
      <c r="N2816" t="s">
        <v>1814</v>
      </c>
      <c r="O2816">
        <v>2146.6999999999998</v>
      </c>
      <c r="P2816" t="s">
        <v>34</v>
      </c>
    </row>
    <row r="2817" spans="1:16" ht="15" customHeight="1" x14ac:dyDescent="0.4">
      <c r="A2817" t="s">
        <v>15</v>
      </c>
      <c r="B2817" t="s">
        <v>16</v>
      </c>
      <c r="C2817" s="13">
        <v>43101</v>
      </c>
      <c r="D2817" s="13">
        <v>43465</v>
      </c>
      <c r="E2817" t="s">
        <v>17</v>
      </c>
      <c r="F2817">
        <v>0</v>
      </c>
      <c r="G2817" t="s">
        <v>18</v>
      </c>
      <c r="H2817">
        <v>1</v>
      </c>
      <c r="I2817" t="s">
        <v>19</v>
      </c>
      <c r="J2817">
        <v>321</v>
      </c>
      <c r="K2817" t="s">
        <v>104</v>
      </c>
      <c r="L2817" s="13">
        <v>43369</v>
      </c>
      <c r="M2817" t="s">
        <v>1815</v>
      </c>
      <c r="N2817" t="s">
        <v>1816</v>
      </c>
      <c r="O2817">
        <v>2146.6999999999998</v>
      </c>
      <c r="P2817" t="s">
        <v>34</v>
      </c>
    </row>
    <row r="2818" spans="1:16" ht="15" customHeight="1" x14ac:dyDescent="0.4">
      <c r="A2818" t="s">
        <v>15</v>
      </c>
      <c r="B2818" t="s">
        <v>16</v>
      </c>
      <c r="C2818" s="13">
        <v>43101</v>
      </c>
      <c r="D2818" s="13">
        <v>43465</v>
      </c>
      <c r="E2818" t="s">
        <v>17</v>
      </c>
      <c r="F2818">
        <v>0</v>
      </c>
      <c r="G2818" t="s">
        <v>18</v>
      </c>
      <c r="H2818">
        <v>1</v>
      </c>
      <c r="I2818" t="s">
        <v>19</v>
      </c>
      <c r="J2818">
        <v>321</v>
      </c>
      <c r="K2818" t="s">
        <v>104</v>
      </c>
      <c r="L2818" s="13">
        <v>43403</v>
      </c>
      <c r="M2818" t="s">
        <v>1817</v>
      </c>
      <c r="N2818" t="s">
        <v>1818</v>
      </c>
      <c r="O2818">
        <v>2191.02</v>
      </c>
      <c r="P2818" t="s">
        <v>34</v>
      </c>
    </row>
    <row r="2819" spans="1:16" ht="15" customHeight="1" x14ac:dyDescent="0.4">
      <c r="A2819" t="s">
        <v>15</v>
      </c>
      <c r="B2819" t="s">
        <v>16</v>
      </c>
      <c r="C2819" s="13">
        <v>43101</v>
      </c>
      <c r="D2819" s="13">
        <v>43465</v>
      </c>
      <c r="E2819" t="s">
        <v>17</v>
      </c>
      <c r="F2819">
        <v>0</v>
      </c>
      <c r="G2819" t="s">
        <v>18</v>
      </c>
      <c r="H2819">
        <v>1</v>
      </c>
      <c r="I2819" t="s">
        <v>19</v>
      </c>
      <c r="J2819">
        <v>321</v>
      </c>
      <c r="K2819" t="s">
        <v>104</v>
      </c>
      <c r="L2819" s="13">
        <v>43434</v>
      </c>
      <c r="M2819" t="s">
        <v>1819</v>
      </c>
      <c r="N2819" t="s">
        <v>1820</v>
      </c>
      <c r="O2819">
        <v>2146.6999999999998</v>
      </c>
      <c r="P2819" t="s">
        <v>34</v>
      </c>
    </row>
    <row r="2820" spans="1:16" ht="15" customHeight="1" x14ac:dyDescent="0.4">
      <c r="A2820" t="s">
        <v>15</v>
      </c>
      <c r="B2820" t="s">
        <v>16</v>
      </c>
      <c r="C2820" s="13">
        <v>43101</v>
      </c>
      <c r="D2820" s="13">
        <v>43465</v>
      </c>
      <c r="E2820" t="s">
        <v>17</v>
      </c>
      <c r="F2820">
        <v>0</v>
      </c>
      <c r="G2820" t="s">
        <v>18</v>
      </c>
      <c r="H2820">
        <v>1</v>
      </c>
      <c r="I2820" t="s">
        <v>19</v>
      </c>
      <c r="J2820">
        <v>321</v>
      </c>
      <c r="K2820" t="s">
        <v>104</v>
      </c>
      <c r="L2820" s="13">
        <v>43454</v>
      </c>
      <c r="M2820" t="s">
        <v>1821</v>
      </c>
      <c r="N2820" t="s">
        <v>1822</v>
      </c>
      <c r="O2820">
        <v>4036.43</v>
      </c>
      <c r="P2820" t="s">
        <v>34</v>
      </c>
    </row>
    <row r="2821" spans="1:16" ht="15" customHeight="1" x14ac:dyDescent="0.4">
      <c r="A2821" t="s">
        <v>15</v>
      </c>
      <c r="B2821" t="s">
        <v>16</v>
      </c>
      <c r="C2821" s="13">
        <v>43101</v>
      </c>
      <c r="D2821" s="13">
        <v>43465</v>
      </c>
      <c r="E2821" t="s">
        <v>17</v>
      </c>
      <c r="F2821">
        <v>0</v>
      </c>
      <c r="G2821" t="s">
        <v>18</v>
      </c>
      <c r="H2821">
        <v>1</v>
      </c>
      <c r="I2821" t="s">
        <v>19</v>
      </c>
      <c r="J2821">
        <v>322</v>
      </c>
      <c r="K2821" t="s">
        <v>143</v>
      </c>
      <c r="L2821" s="13">
        <v>43131</v>
      </c>
      <c r="M2821" t="s">
        <v>1823</v>
      </c>
      <c r="N2821" t="s">
        <v>1799</v>
      </c>
      <c r="O2821">
        <v>582.47</v>
      </c>
      <c r="P2821" t="s">
        <v>34</v>
      </c>
    </row>
    <row r="2822" spans="1:16" ht="15" customHeight="1" x14ac:dyDescent="0.4">
      <c r="A2822" t="s">
        <v>15</v>
      </c>
      <c r="B2822" t="s">
        <v>16</v>
      </c>
      <c r="C2822" s="13">
        <v>43101</v>
      </c>
      <c r="D2822" s="13">
        <v>43465</v>
      </c>
      <c r="E2822" t="s">
        <v>17</v>
      </c>
      <c r="F2822">
        <v>0</v>
      </c>
      <c r="G2822" t="s">
        <v>18</v>
      </c>
      <c r="H2822">
        <v>1</v>
      </c>
      <c r="I2822" t="s">
        <v>19</v>
      </c>
      <c r="J2822">
        <v>322</v>
      </c>
      <c r="K2822" t="s">
        <v>143</v>
      </c>
      <c r="L2822" s="13">
        <v>43131</v>
      </c>
      <c r="M2822" t="s">
        <v>1824</v>
      </c>
      <c r="N2822" t="s">
        <v>1825</v>
      </c>
      <c r="O2822">
        <v>-0.35</v>
      </c>
      <c r="P2822" t="s">
        <v>1481</v>
      </c>
    </row>
    <row r="2823" spans="1:16" ht="15" customHeight="1" x14ac:dyDescent="0.4">
      <c r="A2823" t="s">
        <v>15</v>
      </c>
      <c r="B2823" t="s">
        <v>16</v>
      </c>
      <c r="C2823" s="13">
        <v>43101</v>
      </c>
      <c r="D2823" s="13">
        <v>43465</v>
      </c>
      <c r="E2823" t="s">
        <v>17</v>
      </c>
      <c r="F2823">
        <v>0</v>
      </c>
      <c r="G2823" t="s">
        <v>18</v>
      </c>
      <c r="H2823">
        <v>1</v>
      </c>
      <c r="I2823" t="s">
        <v>19</v>
      </c>
      <c r="J2823">
        <v>322</v>
      </c>
      <c r="K2823" t="s">
        <v>143</v>
      </c>
      <c r="L2823" s="13">
        <v>43159</v>
      </c>
      <c r="M2823" t="s">
        <v>1826</v>
      </c>
      <c r="N2823" t="s">
        <v>1801</v>
      </c>
      <c r="O2823">
        <v>551.11</v>
      </c>
      <c r="P2823" t="s">
        <v>34</v>
      </c>
    </row>
    <row r="2824" spans="1:16" ht="15" customHeight="1" x14ac:dyDescent="0.4">
      <c r="A2824" t="s">
        <v>15</v>
      </c>
      <c r="B2824" t="s">
        <v>16</v>
      </c>
      <c r="C2824" s="13">
        <v>43101</v>
      </c>
      <c r="D2824" s="13">
        <v>43465</v>
      </c>
      <c r="E2824" t="s">
        <v>17</v>
      </c>
      <c r="F2824">
        <v>0</v>
      </c>
      <c r="G2824" t="s">
        <v>18</v>
      </c>
      <c r="H2824">
        <v>1</v>
      </c>
      <c r="I2824" t="s">
        <v>19</v>
      </c>
      <c r="J2824">
        <v>322</v>
      </c>
      <c r="K2824" t="s">
        <v>143</v>
      </c>
      <c r="L2824" s="13">
        <v>43159</v>
      </c>
      <c r="M2824" t="s">
        <v>1827</v>
      </c>
      <c r="N2824" t="s">
        <v>1828</v>
      </c>
      <c r="O2824">
        <v>-1.02</v>
      </c>
      <c r="P2824" t="s">
        <v>1481</v>
      </c>
    </row>
    <row r="2825" spans="1:16" ht="15" customHeight="1" x14ac:dyDescent="0.4">
      <c r="A2825" t="s">
        <v>15</v>
      </c>
      <c r="B2825" t="s">
        <v>16</v>
      </c>
      <c r="C2825" s="13">
        <v>43101</v>
      </c>
      <c r="D2825" s="13">
        <v>43465</v>
      </c>
      <c r="E2825" t="s">
        <v>17</v>
      </c>
      <c r="F2825">
        <v>0</v>
      </c>
      <c r="G2825" t="s">
        <v>18</v>
      </c>
      <c r="H2825">
        <v>1</v>
      </c>
      <c r="I2825" t="s">
        <v>19</v>
      </c>
      <c r="J2825">
        <v>322</v>
      </c>
      <c r="K2825" t="s">
        <v>143</v>
      </c>
      <c r="L2825" s="13">
        <v>43188</v>
      </c>
      <c r="M2825" t="s">
        <v>1829</v>
      </c>
      <c r="N2825" t="s">
        <v>1803</v>
      </c>
      <c r="O2825">
        <v>71.28</v>
      </c>
      <c r="P2825" t="s">
        <v>34</v>
      </c>
    </row>
    <row r="2826" spans="1:16" ht="15" customHeight="1" x14ac:dyDescent="0.4">
      <c r="A2826" t="s">
        <v>15</v>
      </c>
      <c r="B2826" t="s">
        <v>16</v>
      </c>
      <c r="C2826" s="13">
        <v>43101</v>
      </c>
      <c r="D2826" s="13">
        <v>43465</v>
      </c>
      <c r="E2826" t="s">
        <v>17</v>
      </c>
      <c r="F2826">
        <v>0</v>
      </c>
      <c r="G2826" t="s">
        <v>18</v>
      </c>
      <c r="H2826">
        <v>1</v>
      </c>
      <c r="I2826" t="s">
        <v>19</v>
      </c>
      <c r="J2826">
        <v>322</v>
      </c>
      <c r="K2826" t="s">
        <v>143</v>
      </c>
      <c r="L2826" s="13">
        <v>43189</v>
      </c>
      <c r="M2826" t="s">
        <v>1830</v>
      </c>
      <c r="N2826" t="s">
        <v>1831</v>
      </c>
      <c r="O2826">
        <v>7.0000000000000007E-2</v>
      </c>
      <c r="P2826" t="s">
        <v>1481</v>
      </c>
    </row>
    <row r="2827" spans="1:16" ht="15" customHeight="1" x14ac:dyDescent="0.4">
      <c r="A2827" t="s">
        <v>15</v>
      </c>
      <c r="B2827" t="s">
        <v>16</v>
      </c>
      <c r="C2827" s="13">
        <v>43101</v>
      </c>
      <c r="D2827" s="13">
        <v>43465</v>
      </c>
      <c r="E2827" t="s">
        <v>17</v>
      </c>
      <c r="F2827">
        <v>0</v>
      </c>
      <c r="G2827" t="s">
        <v>18</v>
      </c>
      <c r="H2827">
        <v>1</v>
      </c>
      <c r="I2827" t="s">
        <v>19</v>
      </c>
      <c r="J2827">
        <v>322</v>
      </c>
      <c r="K2827" t="s">
        <v>143</v>
      </c>
      <c r="L2827" s="13">
        <v>43216</v>
      </c>
      <c r="M2827" t="s">
        <v>1832</v>
      </c>
      <c r="N2827" t="s">
        <v>1806</v>
      </c>
      <c r="O2827">
        <v>1323.08</v>
      </c>
      <c r="P2827" t="s">
        <v>34</v>
      </c>
    </row>
    <row r="2828" spans="1:16" ht="15" customHeight="1" x14ac:dyDescent="0.4">
      <c r="A2828" t="s">
        <v>15</v>
      </c>
      <c r="B2828" t="s">
        <v>16</v>
      </c>
      <c r="C2828" s="13">
        <v>43101</v>
      </c>
      <c r="D2828" s="13">
        <v>43465</v>
      </c>
      <c r="E2828" t="s">
        <v>17</v>
      </c>
      <c r="F2828">
        <v>0</v>
      </c>
      <c r="G2828" t="s">
        <v>18</v>
      </c>
      <c r="H2828">
        <v>1</v>
      </c>
      <c r="I2828" t="s">
        <v>19</v>
      </c>
      <c r="J2828">
        <v>322</v>
      </c>
      <c r="K2828" t="s">
        <v>143</v>
      </c>
      <c r="L2828" s="13">
        <v>43220</v>
      </c>
      <c r="M2828" t="s">
        <v>1833</v>
      </c>
      <c r="N2828" t="s">
        <v>1834</v>
      </c>
      <c r="O2828">
        <v>0.3</v>
      </c>
      <c r="P2828" t="s">
        <v>1481</v>
      </c>
    </row>
    <row r="2829" spans="1:16" ht="15" customHeight="1" x14ac:dyDescent="0.4">
      <c r="A2829" t="s">
        <v>15</v>
      </c>
      <c r="B2829" t="s">
        <v>16</v>
      </c>
      <c r="C2829" s="13">
        <v>43101</v>
      </c>
      <c r="D2829" s="13">
        <v>43465</v>
      </c>
      <c r="E2829" t="s">
        <v>17</v>
      </c>
      <c r="F2829">
        <v>0</v>
      </c>
      <c r="G2829" t="s">
        <v>18</v>
      </c>
      <c r="H2829">
        <v>1</v>
      </c>
      <c r="I2829" t="s">
        <v>19</v>
      </c>
      <c r="J2829">
        <v>322</v>
      </c>
      <c r="K2829" t="s">
        <v>143</v>
      </c>
      <c r="L2829" s="13">
        <v>43249</v>
      </c>
      <c r="M2829" t="s">
        <v>1835</v>
      </c>
      <c r="N2829" t="s">
        <v>1808</v>
      </c>
      <c r="O2829">
        <v>689.5</v>
      </c>
      <c r="P2829" t="s">
        <v>34</v>
      </c>
    </row>
    <row r="2830" spans="1:16" ht="15" customHeight="1" x14ac:dyDescent="0.4">
      <c r="A2830" t="s">
        <v>15</v>
      </c>
      <c r="B2830" t="s">
        <v>16</v>
      </c>
      <c r="C2830" s="13">
        <v>43101</v>
      </c>
      <c r="D2830" s="13">
        <v>43465</v>
      </c>
      <c r="E2830" t="s">
        <v>17</v>
      </c>
      <c r="F2830">
        <v>0</v>
      </c>
      <c r="G2830" t="s">
        <v>18</v>
      </c>
      <c r="H2830">
        <v>1</v>
      </c>
      <c r="I2830" t="s">
        <v>19</v>
      </c>
      <c r="J2830">
        <v>322</v>
      </c>
      <c r="K2830" t="s">
        <v>143</v>
      </c>
      <c r="L2830" s="13">
        <v>43250</v>
      </c>
      <c r="M2830" t="s">
        <v>1836</v>
      </c>
      <c r="N2830" t="s">
        <v>1837</v>
      </c>
      <c r="O2830">
        <v>-0.63</v>
      </c>
      <c r="P2830" t="s">
        <v>1481</v>
      </c>
    </row>
    <row r="2831" spans="1:16" ht="15" customHeight="1" x14ac:dyDescent="0.4">
      <c r="A2831" t="s">
        <v>15</v>
      </c>
      <c r="B2831" t="s">
        <v>16</v>
      </c>
      <c r="C2831" s="13">
        <v>43101</v>
      </c>
      <c r="D2831" s="13">
        <v>43465</v>
      </c>
      <c r="E2831" t="s">
        <v>17</v>
      </c>
      <c r="F2831">
        <v>0</v>
      </c>
      <c r="G2831" t="s">
        <v>18</v>
      </c>
      <c r="H2831">
        <v>1</v>
      </c>
      <c r="I2831" t="s">
        <v>19</v>
      </c>
      <c r="J2831">
        <v>322</v>
      </c>
      <c r="K2831" t="s">
        <v>143</v>
      </c>
      <c r="L2831" s="13">
        <v>43279</v>
      </c>
      <c r="M2831" t="s">
        <v>1838</v>
      </c>
      <c r="N2831" t="s">
        <v>1810</v>
      </c>
      <c r="O2831">
        <v>620.04999999999995</v>
      </c>
      <c r="P2831" t="s">
        <v>34</v>
      </c>
    </row>
    <row r="2832" spans="1:16" ht="15" customHeight="1" x14ac:dyDescent="0.4">
      <c r="A2832" t="s">
        <v>15</v>
      </c>
      <c r="B2832" t="s">
        <v>16</v>
      </c>
      <c r="C2832" s="13">
        <v>43101</v>
      </c>
      <c r="D2832" s="13">
        <v>43465</v>
      </c>
      <c r="E2832" t="s">
        <v>17</v>
      </c>
      <c r="F2832">
        <v>0</v>
      </c>
      <c r="G2832" t="s">
        <v>18</v>
      </c>
      <c r="H2832">
        <v>1</v>
      </c>
      <c r="I2832" t="s">
        <v>19</v>
      </c>
      <c r="J2832">
        <v>322</v>
      </c>
      <c r="K2832" t="s">
        <v>143</v>
      </c>
      <c r="L2832" s="13">
        <v>43281</v>
      </c>
      <c r="M2832" t="s">
        <v>1839</v>
      </c>
      <c r="N2832" t="s">
        <v>1840</v>
      </c>
      <c r="O2832">
        <v>-1.18</v>
      </c>
      <c r="P2832" t="s">
        <v>1481</v>
      </c>
    </row>
    <row r="2833" spans="1:16" ht="15" customHeight="1" x14ac:dyDescent="0.4">
      <c r="A2833" t="s">
        <v>15</v>
      </c>
      <c r="B2833" t="s">
        <v>16</v>
      </c>
      <c r="C2833" s="13">
        <v>43101</v>
      </c>
      <c r="D2833" s="13">
        <v>43465</v>
      </c>
      <c r="E2833" t="s">
        <v>17</v>
      </c>
      <c r="F2833">
        <v>0</v>
      </c>
      <c r="G2833" t="s">
        <v>18</v>
      </c>
      <c r="H2833">
        <v>1</v>
      </c>
      <c r="I2833" t="s">
        <v>19</v>
      </c>
      <c r="J2833">
        <v>322</v>
      </c>
      <c r="K2833" t="s">
        <v>143</v>
      </c>
      <c r="L2833" s="13">
        <v>43307</v>
      </c>
      <c r="M2833" t="s">
        <v>1841</v>
      </c>
      <c r="N2833" t="s">
        <v>1812</v>
      </c>
      <c r="O2833">
        <v>624.04999999999995</v>
      </c>
      <c r="P2833" t="s">
        <v>34</v>
      </c>
    </row>
    <row r="2834" spans="1:16" ht="15" customHeight="1" x14ac:dyDescent="0.4">
      <c r="A2834" t="s">
        <v>15</v>
      </c>
      <c r="B2834" t="s">
        <v>16</v>
      </c>
      <c r="C2834" s="13">
        <v>43101</v>
      </c>
      <c r="D2834" s="13">
        <v>43465</v>
      </c>
      <c r="E2834" t="s">
        <v>17</v>
      </c>
      <c r="F2834">
        <v>0</v>
      </c>
      <c r="G2834" t="s">
        <v>18</v>
      </c>
      <c r="H2834">
        <v>1</v>
      </c>
      <c r="I2834" t="s">
        <v>19</v>
      </c>
      <c r="J2834">
        <v>322</v>
      </c>
      <c r="K2834" t="s">
        <v>143</v>
      </c>
      <c r="L2834" s="13">
        <v>43312</v>
      </c>
      <c r="M2834" t="s">
        <v>1842</v>
      </c>
      <c r="N2834" t="s">
        <v>1843</v>
      </c>
      <c r="O2834">
        <v>0.93</v>
      </c>
      <c r="P2834" t="s">
        <v>1481</v>
      </c>
    </row>
    <row r="2835" spans="1:16" ht="15" customHeight="1" x14ac:dyDescent="0.4">
      <c r="A2835" t="s">
        <v>15</v>
      </c>
      <c r="B2835" t="s">
        <v>16</v>
      </c>
      <c r="C2835" s="13">
        <v>43101</v>
      </c>
      <c r="D2835" s="13">
        <v>43465</v>
      </c>
      <c r="E2835" t="s">
        <v>17</v>
      </c>
      <c r="F2835">
        <v>0</v>
      </c>
      <c r="G2835" t="s">
        <v>18</v>
      </c>
      <c r="H2835">
        <v>1</v>
      </c>
      <c r="I2835" t="s">
        <v>19</v>
      </c>
      <c r="J2835">
        <v>322</v>
      </c>
      <c r="K2835" t="s">
        <v>143</v>
      </c>
      <c r="L2835" s="13">
        <v>43342</v>
      </c>
      <c r="M2835" t="s">
        <v>1844</v>
      </c>
      <c r="N2835" t="s">
        <v>1814</v>
      </c>
      <c r="O2835">
        <v>620.05999999999995</v>
      </c>
      <c r="P2835" t="s">
        <v>34</v>
      </c>
    </row>
    <row r="2836" spans="1:16" ht="15" customHeight="1" x14ac:dyDescent="0.4">
      <c r="A2836" t="s">
        <v>15</v>
      </c>
      <c r="B2836" t="s">
        <v>16</v>
      </c>
      <c r="C2836" s="13">
        <v>43101</v>
      </c>
      <c r="D2836" s="13">
        <v>43465</v>
      </c>
      <c r="E2836" t="s">
        <v>17</v>
      </c>
      <c r="F2836">
        <v>0</v>
      </c>
      <c r="G2836" t="s">
        <v>18</v>
      </c>
      <c r="H2836">
        <v>1</v>
      </c>
      <c r="I2836" t="s">
        <v>19</v>
      </c>
      <c r="J2836">
        <v>322</v>
      </c>
      <c r="K2836" t="s">
        <v>143</v>
      </c>
      <c r="L2836" s="13">
        <v>43343</v>
      </c>
      <c r="M2836" t="s">
        <v>1845</v>
      </c>
      <c r="N2836" t="s">
        <v>1846</v>
      </c>
      <c r="O2836">
        <v>-1.19</v>
      </c>
      <c r="P2836" t="s">
        <v>1481</v>
      </c>
    </row>
    <row r="2837" spans="1:16" ht="15" customHeight="1" x14ac:dyDescent="0.4">
      <c r="A2837" t="s">
        <v>15</v>
      </c>
      <c r="B2837" t="s">
        <v>16</v>
      </c>
      <c r="C2837" s="13">
        <v>43101</v>
      </c>
      <c r="D2837" s="13">
        <v>43465</v>
      </c>
      <c r="E2837" t="s">
        <v>17</v>
      </c>
      <c r="F2837">
        <v>0</v>
      </c>
      <c r="G2837" t="s">
        <v>18</v>
      </c>
      <c r="H2837">
        <v>1</v>
      </c>
      <c r="I2837" t="s">
        <v>19</v>
      </c>
      <c r="J2837">
        <v>322</v>
      </c>
      <c r="K2837" t="s">
        <v>143</v>
      </c>
      <c r="L2837" s="13">
        <v>43369</v>
      </c>
      <c r="M2837" t="s">
        <v>1847</v>
      </c>
      <c r="N2837" t="s">
        <v>1816</v>
      </c>
      <c r="O2837">
        <v>620.05999999999995</v>
      </c>
      <c r="P2837" t="s">
        <v>34</v>
      </c>
    </row>
    <row r="2838" spans="1:16" ht="15" customHeight="1" x14ac:dyDescent="0.4">
      <c r="A2838" t="s">
        <v>15</v>
      </c>
      <c r="B2838" t="s">
        <v>16</v>
      </c>
      <c r="C2838" s="13">
        <v>43101</v>
      </c>
      <c r="D2838" s="13">
        <v>43465</v>
      </c>
      <c r="E2838" t="s">
        <v>17</v>
      </c>
      <c r="F2838">
        <v>0</v>
      </c>
      <c r="G2838" t="s">
        <v>18</v>
      </c>
      <c r="H2838">
        <v>1</v>
      </c>
      <c r="I2838" t="s">
        <v>19</v>
      </c>
      <c r="J2838">
        <v>322</v>
      </c>
      <c r="K2838" t="s">
        <v>143</v>
      </c>
      <c r="L2838" s="13">
        <v>43373</v>
      </c>
      <c r="M2838" t="s">
        <v>1848</v>
      </c>
      <c r="N2838" t="s">
        <v>1849</v>
      </c>
      <c r="O2838">
        <v>-1.19</v>
      </c>
      <c r="P2838" t="s">
        <v>1481</v>
      </c>
    </row>
    <row r="2839" spans="1:16" ht="15" customHeight="1" x14ac:dyDescent="0.4">
      <c r="A2839" t="s">
        <v>15</v>
      </c>
      <c r="B2839" t="s">
        <v>16</v>
      </c>
      <c r="C2839" s="13">
        <v>43101</v>
      </c>
      <c r="D2839" s="13">
        <v>43465</v>
      </c>
      <c r="E2839" t="s">
        <v>17</v>
      </c>
      <c r="F2839">
        <v>0</v>
      </c>
      <c r="G2839" t="s">
        <v>18</v>
      </c>
      <c r="H2839">
        <v>1</v>
      </c>
      <c r="I2839" t="s">
        <v>19</v>
      </c>
      <c r="J2839">
        <v>322</v>
      </c>
      <c r="K2839" t="s">
        <v>143</v>
      </c>
      <c r="L2839" s="13">
        <v>43403</v>
      </c>
      <c r="M2839" t="s">
        <v>1850</v>
      </c>
      <c r="N2839" t="s">
        <v>1818</v>
      </c>
      <c r="O2839">
        <v>656.07</v>
      </c>
      <c r="P2839" t="s">
        <v>34</v>
      </c>
    </row>
    <row r="2840" spans="1:16" ht="15" customHeight="1" x14ac:dyDescent="0.4">
      <c r="A2840" t="s">
        <v>15</v>
      </c>
      <c r="B2840" t="s">
        <v>16</v>
      </c>
      <c r="C2840" s="13">
        <v>43101</v>
      </c>
      <c r="D2840" s="13">
        <v>43465</v>
      </c>
      <c r="E2840" t="s">
        <v>17</v>
      </c>
      <c r="F2840">
        <v>0</v>
      </c>
      <c r="G2840" t="s">
        <v>18</v>
      </c>
      <c r="H2840">
        <v>1</v>
      </c>
      <c r="I2840" t="s">
        <v>19</v>
      </c>
      <c r="J2840">
        <v>322</v>
      </c>
      <c r="K2840" t="s">
        <v>143</v>
      </c>
      <c r="L2840" s="13">
        <v>43413</v>
      </c>
      <c r="M2840" t="s">
        <v>1851</v>
      </c>
      <c r="N2840" t="s">
        <v>1852</v>
      </c>
      <c r="O2840">
        <v>-0.28000000000000003</v>
      </c>
      <c r="P2840" t="s">
        <v>1481</v>
      </c>
    </row>
    <row r="2841" spans="1:16" ht="15" customHeight="1" x14ac:dyDescent="0.4">
      <c r="A2841" t="s">
        <v>15</v>
      </c>
      <c r="B2841" t="s">
        <v>16</v>
      </c>
      <c r="C2841" s="13">
        <v>43101</v>
      </c>
      <c r="D2841" s="13">
        <v>43465</v>
      </c>
      <c r="E2841" t="s">
        <v>17</v>
      </c>
      <c r="F2841">
        <v>0</v>
      </c>
      <c r="G2841" t="s">
        <v>18</v>
      </c>
      <c r="H2841">
        <v>1</v>
      </c>
      <c r="I2841" t="s">
        <v>19</v>
      </c>
      <c r="J2841">
        <v>322</v>
      </c>
      <c r="K2841" t="s">
        <v>143</v>
      </c>
      <c r="L2841" s="13">
        <v>43434</v>
      </c>
      <c r="M2841" t="s">
        <v>1853</v>
      </c>
      <c r="N2841" t="s">
        <v>1820</v>
      </c>
      <c r="O2841">
        <v>620.05999999999995</v>
      </c>
      <c r="P2841" t="s">
        <v>34</v>
      </c>
    </row>
    <row r="2842" spans="1:16" ht="15" customHeight="1" x14ac:dyDescent="0.4">
      <c r="A2842" t="s">
        <v>15</v>
      </c>
      <c r="B2842" t="s">
        <v>16</v>
      </c>
      <c r="C2842" s="13">
        <v>43101</v>
      </c>
      <c r="D2842" s="13">
        <v>43465</v>
      </c>
      <c r="E2842" t="s">
        <v>17</v>
      </c>
      <c r="F2842">
        <v>0</v>
      </c>
      <c r="G2842" t="s">
        <v>18</v>
      </c>
      <c r="H2842">
        <v>1</v>
      </c>
      <c r="I2842" t="s">
        <v>19</v>
      </c>
      <c r="J2842">
        <v>322</v>
      </c>
      <c r="K2842" t="s">
        <v>143</v>
      </c>
      <c r="L2842" s="13">
        <v>43440</v>
      </c>
      <c r="M2842" t="s">
        <v>1854</v>
      </c>
      <c r="N2842" t="s">
        <v>1855</v>
      </c>
      <c r="O2842">
        <v>-0.8</v>
      </c>
      <c r="P2842" t="s">
        <v>1481</v>
      </c>
    </row>
    <row r="2843" spans="1:16" ht="15" customHeight="1" x14ac:dyDescent="0.4">
      <c r="A2843" t="s">
        <v>15</v>
      </c>
      <c r="B2843" t="s">
        <v>16</v>
      </c>
      <c r="C2843" s="13">
        <v>43101</v>
      </c>
      <c r="D2843" s="13">
        <v>43465</v>
      </c>
      <c r="E2843" t="s">
        <v>17</v>
      </c>
      <c r="F2843">
        <v>0</v>
      </c>
      <c r="G2843" t="s">
        <v>18</v>
      </c>
      <c r="H2843">
        <v>1</v>
      </c>
      <c r="I2843" t="s">
        <v>19</v>
      </c>
      <c r="J2843">
        <v>322</v>
      </c>
      <c r="K2843" t="s">
        <v>143</v>
      </c>
      <c r="L2843" s="13">
        <v>43454</v>
      </c>
      <c r="M2843" t="s">
        <v>1856</v>
      </c>
      <c r="N2843" t="s">
        <v>1822</v>
      </c>
      <c r="O2843">
        <v>2118.34</v>
      </c>
      <c r="P2843" t="s">
        <v>34</v>
      </c>
    </row>
    <row r="2844" spans="1:16" ht="15" customHeight="1" x14ac:dyDescent="0.4">
      <c r="A2844" t="s">
        <v>15</v>
      </c>
      <c r="B2844" t="s">
        <v>16</v>
      </c>
      <c r="C2844" s="13">
        <v>43101</v>
      </c>
      <c r="D2844" s="13">
        <v>43465</v>
      </c>
      <c r="E2844" t="s">
        <v>17</v>
      </c>
      <c r="F2844">
        <v>0</v>
      </c>
      <c r="G2844" t="s">
        <v>18</v>
      </c>
      <c r="H2844">
        <v>1</v>
      </c>
      <c r="I2844" t="s">
        <v>19</v>
      </c>
      <c r="J2844">
        <v>323</v>
      </c>
      <c r="K2844" t="s">
        <v>181</v>
      </c>
      <c r="L2844" s="13">
        <v>43131</v>
      </c>
      <c r="M2844" t="s">
        <v>1857</v>
      </c>
      <c r="N2844" t="s">
        <v>1799</v>
      </c>
      <c r="O2844">
        <v>140.72999999999999</v>
      </c>
      <c r="P2844" t="s">
        <v>34</v>
      </c>
    </row>
    <row r="2845" spans="1:16" ht="15" customHeight="1" x14ac:dyDescent="0.4">
      <c r="A2845" t="s">
        <v>15</v>
      </c>
      <c r="B2845" t="s">
        <v>16</v>
      </c>
      <c r="C2845" s="13">
        <v>43101</v>
      </c>
      <c r="D2845" s="13">
        <v>43465</v>
      </c>
      <c r="E2845" t="s">
        <v>17</v>
      </c>
      <c r="F2845">
        <v>0</v>
      </c>
      <c r="G2845" t="s">
        <v>18</v>
      </c>
      <c r="H2845">
        <v>1</v>
      </c>
      <c r="I2845" t="s">
        <v>19</v>
      </c>
      <c r="J2845">
        <v>323</v>
      </c>
      <c r="K2845" t="s">
        <v>181</v>
      </c>
      <c r="L2845" s="13">
        <v>43159</v>
      </c>
      <c r="M2845" t="s">
        <v>1858</v>
      </c>
      <c r="N2845" t="s">
        <v>1801</v>
      </c>
      <c r="O2845">
        <v>132.84</v>
      </c>
      <c r="P2845" t="s">
        <v>34</v>
      </c>
    </row>
    <row r="2846" spans="1:16" ht="15" customHeight="1" x14ac:dyDescent="0.4">
      <c r="A2846" t="s">
        <v>15</v>
      </c>
      <c r="B2846" t="s">
        <v>16</v>
      </c>
      <c r="C2846" s="13">
        <v>43101</v>
      </c>
      <c r="D2846" s="13">
        <v>43465</v>
      </c>
      <c r="E2846" t="s">
        <v>17</v>
      </c>
      <c r="F2846">
        <v>0</v>
      </c>
      <c r="G2846" t="s">
        <v>18</v>
      </c>
      <c r="H2846">
        <v>1</v>
      </c>
      <c r="I2846" t="s">
        <v>19</v>
      </c>
      <c r="J2846">
        <v>323</v>
      </c>
      <c r="K2846" t="s">
        <v>181</v>
      </c>
      <c r="L2846" s="13">
        <v>43159</v>
      </c>
      <c r="M2846" t="s">
        <v>1859</v>
      </c>
      <c r="N2846" t="s">
        <v>731</v>
      </c>
      <c r="O2846">
        <v>0.01</v>
      </c>
      <c r="P2846" t="s">
        <v>184</v>
      </c>
    </row>
    <row r="2847" spans="1:16" ht="15" customHeight="1" x14ac:dyDescent="0.4">
      <c r="A2847" t="s">
        <v>15</v>
      </c>
      <c r="B2847" t="s">
        <v>16</v>
      </c>
      <c r="C2847" s="13">
        <v>43101</v>
      </c>
      <c r="D2847" s="13">
        <v>43465</v>
      </c>
      <c r="E2847" t="s">
        <v>17</v>
      </c>
      <c r="F2847">
        <v>0</v>
      </c>
      <c r="G2847" t="s">
        <v>18</v>
      </c>
      <c r="H2847">
        <v>1</v>
      </c>
      <c r="I2847" t="s">
        <v>19</v>
      </c>
      <c r="J2847">
        <v>323</v>
      </c>
      <c r="K2847" t="s">
        <v>181</v>
      </c>
      <c r="L2847" s="13">
        <v>43188</v>
      </c>
      <c r="M2847" t="s">
        <v>1860</v>
      </c>
      <c r="N2847" t="s">
        <v>1803</v>
      </c>
      <c r="O2847">
        <v>11.76</v>
      </c>
      <c r="P2847" t="s">
        <v>34</v>
      </c>
    </row>
    <row r="2848" spans="1:16" ht="15" customHeight="1" x14ac:dyDescent="0.4">
      <c r="A2848" t="s">
        <v>15</v>
      </c>
      <c r="B2848" t="s">
        <v>16</v>
      </c>
      <c r="C2848" s="13">
        <v>43101</v>
      </c>
      <c r="D2848" s="13">
        <v>43465</v>
      </c>
      <c r="E2848" t="s">
        <v>17</v>
      </c>
      <c r="F2848">
        <v>0</v>
      </c>
      <c r="G2848" t="s">
        <v>18</v>
      </c>
      <c r="H2848">
        <v>1</v>
      </c>
      <c r="I2848" t="s">
        <v>19</v>
      </c>
      <c r="J2848">
        <v>323</v>
      </c>
      <c r="K2848" t="s">
        <v>181</v>
      </c>
      <c r="L2848" s="13">
        <v>43216</v>
      </c>
      <c r="M2848" t="s">
        <v>1861</v>
      </c>
      <c r="N2848" t="s">
        <v>1806</v>
      </c>
      <c r="O2848">
        <v>207.52</v>
      </c>
      <c r="P2848" t="s">
        <v>34</v>
      </c>
    </row>
    <row r="2849" spans="1:16" ht="15" customHeight="1" x14ac:dyDescent="0.4">
      <c r="A2849" t="s">
        <v>15</v>
      </c>
      <c r="B2849" t="s">
        <v>16</v>
      </c>
      <c r="C2849" s="13">
        <v>43101</v>
      </c>
      <c r="D2849" s="13">
        <v>43465</v>
      </c>
      <c r="E2849" t="s">
        <v>17</v>
      </c>
      <c r="F2849">
        <v>0</v>
      </c>
      <c r="G2849" t="s">
        <v>18</v>
      </c>
      <c r="H2849">
        <v>1</v>
      </c>
      <c r="I2849" t="s">
        <v>19</v>
      </c>
      <c r="J2849">
        <v>323</v>
      </c>
      <c r="K2849" t="s">
        <v>181</v>
      </c>
      <c r="L2849" s="13">
        <v>43220</v>
      </c>
      <c r="M2849" t="s">
        <v>1862</v>
      </c>
      <c r="N2849" t="s">
        <v>731</v>
      </c>
      <c r="O2849">
        <v>-0.01</v>
      </c>
      <c r="P2849" t="s">
        <v>184</v>
      </c>
    </row>
    <row r="2850" spans="1:16" ht="15" customHeight="1" x14ac:dyDescent="0.4">
      <c r="A2850" t="s">
        <v>15</v>
      </c>
      <c r="B2850" t="s">
        <v>16</v>
      </c>
      <c r="C2850" s="13">
        <v>43101</v>
      </c>
      <c r="D2850" s="13">
        <v>43465</v>
      </c>
      <c r="E2850" t="s">
        <v>17</v>
      </c>
      <c r="F2850">
        <v>0</v>
      </c>
      <c r="G2850" t="s">
        <v>18</v>
      </c>
      <c r="H2850">
        <v>1</v>
      </c>
      <c r="I2850" t="s">
        <v>19</v>
      </c>
      <c r="J2850">
        <v>323</v>
      </c>
      <c r="K2850" t="s">
        <v>181</v>
      </c>
      <c r="L2850" s="13">
        <v>43249</v>
      </c>
      <c r="M2850" t="s">
        <v>1863</v>
      </c>
      <c r="N2850" t="s">
        <v>1808</v>
      </c>
      <c r="O2850">
        <v>143.83000000000001</v>
      </c>
      <c r="P2850" t="s">
        <v>34</v>
      </c>
    </row>
    <row r="2851" spans="1:16" ht="15" customHeight="1" x14ac:dyDescent="0.4">
      <c r="A2851" t="s">
        <v>15</v>
      </c>
      <c r="B2851" t="s">
        <v>16</v>
      </c>
      <c r="C2851" s="13">
        <v>43101</v>
      </c>
      <c r="D2851" s="13">
        <v>43465</v>
      </c>
      <c r="E2851" t="s">
        <v>17</v>
      </c>
      <c r="F2851">
        <v>0</v>
      </c>
      <c r="G2851" t="s">
        <v>18</v>
      </c>
      <c r="H2851">
        <v>1</v>
      </c>
      <c r="I2851" t="s">
        <v>19</v>
      </c>
      <c r="J2851">
        <v>323</v>
      </c>
      <c r="K2851" t="s">
        <v>181</v>
      </c>
      <c r="L2851" s="13">
        <v>43279</v>
      </c>
      <c r="M2851" t="s">
        <v>1864</v>
      </c>
      <c r="N2851" t="s">
        <v>1810</v>
      </c>
      <c r="O2851">
        <v>143.83000000000001</v>
      </c>
      <c r="P2851" t="s">
        <v>34</v>
      </c>
    </row>
    <row r="2852" spans="1:16" ht="15" customHeight="1" x14ac:dyDescent="0.4">
      <c r="A2852" t="s">
        <v>15</v>
      </c>
      <c r="B2852" t="s">
        <v>16</v>
      </c>
      <c r="C2852" s="13">
        <v>43101</v>
      </c>
      <c r="D2852" s="13">
        <v>43465</v>
      </c>
      <c r="E2852" t="s">
        <v>17</v>
      </c>
      <c r="F2852">
        <v>0</v>
      </c>
      <c r="G2852" t="s">
        <v>18</v>
      </c>
      <c r="H2852">
        <v>1</v>
      </c>
      <c r="I2852" t="s">
        <v>19</v>
      </c>
      <c r="J2852">
        <v>323</v>
      </c>
      <c r="K2852" t="s">
        <v>181</v>
      </c>
      <c r="L2852" s="13">
        <v>43307</v>
      </c>
      <c r="M2852" t="s">
        <v>1865</v>
      </c>
      <c r="N2852" t="s">
        <v>1812</v>
      </c>
      <c r="O2852">
        <v>144.16</v>
      </c>
      <c r="P2852" t="s">
        <v>34</v>
      </c>
    </row>
    <row r="2853" spans="1:16" ht="15" customHeight="1" x14ac:dyDescent="0.4">
      <c r="A2853" t="s">
        <v>15</v>
      </c>
      <c r="B2853" t="s">
        <v>16</v>
      </c>
      <c r="C2853" s="13">
        <v>43101</v>
      </c>
      <c r="D2853" s="13">
        <v>43465</v>
      </c>
      <c r="E2853" t="s">
        <v>17</v>
      </c>
      <c r="F2853">
        <v>0</v>
      </c>
      <c r="G2853" t="s">
        <v>18</v>
      </c>
      <c r="H2853">
        <v>1</v>
      </c>
      <c r="I2853" t="s">
        <v>19</v>
      </c>
      <c r="J2853">
        <v>323</v>
      </c>
      <c r="K2853" t="s">
        <v>181</v>
      </c>
      <c r="L2853" s="13">
        <v>43342</v>
      </c>
      <c r="M2853" t="s">
        <v>1866</v>
      </c>
      <c r="N2853" t="s">
        <v>1814</v>
      </c>
      <c r="O2853">
        <v>143.83000000000001</v>
      </c>
      <c r="P2853" t="s">
        <v>34</v>
      </c>
    </row>
    <row r="2854" spans="1:16" ht="15" customHeight="1" x14ac:dyDescent="0.4">
      <c r="A2854" t="s">
        <v>15</v>
      </c>
      <c r="B2854" t="s">
        <v>16</v>
      </c>
      <c r="C2854" s="13">
        <v>43101</v>
      </c>
      <c r="D2854" s="13">
        <v>43465</v>
      </c>
      <c r="E2854" t="s">
        <v>17</v>
      </c>
      <c r="F2854">
        <v>0</v>
      </c>
      <c r="G2854" t="s">
        <v>18</v>
      </c>
      <c r="H2854">
        <v>1</v>
      </c>
      <c r="I2854" t="s">
        <v>19</v>
      </c>
      <c r="J2854">
        <v>323</v>
      </c>
      <c r="K2854" t="s">
        <v>181</v>
      </c>
      <c r="L2854" s="13">
        <v>43369</v>
      </c>
      <c r="M2854" t="s">
        <v>1867</v>
      </c>
      <c r="N2854" t="s">
        <v>1816</v>
      </c>
      <c r="O2854">
        <v>143.83000000000001</v>
      </c>
      <c r="P2854" t="s">
        <v>34</v>
      </c>
    </row>
    <row r="2855" spans="1:16" ht="15" customHeight="1" x14ac:dyDescent="0.4">
      <c r="A2855" t="s">
        <v>15</v>
      </c>
      <c r="B2855" t="s">
        <v>16</v>
      </c>
      <c r="C2855" s="13">
        <v>43101</v>
      </c>
      <c r="D2855" s="13">
        <v>43465</v>
      </c>
      <c r="E2855" t="s">
        <v>17</v>
      </c>
      <c r="F2855">
        <v>0</v>
      </c>
      <c r="G2855" t="s">
        <v>18</v>
      </c>
      <c r="H2855">
        <v>1</v>
      </c>
      <c r="I2855" t="s">
        <v>19</v>
      </c>
      <c r="J2855">
        <v>323</v>
      </c>
      <c r="K2855" t="s">
        <v>181</v>
      </c>
      <c r="L2855" s="13">
        <v>43403</v>
      </c>
      <c r="M2855" t="s">
        <v>1868</v>
      </c>
      <c r="N2855" t="s">
        <v>1818</v>
      </c>
      <c r="O2855">
        <v>146.80000000000001</v>
      </c>
      <c r="P2855" t="s">
        <v>34</v>
      </c>
    </row>
    <row r="2856" spans="1:16" ht="15" customHeight="1" x14ac:dyDescent="0.4">
      <c r="A2856" t="s">
        <v>15</v>
      </c>
      <c r="B2856" t="s">
        <v>16</v>
      </c>
      <c r="C2856" s="13">
        <v>43101</v>
      </c>
      <c r="D2856" s="13">
        <v>43465</v>
      </c>
      <c r="E2856" t="s">
        <v>17</v>
      </c>
      <c r="F2856">
        <v>0</v>
      </c>
      <c r="G2856" t="s">
        <v>18</v>
      </c>
      <c r="H2856">
        <v>1</v>
      </c>
      <c r="I2856" t="s">
        <v>19</v>
      </c>
      <c r="J2856">
        <v>323</v>
      </c>
      <c r="K2856" t="s">
        <v>181</v>
      </c>
      <c r="L2856" s="13">
        <v>43413</v>
      </c>
      <c r="M2856" t="s">
        <v>1869</v>
      </c>
      <c r="N2856" t="s">
        <v>731</v>
      </c>
      <c r="O2856">
        <v>-0.01</v>
      </c>
      <c r="P2856" t="s">
        <v>184</v>
      </c>
    </row>
    <row r="2857" spans="1:16" ht="15" customHeight="1" x14ac:dyDescent="0.4">
      <c r="A2857" t="s">
        <v>15</v>
      </c>
      <c r="B2857" t="s">
        <v>16</v>
      </c>
      <c r="C2857" s="13">
        <v>43101</v>
      </c>
      <c r="D2857" s="13">
        <v>43465</v>
      </c>
      <c r="E2857" t="s">
        <v>17</v>
      </c>
      <c r="F2857">
        <v>0</v>
      </c>
      <c r="G2857" t="s">
        <v>18</v>
      </c>
      <c r="H2857">
        <v>1</v>
      </c>
      <c r="I2857" t="s">
        <v>19</v>
      </c>
      <c r="J2857">
        <v>323</v>
      </c>
      <c r="K2857" t="s">
        <v>181</v>
      </c>
      <c r="L2857" s="13">
        <v>43434</v>
      </c>
      <c r="M2857" t="s">
        <v>1870</v>
      </c>
      <c r="N2857" t="s">
        <v>1820</v>
      </c>
      <c r="O2857">
        <v>143.83000000000001</v>
      </c>
      <c r="P2857" t="s">
        <v>34</v>
      </c>
    </row>
    <row r="2858" spans="1:16" ht="15" customHeight="1" x14ac:dyDescent="0.4">
      <c r="A2858" t="s">
        <v>15</v>
      </c>
      <c r="B2858" t="s">
        <v>16</v>
      </c>
      <c r="C2858" s="13">
        <v>43101</v>
      </c>
      <c r="D2858" s="13">
        <v>43465</v>
      </c>
      <c r="E2858" t="s">
        <v>17</v>
      </c>
      <c r="F2858">
        <v>0</v>
      </c>
      <c r="G2858" t="s">
        <v>18</v>
      </c>
      <c r="H2858">
        <v>1</v>
      </c>
      <c r="I2858" t="s">
        <v>19</v>
      </c>
      <c r="J2858">
        <v>323</v>
      </c>
      <c r="K2858" t="s">
        <v>181</v>
      </c>
      <c r="L2858" s="13">
        <v>43454</v>
      </c>
      <c r="M2858" t="s">
        <v>1871</v>
      </c>
      <c r="N2858" t="s">
        <v>1822</v>
      </c>
      <c r="O2858">
        <v>270.44</v>
      </c>
      <c r="P2858" t="s">
        <v>34</v>
      </c>
    </row>
    <row r="2859" spans="1:16" ht="15" customHeight="1" x14ac:dyDescent="0.4">
      <c r="A2859" t="s">
        <v>15</v>
      </c>
      <c r="B2859" t="s">
        <v>16</v>
      </c>
      <c r="C2859" s="13">
        <v>43101</v>
      </c>
      <c r="D2859" s="13">
        <v>43465</v>
      </c>
      <c r="E2859" t="s">
        <v>17</v>
      </c>
      <c r="F2859">
        <v>0</v>
      </c>
      <c r="G2859" t="s">
        <v>18</v>
      </c>
      <c r="H2859">
        <v>1</v>
      </c>
      <c r="I2859" t="s">
        <v>19</v>
      </c>
      <c r="J2859">
        <v>327</v>
      </c>
      <c r="K2859" t="s">
        <v>754</v>
      </c>
      <c r="L2859" s="13">
        <v>43101</v>
      </c>
      <c r="M2859" t="s">
        <v>1872</v>
      </c>
      <c r="N2859" t="s">
        <v>106</v>
      </c>
      <c r="O2859">
        <v>139.18</v>
      </c>
      <c r="P2859" t="s">
        <v>756</v>
      </c>
    </row>
    <row r="2860" spans="1:16" ht="15" customHeight="1" x14ac:dyDescent="0.4">
      <c r="A2860" t="s">
        <v>15</v>
      </c>
      <c r="B2860" t="s">
        <v>16</v>
      </c>
      <c r="C2860" s="13">
        <v>43101</v>
      </c>
      <c r="D2860" s="13">
        <v>43465</v>
      </c>
      <c r="E2860" t="s">
        <v>17</v>
      </c>
      <c r="F2860">
        <v>0</v>
      </c>
      <c r="G2860" t="s">
        <v>18</v>
      </c>
      <c r="H2860">
        <v>1</v>
      </c>
      <c r="I2860" t="s">
        <v>19</v>
      </c>
      <c r="J2860">
        <v>329</v>
      </c>
      <c r="K2860" t="s">
        <v>1873</v>
      </c>
      <c r="L2860" s="13">
        <v>43305</v>
      </c>
      <c r="M2860" t="s">
        <v>1874</v>
      </c>
      <c r="N2860" t="s">
        <v>1875</v>
      </c>
      <c r="O2860">
        <v>45</v>
      </c>
      <c r="P2860" t="s">
        <v>34</v>
      </c>
    </row>
    <row r="2861" spans="1:16" ht="15" customHeight="1" x14ac:dyDescent="0.4">
      <c r="A2861" t="s">
        <v>15</v>
      </c>
      <c r="B2861" t="s">
        <v>16</v>
      </c>
      <c r="C2861" s="13">
        <v>43101</v>
      </c>
      <c r="D2861" s="13">
        <v>43465</v>
      </c>
      <c r="E2861" t="s">
        <v>17</v>
      </c>
      <c r="F2861">
        <v>0</v>
      </c>
      <c r="G2861" t="s">
        <v>18</v>
      </c>
      <c r="H2861">
        <v>1</v>
      </c>
      <c r="I2861" t="s">
        <v>19</v>
      </c>
      <c r="J2861">
        <v>335</v>
      </c>
      <c r="K2861" t="s">
        <v>1876</v>
      </c>
      <c r="L2861" s="13">
        <v>43126</v>
      </c>
      <c r="M2861" t="s">
        <v>1877</v>
      </c>
      <c r="N2861" t="s">
        <v>659</v>
      </c>
      <c r="O2861">
        <v>87.6</v>
      </c>
      <c r="P2861" t="s">
        <v>103</v>
      </c>
    </row>
    <row r="2862" spans="1:16" ht="15" customHeight="1" x14ac:dyDescent="0.4">
      <c r="A2862" t="s">
        <v>15</v>
      </c>
      <c r="B2862" t="s">
        <v>16</v>
      </c>
      <c r="C2862" s="13">
        <v>43101</v>
      </c>
      <c r="D2862" s="13">
        <v>43465</v>
      </c>
      <c r="E2862" t="s">
        <v>17</v>
      </c>
      <c r="F2862">
        <v>0</v>
      </c>
      <c r="G2862" t="s">
        <v>18</v>
      </c>
      <c r="H2862">
        <v>1</v>
      </c>
      <c r="I2862" t="s">
        <v>19</v>
      </c>
      <c r="J2862">
        <v>337</v>
      </c>
      <c r="K2862" t="s">
        <v>203</v>
      </c>
      <c r="L2862" s="13">
        <v>43131</v>
      </c>
      <c r="M2862" t="s">
        <v>1878</v>
      </c>
      <c r="N2862" t="s">
        <v>1799</v>
      </c>
      <c r="O2862">
        <v>10.92</v>
      </c>
      <c r="P2862" t="s">
        <v>34</v>
      </c>
    </row>
    <row r="2863" spans="1:16" ht="15" customHeight="1" x14ac:dyDescent="0.4">
      <c r="A2863" t="s">
        <v>15</v>
      </c>
      <c r="B2863" t="s">
        <v>16</v>
      </c>
      <c r="C2863" s="13">
        <v>43101</v>
      </c>
      <c r="D2863" s="13">
        <v>43465</v>
      </c>
      <c r="E2863" t="s">
        <v>17</v>
      </c>
      <c r="F2863">
        <v>0</v>
      </c>
      <c r="G2863" t="s">
        <v>18</v>
      </c>
      <c r="H2863">
        <v>1</v>
      </c>
      <c r="I2863" t="s">
        <v>19</v>
      </c>
      <c r="J2863">
        <v>337</v>
      </c>
      <c r="K2863" t="s">
        <v>203</v>
      </c>
      <c r="L2863" s="13">
        <v>43131</v>
      </c>
      <c r="M2863" t="s">
        <v>1879</v>
      </c>
      <c r="N2863" t="s">
        <v>1799</v>
      </c>
      <c r="O2863">
        <v>34.67</v>
      </c>
      <c r="P2863" t="s">
        <v>34</v>
      </c>
    </row>
    <row r="2864" spans="1:16" ht="15" customHeight="1" x14ac:dyDescent="0.4">
      <c r="A2864" t="s">
        <v>15</v>
      </c>
      <c r="B2864" t="s">
        <v>16</v>
      </c>
      <c r="C2864" s="13">
        <v>43101</v>
      </c>
      <c r="D2864" s="13">
        <v>43465</v>
      </c>
      <c r="E2864" t="s">
        <v>17</v>
      </c>
      <c r="F2864">
        <v>0</v>
      </c>
      <c r="G2864" t="s">
        <v>18</v>
      </c>
      <c r="H2864">
        <v>1</v>
      </c>
      <c r="I2864" t="s">
        <v>19</v>
      </c>
      <c r="J2864">
        <v>337</v>
      </c>
      <c r="K2864" t="s">
        <v>203</v>
      </c>
      <c r="L2864" s="13">
        <v>43131</v>
      </c>
      <c r="M2864" t="s">
        <v>1880</v>
      </c>
      <c r="N2864" t="s">
        <v>1542</v>
      </c>
      <c r="O2864">
        <v>-0.01</v>
      </c>
      <c r="P2864" t="s">
        <v>205</v>
      </c>
    </row>
    <row r="2865" spans="1:16" ht="15" customHeight="1" x14ac:dyDescent="0.4">
      <c r="A2865" t="s">
        <v>15</v>
      </c>
      <c r="B2865" t="s">
        <v>16</v>
      </c>
      <c r="C2865" s="13">
        <v>43101</v>
      </c>
      <c r="D2865" s="13">
        <v>43465</v>
      </c>
      <c r="E2865" t="s">
        <v>17</v>
      </c>
      <c r="F2865">
        <v>0</v>
      </c>
      <c r="G2865" t="s">
        <v>18</v>
      </c>
      <c r="H2865">
        <v>1</v>
      </c>
      <c r="I2865" t="s">
        <v>19</v>
      </c>
      <c r="J2865">
        <v>337</v>
      </c>
      <c r="K2865" t="s">
        <v>203</v>
      </c>
      <c r="L2865" s="13">
        <v>43159</v>
      </c>
      <c r="M2865" t="s">
        <v>1881</v>
      </c>
      <c r="N2865" t="s">
        <v>1801</v>
      </c>
      <c r="O2865">
        <v>10.31</v>
      </c>
      <c r="P2865" t="s">
        <v>34</v>
      </c>
    </row>
    <row r="2866" spans="1:16" ht="15" customHeight="1" x14ac:dyDescent="0.4">
      <c r="A2866" t="s">
        <v>15</v>
      </c>
      <c r="B2866" t="s">
        <v>16</v>
      </c>
      <c r="C2866" s="13">
        <v>43101</v>
      </c>
      <c r="D2866" s="13">
        <v>43465</v>
      </c>
      <c r="E2866" t="s">
        <v>17</v>
      </c>
      <c r="F2866">
        <v>0</v>
      </c>
      <c r="G2866" t="s">
        <v>18</v>
      </c>
      <c r="H2866">
        <v>1</v>
      </c>
      <c r="I2866" t="s">
        <v>19</v>
      </c>
      <c r="J2866">
        <v>337</v>
      </c>
      <c r="K2866" t="s">
        <v>203</v>
      </c>
      <c r="L2866" s="13">
        <v>43159</v>
      </c>
      <c r="M2866" t="s">
        <v>1882</v>
      </c>
      <c r="N2866" t="s">
        <v>1542</v>
      </c>
      <c r="O2866">
        <v>-0.01</v>
      </c>
      <c r="P2866" t="s">
        <v>205</v>
      </c>
    </row>
    <row r="2867" spans="1:16" ht="15" customHeight="1" x14ac:dyDescent="0.4">
      <c r="A2867" t="s">
        <v>15</v>
      </c>
      <c r="B2867" t="s">
        <v>16</v>
      </c>
      <c r="C2867" s="13">
        <v>43101</v>
      </c>
      <c r="D2867" s="13">
        <v>43465</v>
      </c>
      <c r="E2867" t="s">
        <v>17</v>
      </c>
      <c r="F2867">
        <v>0</v>
      </c>
      <c r="G2867" t="s">
        <v>18</v>
      </c>
      <c r="H2867">
        <v>1</v>
      </c>
      <c r="I2867" t="s">
        <v>19</v>
      </c>
      <c r="J2867">
        <v>337</v>
      </c>
      <c r="K2867" t="s">
        <v>203</v>
      </c>
      <c r="L2867" s="13">
        <v>43159</v>
      </c>
      <c r="M2867" t="s">
        <v>1883</v>
      </c>
      <c r="N2867" t="s">
        <v>1801</v>
      </c>
      <c r="O2867">
        <v>34.67</v>
      </c>
      <c r="P2867" t="s">
        <v>34</v>
      </c>
    </row>
    <row r="2868" spans="1:16" ht="15" customHeight="1" x14ac:dyDescent="0.4">
      <c r="A2868" t="s">
        <v>15</v>
      </c>
      <c r="B2868" t="s">
        <v>16</v>
      </c>
      <c r="C2868" s="13">
        <v>43101</v>
      </c>
      <c r="D2868" s="13">
        <v>43465</v>
      </c>
      <c r="E2868" t="s">
        <v>17</v>
      </c>
      <c r="F2868">
        <v>0</v>
      </c>
      <c r="G2868" t="s">
        <v>18</v>
      </c>
      <c r="H2868">
        <v>1</v>
      </c>
      <c r="I2868" t="s">
        <v>19</v>
      </c>
      <c r="J2868">
        <v>337</v>
      </c>
      <c r="K2868" t="s">
        <v>203</v>
      </c>
      <c r="L2868" s="13">
        <v>43188</v>
      </c>
      <c r="M2868" t="s">
        <v>1884</v>
      </c>
      <c r="N2868" t="s">
        <v>1803</v>
      </c>
      <c r="O2868">
        <v>34.67</v>
      </c>
      <c r="P2868" t="s">
        <v>34</v>
      </c>
    </row>
    <row r="2869" spans="1:16" ht="15" customHeight="1" x14ac:dyDescent="0.4">
      <c r="A2869" t="s">
        <v>15</v>
      </c>
      <c r="B2869" t="s">
        <v>16</v>
      </c>
      <c r="C2869" s="13">
        <v>43101</v>
      </c>
      <c r="D2869" s="13">
        <v>43465</v>
      </c>
      <c r="E2869" t="s">
        <v>17</v>
      </c>
      <c r="F2869">
        <v>0</v>
      </c>
      <c r="G2869" t="s">
        <v>18</v>
      </c>
      <c r="H2869">
        <v>1</v>
      </c>
      <c r="I2869" t="s">
        <v>19</v>
      </c>
      <c r="J2869">
        <v>337</v>
      </c>
      <c r="K2869" t="s">
        <v>203</v>
      </c>
      <c r="L2869" s="13">
        <v>43188</v>
      </c>
      <c r="M2869" t="s">
        <v>1885</v>
      </c>
      <c r="N2869" t="s">
        <v>1803</v>
      </c>
      <c r="O2869">
        <v>0.91</v>
      </c>
      <c r="P2869" t="s">
        <v>34</v>
      </c>
    </row>
    <row r="2870" spans="1:16" ht="15" customHeight="1" x14ac:dyDescent="0.4">
      <c r="A2870" t="s">
        <v>15</v>
      </c>
      <c r="B2870" t="s">
        <v>16</v>
      </c>
      <c r="C2870" s="13">
        <v>43101</v>
      </c>
      <c r="D2870" s="13">
        <v>43465</v>
      </c>
      <c r="E2870" t="s">
        <v>17</v>
      </c>
      <c r="F2870">
        <v>0</v>
      </c>
      <c r="G2870" t="s">
        <v>18</v>
      </c>
      <c r="H2870">
        <v>1</v>
      </c>
      <c r="I2870" t="s">
        <v>19</v>
      </c>
      <c r="J2870">
        <v>337</v>
      </c>
      <c r="K2870" t="s">
        <v>203</v>
      </c>
      <c r="L2870" s="13">
        <v>43189</v>
      </c>
      <c r="M2870" t="s">
        <v>1886</v>
      </c>
      <c r="N2870" t="s">
        <v>1542</v>
      </c>
      <c r="O2870">
        <v>-0.01</v>
      </c>
      <c r="P2870" t="s">
        <v>1160</v>
      </c>
    </row>
    <row r="2871" spans="1:16" ht="15" customHeight="1" x14ac:dyDescent="0.4">
      <c r="A2871" t="s">
        <v>15</v>
      </c>
      <c r="B2871" t="s">
        <v>16</v>
      </c>
      <c r="C2871" s="13">
        <v>43101</v>
      </c>
      <c r="D2871" s="13">
        <v>43465</v>
      </c>
      <c r="E2871" t="s">
        <v>17</v>
      </c>
      <c r="F2871">
        <v>0</v>
      </c>
      <c r="G2871" t="s">
        <v>18</v>
      </c>
      <c r="H2871">
        <v>1</v>
      </c>
      <c r="I2871" t="s">
        <v>19</v>
      </c>
      <c r="J2871">
        <v>337</v>
      </c>
      <c r="K2871" t="s">
        <v>203</v>
      </c>
      <c r="L2871" s="13">
        <v>43216</v>
      </c>
      <c r="M2871" t="s">
        <v>1888</v>
      </c>
      <c r="N2871" t="s">
        <v>1806</v>
      </c>
      <c r="O2871">
        <v>34.67</v>
      </c>
      <c r="P2871" t="s">
        <v>34</v>
      </c>
    </row>
    <row r="2872" spans="1:16" ht="15" customHeight="1" x14ac:dyDescent="0.4">
      <c r="A2872" t="s">
        <v>15</v>
      </c>
      <c r="B2872" t="s">
        <v>16</v>
      </c>
      <c r="C2872" s="13">
        <v>43101</v>
      </c>
      <c r="D2872" s="13">
        <v>43465</v>
      </c>
      <c r="E2872" t="s">
        <v>17</v>
      </c>
      <c r="F2872">
        <v>0</v>
      </c>
      <c r="G2872" t="s">
        <v>18</v>
      </c>
      <c r="H2872">
        <v>1</v>
      </c>
      <c r="I2872" t="s">
        <v>19</v>
      </c>
      <c r="J2872">
        <v>337</v>
      </c>
      <c r="K2872" t="s">
        <v>203</v>
      </c>
      <c r="L2872" s="13">
        <v>43216</v>
      </c>
      <c r="M2872" t="s">
        <v>1887</v>
      </c>
      <c r="N2872" t="s">
        <v>1806</v>
      </c>
      <c r="O2872">
        <v>16.11</v>
      </c>
      <c r="P2872" t="s">
        <v>34</v>
      </c>
    </row>
    <row r="2873" spans="1:16" ht="15" customHeight="1" x14ac:dyDescent="0.4">
      <c r="A2873" t="s">
        <v>15</v>
      </c>
      <c r="B2873" t="s">
        <v>16</v>
      </c>
      <c r="C2873" s="13">
        <v>43101</v>
      </c>
      <c r="D2873" s="13">
        <v>43465</v>
      </c>
      <c r="E2873" t="s">
        <v>17</v>
      </c>
      <c r="F2873">
        <v>0</v>
      </c>
      <c r="G2873" t="s">
        <v>18</v>
      </c>
      <c r="H2873">
        <v>1</v>
      </c>
      <c r="I2873" t="s">
        <v>19</v>
      </c>
      <c r="J2873">
        <v>337</v>
      </c>
      <c r="K2873" t="s">
        <v>203</v>
      </c>
      <c r="L2873" s="13">
        <v>43220</v>
      </c>
      <c r="M2873" t="s">
        <v>1890</v>
      </c>
      <c r="N2873" t="s">
        <v>1542</v>
      </c>
      <c r="O2873">
        <v>-0.01</v>
      </c>
      <c r="P2873" t="s">
        <v>1160</v>
      </c>
    </row>
    <row r="2874" spans="1:16" ht="15" customHeight="1" x14ac:dyDescent="0.4">
      <c r="A2874" t="s">
        <v>15</v>
      </c>
      <c r="B2874" t="s">
        <v>16</v>
      </c>
      <c r="C2874" s="13">
        <v>43101</v>
      </c>
      <c r="D2874" s="13">
        <v>43465</v>
      </c>
      <c r="E2874" t="s">
        <v>17</v>
      </c>
      <c r="F2874">
        <v>0</v>
      </c>
      <c r="G2874" t="s">
        <v>18</v>
      </c>
      <c r="H2874">
        <v>1</v>
      </c>
      <c r="I2874" t="s">
        <v>19</v>
      </c>
      <c r="J2874">
        <v>337</v>
      </c>
      <c r="K2874" t="s">
        <v>203</v>
      </c>
      <c r="L2874" s="13">
        <v>43220</v>
      </c>
      <c r="M2874" t="s">
        <v>1889</v>
      </c>
      <c r="N2874" t="s">
        <v>1547</v>
      </c>
      <c r="O2874">
        <v>-0.01</v>
      </c>
      <c r="P2874" t="s">
        <v>205</v>
      </c>
    </row>
    <row r="2875" spans="1:16" ht="15" customHeight="1" x14ac:dyDescent="0.4">
      <c r="A2875" t="s">
        <v>15</v>
      </c>
      <c r="B2875" t="s">
        <v>16</v>
      </c>
      <c r="C2875" s="13">
        <v>43101</v>
      </c>
      <c r="D2875" s="13">
        <v>43465</v>
      </c>
      <c r="E2875" t="s">
        <v>17</v>
      </c>
      <c r="F2875">
        <v>0</v>
      </c>
      <c r="G2875" t="s">
        <v>18</v>
      </c>
      <c r="H2875">
        <v>1</v>
      </c>
      <c r="I2875" t="s">
        <v>19</v>
      </c>
      <c r="J2875">
        <v>337</v>
      </c>
      <c r="K2875" t="s">
        <v>203</v>
      </c>
      <c r="L2875" s="13">
        <v>43249</v>
      </c>
      <c r="M2875" t="s">
        <v>1891</v>
      </c>
      <c r="N2875" t="s">
        <v>1808</v>
      </c>
      <c r="O2875">
        <v>11.16</v>
      </c>
      <c r="P2875" t="s">
        <v>34</v>
      </c>
    </row>
    <row r="2876" spans="1:16" ht="15" customHeight="1" x14ac:dyDescent="0.4">
      <c r="A2876" t="s">
        <v>15</v>
      </c>
      <c r="B2876" t="s">
        <v>16</v>
      </c>
      <c r="C2876" s="13">
        <v>43101</v>
      </c>
      <c r="D2876" s="13">
        <v>43465</v>
      </c>
      <c r="E2876" t="s">
        <v>17</v>
      </c>
      <c r="F2876">
        <v>0</v>
      </c>
      <c r="G2876" t="s">
        <v>18</v>
      </c>
      <c r="H2876">
        <v>1</v>
      </c>
      <c r="I2876" t="s">
        <v>19</v>
      </c>
      <c r="J2876">
        <v>337</v>
      </c>
      <c r="K2876" t="s">
        <v>203</v>
      </c>
      <c r="L2876" s="13">
        <v>43249</v>
      </c>
      <c r="M2876" t="s">
        <v>1892</v>
      </c>
      <c r="N2876" t="s">
        <v>1808</v>
      </c>
      <c r="O2876">
        <v>34.67</v>
      </c>
      <c r="P2876" t="s">
        <v>34</v>
      </c>
    </row>
    <row r="2877" spans="1:16" ht="15" customHeight="1" x14ac:dyDescent="0.4">
      <c r="A2877" t="s">
        <v>15</v>
      </c>
      <c r="B2877" t="s">
        <v>16</v>
      </c>
      <c r="C2877" s="13">
        <v>43101</v>
      </c>
      <c r="D2877" s="13">
        <v>43465</v>
      </c>
      <c r="E2877" t="s">
        <v>17</v>
      </c>
      <c r="F2877">
        <v>0</v>
      </c>
      <c r="G2877" t="s">
        <v>18</v>
      </c>
      <c r="H2877">
        <v>1</v>
      </c>
      <c r="I2877" t="s">
        <v>19</v>
      </c>
      <c r="J2877">
        <v>337</v>
      </c>
      <c r="K2877" t="s">
        <v>203</v>
      </c>
      <c r="L2877" s="13">
        <v>43250</v>
      </c>
      <c r="M2877" t="s">
        <v>1893</v>
      </c>
      <c r="N2877" t="s">
        <v>1547</v>
      </c>
      <c r="O2877">
        <v>0.01</v>
      </c>
      <c r="P2877" t="s">
        <v>205</v>
      </c>
    </row>
    <row r="2878" spans="1:16" ht="15" customHeight="1" x14ac:dyDescent="0.4">
      <c r="A2878" t="s">
        <v>15</v>
      </c>
      <c r="B2878" t="s">
        <v>16</v>
      </c>
      <c r="C2878" s="13">
        <v>43101</v>
      </c>
      <c r="D2878" s="13">
        <v>43465</v>
      </c>
      <c r="E2878" t="s">
        <v>17</v>
      </c>
      <c r="F2878">
        <v>0</v>
      </c>
      <c r="G2878" t="s">
        <v>18</v>
      </c>
      <c r="H2878">
        <v>1</v>
      </c>
      <c r="I2878" t="s">
        <v>19</v>
      </c>
      <c r="J2878">
        <v>337</v>
      </c>
      <c r="K2878" t="s">
        <v>203</v>
      </c>
      <c r="L2878" s="13">
        <v>43250</v>
      </c>
      <c r="M2878" t="s">
        <v>1894</v>
      </c>
      <c r="N2878" t="s">
        <v>1542</v>
      </c>
      <c r="O2878">
        <v>-0.01</v>
      </c>
      <c r="P2878" t="s">
        <v>1160</v>
      </c>
    </row>
    <row r="2879" spans="1:16" ht="15" customHeight="1" x14ac:dyDescent="0.4">
      <c r="A2879" t="s">
        <v>15</v>
      </c>
      <c r="B2879" t="s">
        <v>16</v>
      </c>
      <c r="C2879" s="13">
        <v>43101</v>
      </c>
      <c r="D2879" s="13">
        <v>43465</v>
      </c>
      <c r="E2879" t="s">
        <v>17</v>
      </c>
      <c r="F2879">
        <v>0</v>
      </c>
      <c r="G2879" t="s">
        <v>18</v>
      </c>
      <c r="H2879">
        <v>1</v>
      </c>
      <c r="I2879" t="s">
        <v>19</v>
      </c>
      <c r="J2879">
        <v>337</v>
      </c>
      <c r="K2879" t="s">
        <v>203</v>
      </c>
      <c r="L2879" s="13">
        <v>43279</v>
      </c>
      <c r="M2879" t="s">
        <v>1895</v>
      </c>
      <c r="N2879" t="s">
        <v>1810</v>
      </c>
      <c r="O2879">
        <v>34.67</v>
      </c>
      <c r="P2879" t="s">
        <v>34</v>
      </c>
    </row>
    <row r="2880" spans="1:16" ht="15" customHeight="1" x14ac:dyDescent="0.4">
      <c r="A2880" t="s">
        <v>15</v>
      </c>
      <c r="B2880" t="s">
        <v>16</v>
      </c>
      <c r="C2880" s="13">
        <v>43101</v>
      </c>
      <c r="D2880" s="13">
        <v>43465</v>
      </c>
      <c r="E2880" t="s">
        <v>17</v>
      </c>
      <c r="F2880">
        <v>0</v>
      </c>
      <c r="G2880" t="s">
        <v>18</v>
      </c>
      <c r="H2880">
        <v>1</v>
      </c>
      <c r="I2880" t="s">
        <v>19</v>
      </c>
      <c r="J2880">
        <v>337</v>
      </c>
      <c r="K2880" t="s">
        <v>203</v>
      </c>
      <c r="L2880" s="13">
        <v>43279</v>
      </c>
      <c r="M2880" t="s">
        <v>1896</v>
      </c>
      <c r="N2880" t="s">
        <v>1810</v>
      </c>
      <c r="O2880">
        <v>11.16</v>
      </c>
      <c r="P2880" t="s">
        <v>34</v>
      </c>
    </row>
    <row r="2881" spans="1:16" ht="15" customHeight="1" x14ac:dyDescent="0.4">
      <c r="A2881" t="s">
        <v>15</v>
      </c>
      <c r="B2881" t="s">
        <v>16</v>
      </c>
      <c r="C2881" s="13">
        <v>43101</v>
      </c>
      <c r="D2881" s="13">
        <v>43465</v>
      </c>
      <c r="E2881" t="s">
        <v>17</v>
      </c>
      <c r="F2881">
        <v>0</v>
      </c>
      <c r="G2881" t="s">
        <v>18</v>
      </c>
      <c r="H2881">
        <v>1</v>
      </c>
      <c r="I2881" t="s">
        <v>19</v>
      </c>
      <c r="J2881">
        <v>337</v>
      </c>
      <c r="K2881" t="s">
        <v>203</v>
      </c>
      <c r="L2881" s="13">
        <v>43281</v>
      </c>
      <c r="M2881" t="s">
        <v>1897</v>
      </c>
      <c r="N2881" t="s">
        <v>1542</v>
      </c>
      <c r="O2881">
        <v>-0.01</v>
      </c>
      <c r="P2881" t="s">
        <v>1160</v>
      </c>
    </row>
    <row r="2882" spans="1:16" ht="15" customHeight="1" x14ac:dyDescent="0.4">
      <c r="A2882" t="s">
        <v>15</v>
      </c>
      <c r="B2882" t="s">
        <v>16</v>
      </c>
      <c r="C2882" s="13">
        <v>43101</v>
      </c>
      <c r="D2882" s="13">
        <v>43465</v>
      </c>
      <c r="E2882" t="s">
        <v>17</v>
      </c>
      <c r="F2882">
        <v>0</v>
      </c>
      <c r="G2882" t="s">
        <v>18</v>
      </c>
      <c r="H2882">
        <v>1</v>
      </c>
      <c r="I2882" t="s">
        <v>19</v>
      </c>
      <c r="J2882">
        <v>337</v>
      </c>
      <c r="K2882" t="s">
        <v>203</v>
      </c>
      <c r="L2882" s="13">
        <v>43281</v>
      </c>
      <c r="M2882" t="s">
        <v>1898</v>
      </c>
      <c r="N2882" t="s">
        <v>1547</v>
      </c>
      <c r="O2882">
        <v>0.01</v>
      </c>
      <c r="P2882" t="s">
        <v>205</v>
      </c>
    </row>
    <row r="2883" spans="1:16" ht="15" customHeight="1" x14ac:dyDescent="0.4">
      <c r="A2883" t="s">
        <v>15</v>
      </c>
      <c r="B2883" t="s">
        <v>16</v>
      </c>
      <c r="C2883" s="13">
        <v>43101</v>
      </c>
      <c r="D2883" s="13">
        <v>43465</v>
      </c>
      <c r="E2883" t="s">
        <v>17</v>
      </c>
      <c r="F2883">
        <v>0</v>
      </c>
      <c r="G2883" t="s">
        <v>18</v>
      </c>
      <c r="H2883">
        <v>1</v>
      </c>
      <c r="I2883" t="s">
        <v>19</v>
      </c>
      <c r="J2883">
        <v>337</v>
      </c>
      <c r="K2883" t="s">
        <v>203</v>
      </c>
      <c r="L2883" s="13">
        <v>43307</v>
      </c>
      <c r="M2883" t="s">
        <v>1899</v>
      </c>
      <c r="N2883" t="s">
        <v>1812</v>
      </c>
      <c r="O2883">
        <v>34.67</v>
      </c>
      <c r="P2883" t="s">
        <v>34</v>
      </c>
    </row>
    <row r="2884" spans="1:16" ht="15" customHeight="1" x14ac:dyDescent="0.4">
      <c r="A2884" t="s">
        <v>15</v>
      </c>
      <c r="B2884" t="s">
        <v>16</v>
      </c>
      <c r="C2884" s="13">
        <v>43101</v>
      </c>
      <c r="D2884" s="13">
        <v>43465</v>
      </c>
      <c r="E2884" t="s">
        <v>17</v>
      </c>
      <c r="F2884">
        <v>0</v>
      </c>
      <c r="G2884" t="s">
        <v>18</v>
      </c>
      <c r="H2884">
        <v>1</v>
      </c>
      <c r="I2884" t="s">
        <v>19</v>
      </c>
      <c r="J2884">
        <v>337</v>
      </c>
      <c r="K2884" t="s">
        <v>203</v>
      </c>
      <c r="L2884" s="13">
        <v>43307</v>
      </c>
      <c r="M2884" t="s">
        <v>1900</v>
      </c>
      <c r="N2884" t="s">
        <v>1812</v>
      </c>
      <c r="O2884">
        <v>11.19</v>
      </c>
      <c r="P2884" t="s">
        <v>34</v>
      </c>
    </row>
    <row r="2885" spans="1:16" ht="15" customHeight="1" x14ac:dyDescent="0.4">
      <c r="A2885" t="s">
        <v>15</v>
      </c>
      <c r="B2885" t="s">
        <v>16</v>
      </c>
      <c r="C2885" s="13">
        <v>43101</v>
      </c>
      <c r="D2885" s="13">
        <v>43465</v>
      </c>
      <c r="E2885" t="s">
        <v>17</v>
      </c>
      <c r="F2885">
        <v>0</v>
      </c>
      <c r="G2885" t="s">
        <v>18</v>
      </c>
      <c r="H2885">
        <v>1</v>
      </c>
      <c r="I2885" t="s">
        <v>19</v>
      </c>
      <c r="J2885">
        <v>337</v>
      </c>
      <c r="K2885" t="s">
        <v>203</v>
      </c>
      <c r="L2885" s="13">
        <v>43312</v>
      </c>
      <c r="M2885" t="s">
        <v>1901</v>
      </c>
      <c r="N2885" t="s">
        <v>1542</v>
      </c>
      <c r="O2885">
        <v>-0.01</v>
      </c>
      <c r="P2885" t="s">
        <v>1160</v>
      </c>
    </row>
    <row r="2886" spans="1:16" ht="15" customHeight="1" x14ac:dyDescent="0.4">
      <c r="A2886" t="s">
        <v>15</v>
      </c>
      <c r="B2886" t="s">
        <v>16</v>
      </c>
      <c r="C2886" s="13">
        <v>43101</v>
      </c>
      <c r="D2886" s="13">
        <v>43465</v>
      </c>
      <c r="E2886" t="s">
        <v>17</v>
      </c>
      <c r="F2886">
        <v>0</v>
      </c>
      <c r="G2886" t="s">
        <v>18</v>
      </c>
      <c r="H2886">
        <v>1</v>
      </c>
      <c r="I2886" t="s">
        <v>19</v>
      </c>
      <c r="J2886">
        <v>337</v>
      </c>
      <c r="K2886" t="s">
        <v>203</v>
      </c>
      <c r="L2886" s="13">
        <v>43342</v>
      </c>
      <c r="M2886" t="s">
        <v>1902</v>
      </c>
      <c r="N2886" t="s">
        <v>1814</v>
      </c>
      <c r="O2886">
        <v>34.67</v>
      </c>
      <c r="P2886" t="s">
        <v>34</v>
      </c>
    </row>
    <row r="2887" spans="1:16" ht="15" customHeight="1" x14ac:dyDescent="0.4">
      <c r="A2887" t="s">
        <v>15</v>
      </c>
      <c r="B2887" t="s">
        <v>16</v>
      </c>
      <c r="C2887" s="13">
        <v>43101</v>
      </c>
      <c r="D2887" s="13">
        <v>43465</v>
      </c>
      <c r="E2887" t="s">
        <v>17</v>
      </c>
      <c r="F2887">
        <v>0</v>
      </c>
      <c r="G2887" t="s">
        <v>18</v>
      </c>
      <c r="H2887">
        <v>1</v>
      </c>
      <c r="I2887" t="s">
        <v>19</v>
      </c>
      <c r="J2887">
        <v>337</v>
      </c>
      <c r="K2887" t="s">
        <v>203</v>
      </c>
      <c r="L2887" s="13">
        <v>43342</v>
      </c>
      <c r="M2887" t="s">
        <v>1903</v>
      </c>
      <c r="N2887" t="s">
        <v>1814</v>
      </c>
      <c r="O2887">
        <v>11.16</v>
      </c>
      <c r="P2887" t="s">
        <v>34</v>
      </c>
    </row>
    <row r="2888" spans="1:16" ht="15" customHeight="1" x14ac:dyDescent="0.4">
      <c r="A2888" t="s">
        <v>15</v>
      </c>
      <c r="B2888" t="s">
        <v>16</v>
      </c>
      <c r="C2888" s="13">
        <v>43101</v>
      </c>
      <c r="D2888" s="13">
        <v>43465</v>
      </c>
      <c r="E2888" t="s">
        <v>17</v>
      </c>
      <c r="F2888">
        <v>0</v>
      </c>
      <c r="G2888" t="s">
        <v>18</v>
      </c>
      <c r="H2888">
        <v>1</v>
      </c>
      <c r="I2888" t="s">
        <v>19</v>
      </c>
      <c r="J2888">
        <v>337</v>
      </c>
      <c r="K2888" t="s">
        <v>203</v>
      </c>
      <c r="L2888" s="13">
        <v>43343</v>
      </c>
      <c r="M2888" t="s">
        <v>1904</v>
      </c>
      <c r="N2888" t="s">
        <v>1542</v>
      </c>
      <c r="O2888">
        <v>-0.01</v>
      </c>
      <c r="P2888" t="s">
        <v>1160</v>
      </c>
    </row>
    <row r="2889" spans="1:16" ht="15" customHeight="1" x14ac:dyDescent="0.4">
      <c r="A2889" t="s">
        <v>15</v>
      </c>
      <c r="B2889" t="s">
        <v>16</v>
      </c>
      <c r="C2889" s="13">
        <v>43101</v>
      </c>
      <c r="D2889" s="13">
        <v>43465</v>
      </c>
      <c r="E2889" t="s">
        <v>17</v>
      </c>
      <c r="F2889">
        <v>0</v>
      </c>
      <c r="G2889" t="s">
        <v>18</v>
      </c>
      <c r="H2889">
        <v>1</v>
      </c>
      <c r="I2889" t="s">
        <v>19</v>
      </c>
      <c r="J2889">
        <v>337</v>
      </c>
      <c r="K2889" t="s">
        <v>203</v>
      </c>
      <c r="L2889" s="13">
        <v>43343</v>
      </c>
      <c r="M2889" t="s">
        <v>1905</v>
      </c>
      <c r="N2889" t="s">
        <v>1547</v>
      </c>
      <c r="O2889">
        <v>0.01</v>
      </c>
      <c r="P2889" t="s">
        <v>205</v>
      </c>
    </row>
    <row r="2890" spans="1:16" ht="15" customHeight="1" x14ac:dyDescent="0.4">
      <c r="A2890" t="s">
        <v>15</v>
      </c>
      <c r="B2890" t="s">
        <v>16</v>
      </c>
      <c r="C2890" s="13">
        <v>43101</v>
      </c>
      <c r="D2890" s="13">
        <v>43465</v>
      </c>
      <c r="E2890" t="s">
        <v>17</v>
      </c>
      <c r="F2890">
        <v>0</v>
      </c>
      <c r="G2890" t="s">
        <v>18</v>
      </c>
      <c r="H2890">
        <v>1</v>
      </c>
      <c r="I2890" t="s">
        <v>19</v>
      </c>
      <c r="J2890">
        <v>337</v>
      </c>
      <c r="K2890" t="s">
        <v>203</v>
      </c>
      <c r="L2890" s="13">
        <v>43369</v>
      </c>
      <c r="M2890" t="s">
        <v>1906</v>
      </c>
      <c r="N2890" t="s">
        <v>1816</v>
      </c>
      <c r="O2890">
        <v>11.16</v>
      </c>
      <c r="P2890" t="s">
        <v>34</v>
      </c>
    </row>
    <row r="2891" spans="1:16" ht="15" customHeight="1" x14ac:dyDescent="0.4">
      <c r="A2891" t="s">
        <v>15</v>
      </c>
      <c r="B2891" t="s">
        <v>16</v>
      </c>
      <c r="C2891" s="13">
        <v>43101</v>
      </c>
      <c r="D2891" s="13">
        <v>43465</v>
      </c>
      <c r="E2891" t="s">
        <v>17</v>
      </c>
      <c r="F2891">
        <v>0</v>
      </c>
      <c r="G2891" t="s">
        <v>18</v>
      </c>
      <c r="H2891">
        <v>1</v>
      </c>
      <c r="I2891" t="s">
        <v>19</v>
      </c>
      <c r="J2891">
        <v>337</v>
      </c>
      <c r="K2891" t="s">
        <v>203</v>
      </c>
      <c r="L2891" s="13">
        <v>43369</v>
      </c>
      <c r="M2891" t="s">
        <v>1907</v>
      </c>
      <c r="N2891" t="s">
        <v>1816</v>
      </c>
      <c r="O2891">
        <v>34.67</v>
      </c>
      <c r="P2891" t="s">
        <v>34</v>
      </c>
    </row>
    <row r="2892" spans="1:16" ht="15" customHeight="1" x14ac:dyDescent="0.4">
      <c r="A2892" t="s">
        <v>15</v>
      </c>
      <c r="B2892" t="s">
        <v>16</v>
      </c>
      <c r="C2892" s="13">
        <v>43101</v>
      </c>
      <c r="D2892" s="13">
        <v>43465</v>
      </c>
      <c r="E2892" t="s">
        <v>17</v>
      </c>
      <c r="F2892">
        <v>0</v>
      </c>
      <c r="G2892" t="s">
        <v>18</v>
      </c>
      <c r="H2892">
        <v>1</v>
      </c>
      <c r="I2892" t="s">
        <v>19</v>
      </c>
      <c r="J2892">
        <v>337</v>
      </c>
      <c r="K2892" t="s">
        <v>203</v>
      </c>
      <c r="L2892" s="13">
        <v>43373</v>
      </c>
      <c r="M2892" t="s">
        <v>1908</v>
      </c>
      <c r="N2892" t="s">
        <v>1547</v>
      </c>
      <c r="O2892">
        <v>0.01</v>
      </c>
      <c r="P2892" t="s">
        <v>205</v>
      </c>
    </row>
    <row r="2893" spans="1:16" ht="15" customHeight="1" x14ac:dyDescent="0.4">
      <c r="A2893" t="s">
        <v>15</v>
      </c>
      <c r="B2893" t="s">
        <v>16</v>
      </c>
      <c r="C2893" s="13">
        <v>43101</v>
      </c>
      <c r="D2893" s="13">
        <v>43465</v>
      </c>
      <c r="E2893" t="s">
        <v>17</v>
      </c>
      <c r="F2893">
        <v>0</v>
      </c>
      <c r="G2893" t="s">
        <v>18</v>
      </c>
      <c r="H2893">
        <v>1</v>
      </c>
      <c r="I2893" t="s">
        <v>19</v>
      </c>
      <c r="J2893">
        <v>337</v>
      </c>
      <c r="K2893" t="s">
        <v>203</v>
      </c>
      <c r="L2893" s="13">
        <v>43373</v>
      </c>
      <c r="M2893" t="s">
        <v>1909</v>
      </c>
      <c r="N2893" t="s">
        <v>1542</v>
      </c>
      <c r="O2893">
        <v>-0.01</v>
      </c>
      <c r="P2893" t="s">
        <v>1160</v>
      </c>
    </row>
    <row r="2894" spans="1:16" ht="15" customHeight="1" x14ac:dyDescent="0.4">
      <c r="A2894" t="s">
        <v>15</v>
      </c>
      <c r="B2894" t="s">
        <v>16</v>
      </c>
      <c r="C2894" s="13">
        <v>43101</v>
      </c>
      <c r="D2894" s="13">
        <v>43465</v>
      </c>
      <c r="E2894" t="s">
        <v>17</v>
      </c>
      <c r="F2894">
        <v>0</v>
      </c>
      <c r="G2894" t="s">
        <v>18</v>
      </c>
      <c r="H2894">
        <v>1</v>
      </c>
      <c r="I2894" t="s">
        <v>19</v>
      </c>
      <c r="J2894">
        <v>337</v>
      </c>
      <c r="K2894" t="s">
        <v>203</v>
      </c>
      <c r="L2894" s="13">
        <v>43403</v>
      </c>
      <c r="M2894" t="s">
        <v>1911</v>
      </c>
      <c r="N2894" t="s">
        <v>1818</v>
      </c>
      <c r="O2894">
        <v>34.67</v>
      </c>
      <c r="P2894" t="s">
        <v>34</v>
      </c>
    </row>
    <row r="2895" spans="1:16" ht="15" customHeight="1" x14ac:dyDescent="0.4">
      <c r="A2895" t="s">
        <v>15</v>
      </c>
      <c r="B2895" t="s">
        <v>16</v>
      </c>
      <c r="C2895" s="13">
        <v>43101</v>
      </c>
      <c r="D2895" s="13">
        <v>43465</v>
      </c>
      <c r="E2895" t="s">
        <v>17</v>
      </c>
      <c r="F2895">
        <v>0</v>
      </c>
      <c r="G2895" t="s">
        <v>18</v>
      </c>
      <c r="H2895">
        <v>1</v>
      </c>
      <c r="I2895" t="s">
        <v>19</v>
      </c>
      <c r="J2895">
        <v>337</v>
      </c>
      <c r="K2895" t="s">
        <v>203</v>
      </c>
      <c r="L2895" s="13">
        <v>43403</v>
      </c>
      <c r="M2895" t="s">
        <v>1910</v>
      </c>
      <c r="N2895" t="s">
        <v>1818</v>
      </c>
      <c r="O2895">
        <v>11.39</v>
      </c>
      <c r="P2895" t="s">
        <v>34</v>
      </c>
    </row>
    <row r="2896" spans="1:16" ht="15" customHeight="1" x14ac:dyDescent="0.4">
      <c r="A2896" t="s">
        <v>15</v>
      </c>
      <c r="B2896" t="s">
        <v>16</v>
      </c>
      <c r="C2896" s="13">
        <v>43101</v>
      </c>
      <c r="D2896" s="13">
        <v>43465</v>
      </c>
      <c r="E2896" t="s">
        <v>17</v>
      </c>
      <c r="F2896">
        <v>0</v>
      </c>
      <c r="G2896" t="s">
        <v>18</v>
      </c>
      <c r="H2896">
        <v>1</v>
      </c>
      <c r="I2896" t="s">
        <v>19</v>
      </c>
      <c r="J2896">
        <v>337</v>
      </c>
      <c r="K2896" t="s">
        <v>203</v>
      </c>
      <c r="L2896" s="13">
        <v>43413</v>
      </c>
      <c r="M2896" t="s">
        <v>1912</v>
      </c>
      <c r="N2896" t="s">
        <v>1547</v>
      </c>
      <c r="O2896">
        <v>0.01</v>
      </c>
      <c r="P2896" t="s">
        <v>205</v>
      </c>
    </row>
    <row r="2897" spans="1:16" ht="15" customHeight="1" x14ac:dyDescent="0.4">
      <c r="A2897" t="s">
        <v>15</v>
      </c>
      <c r="B2897" t="s">
        <v>16</v>
      </c>
      <c r="C2897" s="13">
        <v>43101</v>
      </c>
      <c r="D2897" s="13">
        <v>43465</v>
      </c>
      <c r="E2897" t="s">
        <v>17</v>
      </c>
      <c r="F2897">
        <v>0</v>
      </c>
      <c r="G2897" t="s">
        <v>18</v>
      </c>
      <c r="H2897">
        <v>1</v>
      </c>
      <c r="I2897" t="s">
        <v>19</v>
      </c>
      <c r="J2897">
        <v>337</v>
      </c>
      <c r="K2897" t="s">
        <v>203</v>
      </c>
      <c r="L2897" s="13">
        <v>43413</v>
      </c>
      <c r="M2897" t="s">
        <v>1913</v>
      </c>
      <c r="N2897" t="s">
        <v>1542</v>
      </c>
      <c r="O2897">
        <v>-0.01</v>
      </c>
      <c r="P2897" t="s">
        <v>1160</v>
      </c>
    </row>
    <row r="2898" spans="1:16" ht="15" customHeight="1" x14ac:dyDescent="0.4">
      <c r="A2898" t="s">
        <v>15</v>
      </c>
      <c r="B2898" t="s">
        <v>16</v>
      </c>
      <c r="C2898" s="13">
        <v>43101</v>
      </c>
      <c r="D2898" s="13">
        <v>43465</v>
      </c>
      <c r="E2898" t="s">
        <v>17</v>
      </c>
      <c r="F2898">
        <v>0</v>
      </c>
      <c r="G2898" t="s">
        <v>18</v>
      </c>
      <c r="H2898">
        <v>1</v>
      </c>
      <c r="I2898" t="s">
        <v>19</v>
      </c>
      <c r="J2898">
        <v>337</v>
      </c>
      <c r="K2898" t="s">
        <v>203</v>
      </c>
      <c r="L2898" s="13">
        <v>43434</v>
      </c>
      <c r="M2898" t="s">
        <v>1914</v>
      </c>
      <c r="N2898" t="s">
        <v>1820</v>
      </c>
      <c r="O2898">
        <v>34.67</v>
      </c>
      <c r="P2898" t="s">
        <v>34</v>
      </c>
    </row>
    <row r="2899" spans="1:16" ht="15" customHeight="1" x14ac:dyDescent="0.4">
      <c r="A2899" t="s">
        <v>15</v>
      </c>
      <c r="B2899" t="s">
        <v>16</v>
      </c>
      <c r="C2899" s="13">
        <v>43101</v>
      </c>
      <c r="D2899" s="13">
        <v>43465</v>
      </c>
      <c r="E2899" t="s">
        <v>17</v>
      </c>
      <c r="F2899">
        <v>0</v>
      </c>
      <c r="G2899" t="s">
        <v>18</v>
      </c>
      <c r="H2899">
        <v>1</v>
      </c>
      <c r="I2899" t="s">
        <v>19</v>
      </c>
      <c r="J2899">
        <v>337</v>
      </c>
      <c r="K2899" t="s">
        <v>203</v>
      </c>
      <c r="L2899" s="13">
        <v>43434</v>
      </c>
      <c r="M2899" t="s">
        <v>1915</v>
      </c>
      <c r="N2899" t="s">
        <v>1820</v>
      </c>
      <c r="O2899">
        <v>11.16</v>
      </c>
      <c r="P2899" t="s">
        <v>34</v>
      </c>
    </row>
    <row r="2900" spans="1:16" ht="15" customHeight="1" x14ac:dyDescent="0.4">
      <c r="A2900" t="s">
        <v>15</v>
      </c>
      <c r="B2900" t="s">
        <v>16</v>
      </c>
      <c r="C2900" s="13">
        <v>43101</v>
      </c>
      <c r="D2900" s="13">
        <v>43465</v>
      </c>
      <c r="E2900" t="s">
        <v>17</v>
      </c>
      <c r="F2900">
        <v>0</v>
      </c>
      <c r="G2900" t="s">
        <v>18</v>
      </c>
      <c r="H2900">
        <v>1</v>
      </c>
      <c r="I2900" t="s">
        <v>19</v>
      </c>
      <c r="J2900">
        <v>337</v>
      </c>
      <c r="K2900" t="s">
        <v>203</v>
      </c>
      <c r="L2900" s="13">
        <v>43440</v>
      </c>
      <c r="M2900" t="s">
        <v>1916</v>
      </c>
      <c r="N2900" t="s">
        <v>1542</v>
      </c>
      <c r="O2900">
        <v>-0.01</v>
      </c>
      <c r="P2900" t="s">
        <v>1160</v>
      </c>
    </row>
    <row r="2901" spans="1:16" ht="15" customHeight="1" x14ac:dyDescent="0.4">
      <c r="A2901" t="s">
        <v>15</v>
      </c>
      <c r="B2901" t="s">
        <v>16</v>
      </c>
      <c r="C2901" s="13">
        <v>43101</v>
      </c>
      <c r="D2901" s="13">
        <v>43465</v>
      </c>
      <c r="E2901" t="s">
        <v>17</v>
      </c>
      <c r="F2901">
        <v>0</v>
      </c>
      <c r="G2901" t="s">
        <v>18</v>
      </c>
      <c r="H2901">
        <v>1</v>
      </c>
      <c r="I2901" t="s">
        <v>19</v>
      </c>
      <c r="J2901">
        <v>337</v>
      </c>
      <c r="K2901" t="s">
        <v>203</v>
      </c>
      <c r="L2901" s="13">
        <v>43440</v>
      </c>
      <c r="M2901" t="s">
        <v>1917</v>
      </c>
      <c r="N2901" t="s">
        <v>1547</v>
      </c>
      <c r="O2901">
        <v>0.01</v>
      </c>
      <c r="P2901" t="s">
        <v>205</v>
      </c>
    </row>
    <row r="2902" spans="1:16" ht="15" customHeight="1" x14ac:dyDescent="0.4">
      <c r="A2902" t="s">
        <v>15</v>
      </c>
      <c r="B2902" t="s">
        <v>16</v>
      </c>
      <c r="C2902" s="13">
        <v>43101</v>
      </c>
      <c r="D2902" s="13">
        <v>43465</v>
      </c>
      <c r="E2902" t="s">
        <v>17</v>
      </c>
      <c r="F2902">
        <v>0</v>
      </c>
      <c r="G2902" t="s">
        <v>18</v>
      </c>
      <c r="H2902">
        <v>1</v>
      </c>
      <c r="I2902" t="s">
        <v>19</v>
      </c>
      <c r="J2902">
        <v>337</v>
      </c>
      <c r="K2902" t="s">
        <v>203</v>
      </c>
      <c r="L2902" s="13">
        <v>43454</v>
      </c>
      <c r="M2902" t="s">
        <v>1918</v>
      </c>
      <c r="N2902" t="s">
        <v>1822</v>
      </c>
      <c r="O2902">
        <v>34.67</v>
      </c>
      <c r="P2902" t="s">
        <v>34</v>
      </c>
    </row>
    <row r="2903" spans="1:16" ht="15" customHeight="1" x14ac:dyDescent="0.4">
      <c r="A2903" t="s">
        <v>15</v>
      </c>
      <c r="B2903" t="s">
        <v>16</v>
      </c>
      <c r="C2903" s="13">
        <v>43101</v>
      </c>
      <c r="D2903" s="13">
        <v>43465</v>
      </c>
      <c r="E2903" t="s">
        <v>17</v>
      </c>
      <c r="F2903">
        <v>0</v>
      </c>
      <c r="G2903" t="s">
        <v>18</v>
      </c>
      <c r="H2903">
        <v>1</v>
      </c>
      <c r="I2903" t="s">
        <v>19</v>
      </c>
      <c r="J2903">
        <v>337</v>
      </c>
      <c r="K2903" t="s">
        <v>203</v>
      </c>
      <c r="L2903" s="13">
        <v>43454</v>
      </c>
      <c r="M2903" t="s">
        <v>1919</v>
      </c>
      <c r="N2903" t="s">
        <v>1822</v>
      </c>
      <c r="O2903">
        <v>20.99</v>
      </c>
      <c r="P2903" t="s">
        <v>34</v>
      </c>
    </row>
    <row r="2904" spans="1:16" ht="15" customHeight="1" x14ac:dyDescent="0.4">
      <c r="A2904" t="s">
        <v>15</v>
      </c>
      <c r="B2904" t="s">
        <v>16</v>
      </c>
      <c r="C2904" s="13">
        <v>43101</v>
      </c>
      <c r="D2904" s="13">
        <v>43465</v>
      </c>
      <c r="E2904" t="s">
        <v>17</v>
      </c>
      <c r="F2904">
        <v>0</v>
      </c>
      <c r="G2904" t="s">
        <v>18</v>
      </c>
      <c r="H2904">
        <v>1</v>
      </c>
      <c r="I2904" t="s">
        <v>19</v>
      </c>
      <c r="J2904">
        <v>348</v>
      </c>
      <c r="K2904" t="s">
        <v>1920</v>
      </c>
      <c r="L2904" s="13">
        <v>43220</v>
      </c>
      <c r="M2904" t="s">
        <v>1921</v>
      </c>
      <c r="N2904" t="s">
        <v>1922</v>
      </c>
      <c r="O2904">
        <v>90</v>
      </c>
      <c r="P2904" t="s">
        <v>472</v>
      </c>
    </row>
    <row r="2905" spans="1:16" ht="15" customHeight="1" x14ac:dyDescent="0.4">
      <c r="A2905" t="s">
        <v>15</v>
      </c>
      <c r="B2905" t="s">
        <v>16</v>
      </c>
      <c r="C2905" s="13">
        <v>43101</v>
      </c>
      <c r="D2905" s="13">
        <v>43465</v>
      </c>
      <c r="E2905" t="s">
        <v>17</v>
      </c>
      <c r="F2905">
        <v>0</v>
      </c>
      <c r="G2905" t="s">
        <v>18</v>
      </c>
      <c r="H2905">
        <v>1</v>
      </c>
      <c r="I2905" t="s">
        <v>19</v>
      </c>
      <c r="J2905">
        <v>349</v>
      </c>
      <c r="K2905" t="s">
        <v>236</v>
      </c>
      <c r="L2905" s="13">
        <v>43122</v>
      </c>
      <c r="M2905" t="s">
        <v>351</v>
      </c>
      <c r="N2905" t="s">
        <v>1923</v>
      </c>
      <c r="O2905">
        <v>32.159999999999997</v>
      </c>
      <c r="P2905" t="s">
        <v>239</v>
      </c>
    </row>
    <row r="2906" spans="1:16" ht="15" customHeight="1" x14ac:dyDescent="0.4">
      <c r="A2906" t="s">
        <v>15</v>
      </c>
      <c r="B2906" t="s">
        <v>16</v>
      </c>
      <c r="C2906" s="13">
        <v>43101</v>
      </c>
      <c r="D2906" s="13">
        <v>43465</v>
      </c>
      <c r="E2906" t="s">
        <v>17</v>
      </c>
      <c r="F2906">
        <v>0</v>
      </c>
      <c r="G2906" t="s">
        <v>18</v>
      </c>
      <c r="H2906">
        <v>1</v>
      </c>
      <c r="I2906" t="s">
        <v>19</v>
      </c>
      <c r="J2906">
        <v>349</v>
      </c>
      <c r="K2906" t="s">
        <v>236</v>
      </c>
      <c r="L2906" s="13">
        <v>43181</v>
      </c>
      <c r="M2906" t="s">
        <v>351</v>
      </c>
      <c r="N2906" t="s">
        <v>1924</v>
      </c>
      <c r="O2906">
        <v>31.07</v>
      </c>
      <c r="P2906" t="s">
        <v>239</v>
      </c>
    </row>
    <row r="2907" spans="1:16" ht="15" customHeight="1" x14ac:dyDescent="0.4">
      <c r="A2907" t="s">
        <v>15</v>
      </c>
      <c r="B2907" t="s">
        <v>16</v>
      </c>
      <c r="C2907" s="13">
        <v>43101</v>
      </c>
      <c r="D2907" s="13">
        <v>43465</v>
      </c>
      <c r="E2907" t="s">
        <v>17</v>
      </c>
      <c r="F2907">
        <v>0</v>
      </c>
      <c r="G2907" t="s">
        <v>18</v>
      </c>
      <c r="H2907">
        <v>1</v>
      </c>
      <c r="I2907" t="s">
        <v>19</v>
      </c>
      <c r="J2907">
        <v>349</v>
      </c>
      <c r="K2907" t="s">
        <v>236</v>
      </c>
      <c r="L2907" s="13">
        <v>43242</v>
      </c>
      <c r="M2907" t="s">
        <v>351</v>
      </c>
      <c r="N2907" t="s">
        <v>1925</v>
      </c>
      <c r="O2907">
        <v>31.68</v>
      </c>
      <c r="P2907" t="s">
        <v>239</v>
      </c>
    </row>
    <row r="2908" spans="1:16" ht="15" customHeight="1" x14ac:dyDescent="0.4">
      <c r="A2908" t="s">
        <v>15</v>
      </c>
      <c r="B2908" t="s">
        <v>16</v>
      </c>
      <c r="C2908" s="13">
        <v>43101</v>
      </c>
      <c r="D2908" s="13">
        <v>43465</v>
      </c>
      <c r="E2908" t="s">
        <v>17</v>
      </c>
      <c r="F2908">
        <v>0</v>
      </c>
      <c r="G2908" t="s">
        <v>18</v>
      </c>
      <c r="H2908">
        <v>1</v>
      </c>
      <c r="I2908" t="s">
        <v>19</v>
      </c>
      <c r="J2908">
        <v>349</v>
      </c>
      <c r="K2908" t="s">
        <v>236</v>
      </c>
      <c r="L2908" s="13">
        <v>43303</v>
      </c>
      <c r="M2908" t="s">
        <v>351</v>
      </c>
      <c r="N2908" t="s">
        <v>1926</v>
      </c>
      <c r="O2908">
        <v>31.05</v>
      </c>
      <c r="P2908" t="s">
        <v>239</v>
      </c>
    </row>
    <row r="2909" spans="1:16" ht="15" customHeight="1" x14ac:dyDescent="0.4">
      <c r="A2909" t="s">
        <v>15</v>
      </c>
      <c r="B2909" t="s">
        <v>16</v>
      </c>
      <c r="C2909" s="13">
        <v>43101</v>
      </c>
      <c r="D2909" s="13">
        <v>43465</v>
      </c>
      <c r="E2909" t="s">
        <v>17</v>
      </c>
      <c r="F2909">
        <v>0</v>
      </c>
      <c r="G2909" t="s">
        <v>18</v>
      </c>
      <c r="H2909">
        <v>1</v>
      </c>
      <c r="I2909" t="s">
        <v>19</v>
      </c>
      <c r="J2909">
        <v>349</v>
      </c>
      <c r="K2909" t="s">
        <v>236</v>
      </c>
      <c r="L2909" s="13">
        <v>43366</v>
      </c>
      <c r="M2909" t="s">
        <v>351</v>
      </c>
      <c r="N2909" t="s">
        <v>1927</v>
      </c>
      <c r="O2909">
        <v>37.56</v>
      </c>
      <c r="P2909" t="s">
        <v>239</v>
      </c>
    </row>
    <row r="2910" spans="1:16" ht="15" customHeight="1" x14ac:dyDescent="0.4">
      <c r="A2910" t="s">
        <v>15</v>
      </c>
      <c r="B2910" t="s">
        <v>16</v>
      </c>
      <c r="C2910" s="13">
        <v>43101</v>
      </c>
      <c r="D2910" s="13">
        <v>43465</v>
      </c>
      <c r="E2910" t="s">
        <v>17</v>
      </c>
      <c r="F2910">
        <v>0</v>
      </c>
      <c r="G2910" t="s">
        <v>18</v>
      </c>
      <c r="H2910">
        <v>1</v>
      </c>
      <c r="I2910" t="s">
        <v>19</v>
      </c>
      <c r="J2910">
        <v>349</v>
      </c>
      <c r="K2910" t="s">
        <v>236</v>
      </c>
      <c r="L2910" s="13">
        <v>43426</v>
      </c>
      <c r="M2910" t="s">
        <v>351</v>
      </c>
      <c r="N2910" t="s">
        <v>1928</v>
      </c>
      <c r="O2910">
        <v>34.29</v>
      </c>
      <c r="P2910" t="s">
        <v>239</v>
      </c>
    </row>
    <row r="2911" spans="1:16" ht="15" customHeight="1" x14ac:dyDescent="0.4">
      <c r="A2911" t="s">
        <v>15</v>
      </c>
      <c r="B2911" t="s">
        <v>16</v>
      </c>
      <c r="C2911" s="13">
        <v>43101</v>
      </c>
      <c r="D2911" s="13">
        <v>43465</v>
      </c>
      <c r="E2911" t="s">
        <v>17</v>
      </c>
      <c r="F2911">
        <v>0</v>
      </c>
      <c r="G2911" t="s">
        <v>18</v>
      </c>
      <c r="H2911">
        <v>1</v>
      </c>
      <c r="I2911" t="s">
        <v>19</v>
      </c>
      <c r="J2911">
        <v>355</v>
      </c>
      <c r="K2911" t="s">
        <v>1596</v>
      </c>
      <c r="L2911" s="13">
        <v>43102</v>
      </c>
      <c r="M2911" t="s">
        <v>251</v>
      </c>
      <c r="N2911" t="s">
        <v>46</v>
      </c>
      <c r="O2911">
        <v>24.48</v>
      </c>
      <c r="P2911" t="s">
        <v>46</v>
      </c>
    </row>
    <row r="2912" spans="1:16" ht="15" customHeight="1" x14ac:dyDescent="0.4">
      <c r="A2912" t="s">
        <v>15</v>
      </c>
      <c r="B2912" t="s">
        <v>16</v>
      </c>
      <c r="C2912" s="13">
        <v>43101</v>
      </c>
      <c r="D2912" s="13">
        <v>43465</v>
      </c>
      <c r="E2912" t="s">
        <v>17</v>
      </c>
      <c r="F2912">
        <v>0</v>
      </c>
      <c r="G2912" t="s">
        <v>18</v>
      </c>
      <c r="H2912">
        <v>1</v>
      </c>
      <c r="I2912" t="s">
        <v>19</v>
      </c>
      <c r="J2912">
        <v>355</v>
      </c>
      <c r="K2912" t="s">
        <v>1596</v>
      </c>
      <c r="L2912" s="13">
        <v>43189</v>
      </c>
      <c r="M2912" t="s">
        <v>251</v>
      </c>
      <c r="N2912" t="s">
        <v>46</v>
      </c>
      <c r="O2912">
        <v>24.48</v>
      </c>
      <c r="P2912" t="s">
        <v>46</v>
      </c>
    </row>
    <row r="2913" spans="1:16" ht="15" customHeight="1" x14ac:dyDescent="0.4">
      <c r="A2913" t="s">
        <v>15</v>
      </c>
      <c r="B2913" t="s">
        <v>16</v>
      </c>
      <c r="C2913" s="13">
        <v>43101</v>
      </c>
      <c r="D2913" s="13">
        <v>43465</v>
      </c>
      <c r="E2913" t="s">
        <v>17</v>
      </c>
      <c r="F2913">
        <v>0</v>
      </c>
      <c r="G2913" t="s">
        <v>18</v>
      </c>
      <c r="H2913">
        <v>1</v>
      </c>
      <c r="I2913" t="s">
        <v>19</v>
      </c>
      <c r="J2913">
        <v>355</v>
      </c>
      <c r="K2913" t="s">
        <v>1596</v>
      </c>
      <c r="L2913" s="13">
        <v>43280</v>
      </c>
      <c r="M2913" t="s">
        <v>251</v>
      </c>
      <c r="N2913" t="s">
        <v>46</v>
      </c>
      <c r="O2913">
        <v>24.48</v>
      </c>
      <c r="P2913" t="s">
        <v>46</v>
      </c>
    </row>
    <row r="2914" spans="1:16" ht="15" customHeight="1" x14ac:dyDescent="0.4">
      <c r="A2914" t="s">
        <v>15</v>
      </c>
      <c r="B2914" t="s">
        <v>16</v>
      </c>
      <c r="C2914" s="13">
        <v>43101</v>
      </c>
      <c r="D2914" s="13">
        <v>43465</v>
      </c>
      <c r="E2914" t="s">
        <v>17</v>
      </c>
      <c r="F2914">
        <v>0</v>
      </c>
      <c r="G2914" t="s">
        <v>18</v>
      </c>
      <c r="H2914">
        <v>1</v>
      </c>
      <c r="I2914" t="s">
        <v>19</v>
      </c>
      <c r="J2914">
        <v>355</v>
      </c>
      <c r="K2914" t="s">
        <v>1596</v>
      </c>
      <c r="L2914" s="13">
        <v>43371</v>
      </c>
      <c r="M2914" t="s">
        <v>251</v>
      </c>
      <c r="N2914" t="s">
        <v>46</v>
      </c>
      <c r="O2914">
        <v>24.48</v>
      </c>
      <c r="P2914" t="s">
        <v>46</v>
      </c>
    </row>
    <row r="2915" spans="1:16" ht="15" customHeight="1" x14ac:dyDescent="0.4">
      <c r="A2915" t="s">
        <v>15</v>
      </c>
      <c r="B2915" t="s">
        <v>16</v>
      </c>
      <c r="C2915" s="13">
        <v>43101</v>
      </c>
      <c r="D2915" s="13">
        <v>43465</v>
      </c>
      <c r="E2915" t="s">
        <v>17</v>
      </c>
      <c r="F2915">
        <v>0</v>
      </c>
      <c r="G2915" t="s">
        <v>18</v>
      </c>
      <c r="H2915">
        <v>1</v>
      </c>
      <c r="I2915" t="s">
        <v>19</v>
      </c>
      <c r="J2915">
        <v>355</v>
      </c>
      <c r="K2915" t="s">
        <v>1596</v>
      </c>
      <c r="L2915" s="13">
        <v>43465</v>
      </c>
      <c r="M2915" t="s">
        <v>251</v>
      </c>
      <c r="N2915" t="s">
        <v>1598</v>
      </c>
      <c r="O2915">
        <v>24.48</v>
      </c>
      <c r="P2915" t="s">
        <v>46</v>
      </c>
    </row>
    <row r="2916" spans="1:16" ht="15" customHeight="1" x14ac:dyDescent="0.4">
      <c r="A2916" t="s">
        <v>15</v>
      </c>
      <c r="B2916" t="s">
        <v>16</v>
      </c>
      <c r="C2916" s="13">
        <v>43101</v>
      </c>
      <c r="D2916" s="13">
        <v>43465</v>
      </c>
      <c r="E2916" t="s">
        <v>30</v>
      </c>
      <c r="F2916">
        <v>0</v>
      </c>
      <c r="G2916" t="s">
        <v>18</v>
      </c>
      <c r="H2916">
        <v>1</v>
      </c>
      <c r="I2916" t="s">
        <v>19</v>
      </c>
      <c r="J2916">
        <v>403</v>
      </c>
      <c r="K2916" t="s">
        <v>261</v>
      </c>
      <c r="L2916" s="13">
        <v>43312</v>
      </c>
      <c r="M2916" t="s">
        <v>1929</v>
      </c>
      <c r="N2916" t="s">
        <v>1930</v>
      </c>
      <c r="O2916">
        <v>312</v>
      </c>
      <c r="P2916" t="s">
        <v>808</v>
      </c>
    </row>
    <row r="2917" spans="1:16" ht="15" customHeight="1" x14ac:dyDescent="0.4">
      <c r="A2917" t="s">
        <v>15</v>
      </c>
      <c r="B2917" t="s">
        <v>16</v>
      </c>
      <c r="C2917" s="13">
        <v>43101</v>
      </c>
      <c r="D2917" s="13">
        <v>43465</v>
      </c>
      <c r="E2917" t="s">
        <v>30</v>
      </c>
      <c r="F2917">
        <v>0</v>
      </c>
      <c r="G2917" t="s">
        <v>18</v>
      </c>
      <c r="H2917">
        <v>1</v>
      </c>
      <c r="I2917" t="s">
        <v>19</v>
      </c>
      <c r="J2917">
        <v>403</v>
      </c>
      <c r="K2917" t="s">
        <v>261</v>
      </c>
      <c r="L2917" s="13">
        <v>43343</v>
      </c>
      <c r="M2917" t="s">
        <v>1931</v>
      </c>
      <c r="N2917" t="s">
        <v>1932</v>
      </c>
      <c r="O2917">
        <v>504</v>
      </c>
      <c r="P2917" t="s">
        <v>264</v>
      </c>
    </row>
    <row r="2918" spans="1:16" ht="15" customHeight="1" x14ac:dyDescent="0.4">
      <c r="A2918" t="s">
        <v>15</v>
      </c>
      <c r="B2918" t="s">
        <v>16</v>
      </c>
      <c r="C2918" s="13">
        <v>43101</v>
      </c>
      <c r="D2918" s="13">
        <v>43465</v>
      </c>
      <c r="E2918" t="s">
        <v>17</v>
      </c>
      <c r="F2918">
        <v>0</v>
      </c>
      <c r="G2918" t="s">
        <v>18</v>
      </c>
      <c r="H2918">
        <v>1</v>
      </c>
      <c r="I2918" t="s">
        <v>19</v>
      </c>
      <c r="J2918">
        <v>441</v>
      </c>
      <c r="K2918" t="s">
        <v>268</v>
      </c>
      <c r="L2918" s="13">
        <v>43101</v>
      </c>
      <c r="M2918" t="s">
        <v>1933</v>
      </c>
      <c r="N2918" t="s">
        <v>1934</v>
      </c>
      <c r="O2918">
        <v>8090.63</v>
      </c>
      <c r="P2918" t="s">
        <v>271</v>
      </c>
    </row>
    <row r="2919" spans="1:16" ht="15" customHeight="1" x14ac:dyDescent="0.4">
      <c r="A2919" t="s">
        <v>15</v>
      </c>
      <c r="B2919" t="s">
        <v>16</v>
      </c>
      <c r="C2919" s="13">
        <v>43101</v>
      </c>
      <c r="D2919" s="13">
        <v>43465</v>
      </c>
      <c r="E2919" t="s">
        <v>17</v>
      </c>
      <c r="F2919">
        <v>0</v>
      </c>
      <c r="G2919" t="s">
        <v>18</v>
      </c>
      <c r="H2919">
        <v>1</v>
      </c>
      <c r="I2919" t="s">
        <v>19</v>
      </c>
      <c r="J2919">
        <v>461</v>
      </c>
      <c r="K2919" t="s">
        <v>272</v>
      </c>
      <c r="L2919" s="13">
        <v>43144</v>
      </c>
      <c r="M2919" t="s">
        <v>1935</v>
      </c>
      <c r="N2919" t="s">
        <v>1936</v>
      </c>
      <c r="O2919">
        <v>84</v>
      </c>
      <c r="P2919" t="s">
        <v>808</v>
      </c>
    </row>
    <row r="2920" spans="1:16" ht="15" customHeight="1" x14ac:dyDescent="0.4">
      <c r="A2920" t="s">
        <v>15</v>
      </c>
      <c r="B2920" t="s">
        <v>16</v>
      </c>
      <c r="C2920" s="13">
        <v>43101</v>
      </c>
      <c r="D2920" s="13">
        <v>43465</v>
      </c>
      <c r="E2920" t="s">
        <v>17</v>
      </c>
      <c r="F2920">
        <v>0</v>
      </c>
      <c r="G2920" t="s">
        <v>18</v>
      </c>
      <c r="H2920">
        <v>1</v>
      </c>
      <c r="I2920" t="s">
        <v>19</v>
      </c>
      <c r="J2920">
        <v>461</v>
      </c>
      <c r="K2920" t="s">
        <v>272</v>
      </c>
      <c r="L2920" s="13">
        <v>43144</v>
      </c>
      <c r="M2920" t="s">
        <v>1937</v>
      </c>
      <c r="N2920" t="s">
        <v>1938</v>
      </c>
      <c r="O2920">
        <v>844.29</v>
      </c>
      <c r="P2920" t="s">
        <v>805</v>
      </c>
    </row>
    <row r="2921" spans="1:16" ht="15" customHeight="1" x14ac:dyDescent="0.4">
      <c r="A2921" t="s">
        <v>15</v>
      </c>
      <c r="B2921" t="s">
        <v>16</v>
      </c>
      <c r="C2921" s="13">
        <v>43101</v>
      </c>
      <c r="D2921" s="13">
        <v>43465</v>
      </c>
      <c r="E2921" t="s">
        <v>17</v>
      </c>
      <c r="F2921">
        <v>0</v>
      </c>
      <c r="G2921" t="s">
        <v>18</v>
      </c>
      <c r="H2921">
        <v>1</v>
      </c>
      <c r="I2921" t="s">
        <v>19</v>
      </c>
      <c r="J2921">
        <v>461</v>
      </c>
      <c r="K2921" t="s">
        <v>272</v>
      </c>
      <c r="L2921" s="13">
        <v>43187</v>
      </c>
      <c r="M2921" t="s">
        <v>1939</v>
      </c>
      <c r="N2921" t="s">
        <v>1940</v>
      </c>
      <c r="O2921">
        <v>1573</v>
      </c>
      <c r="P2921" t="s">
        <v>1941</v>
      </c>
    </row>
    <row r="2922" spans="1:16" ht="15" customHeight="1" x14ac:dyDescent="0.4">
      <c r="A2922" t="s">
        <v>15</v>
      </c>
      <c r="B2922" t="s">
        <v>16</v>
      </c>
      <c r="C2922" s="13">
        <v>43101</v>
      </c>
      <c r="D2922" s="13">
        <v>43465</v>
      </c>
      <c r="E2922" t="s">
        <v>17</v>
      </c>
      <c r="F2922">
        <v>0</v>
      </c>
      <c r="G2922" t="s">
        <v>18</v>
      </c>
      <c r="H2922">
        <v>1</v>
      </c>
      <c r="I2922" t="s">
        <v>19</v>
      </c>
      <c r="J2922">
        <v>461</v>
      </c>
      <c r="K2922" t="s">
        <v>272</v>
      </c>
      <c r="L2922" s="13">
        <v>43209</v>
      </c>
      <c r="M2922" t="s">
        <v>1942</v>
      </c>
      <c r="N2922" t="s">
        <v>1943</v>
      </c>
      <c r="O2922">
        <v>652.41</v>
      </c>
      <c r="P2922" t="s">
        <v>805</v>
      </c>
    </row>
    <row r="2923" spans="1:16" ht="15" customHeight="1" x14ac:dyDescent="0.4">
      <c r="A2923" t="s">
        <v>15</v>
      </c>
      <c r="B2923" t="s">
        <v>16</v>
      </c>
      <c r="C2923" s="13">
        <v>43101</v>
      </c>
      <c r="D2923" s="13">
        <v>43465</v>
      </c>
      <c r="E2923" t="s">
        <v>17</v>
      </c>
      <c r="F2923">
        <v>0</v>
      </c>
      <c r="G2923" t="s">
        <v>18</v>
      </c>
      <c r="H2923">
        <v>1</v>
      </c>
      <c r="I2923" t="s">
        <v>19</v>
      </c>
      <c r="J2923">
        <v>461</v>
      </c>
      <c r="K2923" t="s">
        <v>272</v>
      </c>
      <c r="L2923" s="13">
        <v>43290</v>
      </c>
      <c r="M2923" t="s">
        <v>1944</v>
      </c>
      <c r="N2923" t="s">
        <v>1945</v>
      </c>
      <c r="O2923">
        <v>1726.56</v>
      </c>
      <c r="P2923" t="s">
        <v>805</v>
      </c>
    </row>
    <row r="2924" spans="1:16" ht="15" customHeight="1" x14ac:dyDescent="0.4">
      <c r="A2924" t="s">
        <v>15</v>
      </c>
      <c r="B2924" t="s">
        <v>16</v>
      </c>
      <c r="C2924" s="13">
        <v>43101</v>
      </c>
      <c r="D2924" s="13">
        <v>43465</v>
      </c>
      <c r="E2924" t="s">
        <v>17</v>
      </c>
      <c r="F2924">
        <v>0</v>
      </c>
      <c r="G2924" t="s">
        <v>18</v>
      </c>
      <c r="H2924">
        <v>1</v>
      </c>
      <c r="I2924" t="s">
        <v>19</v>
      </c>
      <c r="J2924">
        <v>461</v>
      </c>
      <c r="K2924" t="s">
        <v>272</v>
      </c>
      <c r="L2924" s="13">
        <v>43308</v>
      </c>
      <c r="M2924" t="s">
        <v>1946</v>
      </c>
      <c r="N2924" t="s">
        <v>46</v>
      </c>
      <c r="O2924">
        <v>-579</v>
      </c>
      <c r="P2924" t="s">
        <v>46</v>
      </c>
    </row>
    <row r="2925" spans="1:16" ht="15" customHeight="1" x14ac:dyDescent="0.4">
      <c r="A2925" t="s">
        <v>15</v>
      </c>
      <c r="B2925" t="s">
        <v>16</v>
      </c>
      <c r="C2925" s="13">
        <v>43101</v>
      </c>
      <c r="D2925" s="13">
        <v>43465</v>
      </c>
      <c r="E2925" t="s">
        <v>17</v>
      </c>
      <c r="F2925">
        <v>0</v>
      </c>
      <c r="G2925" t="s">
        <v>18</v>
      </c>
      <c r="H2925">
        <v>1</v>
      </c>
      <c r="I2925" t="s">
        <v>19</v>
      </c>
      <c r="J2925">
        <v>461</v>
      </c>
      <c r="K2925" t="s">
        <v>272</v>
      </c>
      <c r="L2925" s="13">
        <v>43308</v>
      </c>
      <c r="M2925" t="s">
        <v>1947</v>
      </c>
      <c r="N2925" t="s">
        <v>46</v>
      </c>
      <c r="O2925">
        <v>-246.4</v>
      </c>
      <c r="P2925" t="s">
        <v>46</v>
      </c>
    </row>
    <row r="2926" spans="1:16" ht="15" customHeight="1" x14ac:dyDescent="0.4">
      <c r="A2926" t="s">
        <v>15</v>
      </c>
      <c r="B2926" t="s">
        <v>16</v>
      </c>
      <c r="C2926" s="13">
        <v>43101</v>
      </c>
      <c r="D2926" s="13">
        <v>43465</v>
      </c>
      <c r="E2926" t="s">
        <v>17</v>
      </c>
      <c r="F2926">
        <v>0</v>
      </c>
      <c r="G2926" t="s">
        <v>18</v>
      </c>
      <c r="H2926">
        <v>1</v>
      </c>
      <c r="I2926" t="s">
        <v>19</v>
      </c>
      <c r="J2926">
        <v>702</v>
      </c>
      <c r="K2926" t="s">
        <v>275</v>
      </c>
      <c r="L2926" s="13">
        <v>43465</v>
      </c>
      <c r="M2926" t="s">
        <v>1948</v>
      </c>
      <c r="N2926" t="s">
        <v>46</v>
      </c>
      <c r="O2926">
        <v>38.85</v>
      </c>
      <c r="P2926" t="s">
        <v>46</v>
      </c>
    </row>
    <row r="2927" spans="1:16" ht="15" customHeight="1" x14ac:dyDescent="0.4">
      <c r="A2927" t="s">
        <v>15</v>
      </c>
      <c r="B2927" t="s">
        <v>16</v>
      </c>
      <c r="C2927" s="13">
        <v>43101</v>
      </c>
      <c r="D2927" s="13">
        <v>43465</v>
      </c>
      <c r="E2927" t="s">
        <v>30</v>
      </c>
      <c r="F2927">
        <v>0</v>
      </c>
      <c r="G2927" t="s">
        <v>18</v>
      </c>
      <c r="H2927">
        <v>1</v>
      </c>
      <c r="I2927" t="s">
        <v>19</v>
      </c>
      <c r="J2927">
        <v>787</v>
      </c>
      <c r="K2927" t="s">
        <v>1216</v>
      </c>
      <c r="L2927" s="13">
        <v>43321</v>
      </c>
      <c r="M2927" t="s">
        <v>1949</v>
      </c>
      <c r="N2927" t="s">
        <v>1950</v>
      </c>
      <c r="O2927">
        <v>60</v>
      </c>
      <c r="P2927" t="s">
        <v>280</v>
      </c>
    </row>
    <row r="2928" spans="1:16" ht="15" customHeight="1" x14ac:dyDescent="0.4">
      <c r="A2928" t="s">
        <v>15</v>
      </c>
      <c r="B2928" t="s">
        <v>16</v>
      </c>
      <c r="C2928" s="13">
        <v>43101</v>
      </c>
      <c r="D2928" s="13">
        <v>43465</v>
      </c>
      <c r="E2928" t="s">
        <v>17</v>
      </c>
      <c r="F2928">
        <v>0</v>
      </c>
      <c r="G2928" t="s">
        <v>18</v>
      </c>
      <c r="H2928">
        <v>1</v>
      </c>
      <c r="I2928" t="s">
        <v>19</v>
      </c>
      <c r="J2928">
        <v>791</v>
      </c>
      <c r="K2928" t="s">
        <v>277</v>
      </c>
      <c r="L2928" s="13">
        <v>43101</v>
      </c>
      <c r="M2928" t="s">
        <v>1951</v>
      </c>
      <c r="N2928" t="s">
        <v>1952</v>
      </c>
      <c r="O2928">
        <v>290.5</v>
      </c>
      <c r="P2928" t="s">
        <v>280</v>
      </c>
    </row>
    <row r="2929" spans="1:16" ht="15" customHeight="1" x14ac:dyDescent="0.4">
      <c r="A2929" t="s">
        <v>15</v>
      </c>
      <c r="B2929" t="s">
        <v>16</v>
      </c>
      <c r="C2929" s="13">
        <v>43101</v>
      </c>
      <c r="D2929" s="13">
        <v>43465</v>
      </c>
      <c r="E2929" t="s">
        <v>17</v>
      </c>
      <c r="F2929">
        <v>0</v>
      </c>
      <c r="G2929" t="s">
        <v>18</v>
      </c>
      <c r="H2929">
        <v>1</v>
      </c>
      <c r="I2929" t="s">
        <v>19</v>
      </c>
      <c r="J2929">
        <v>791</v>
      </c>
      <c r="K2929" t="s">
        <v>277</v>
      </c>
      <c r="L2929" s="13">
        <v>43191</v>
      </c>
      <c r="M2929" t="s">
        <v>1953</v>
      </c>
      <c r="N2929" t="s">
        <v>1954</v>
      </c>
      <c r="O2929">
        <v>290.5</v>
      </c>
      <c r="P2929" t="s">
        <v>280</v>
      </c>
    </row>
    <row r="2930" spans="1:16" ht="15" customHeight="1" x14ac:dyDescent="0.4">
      <c r="A2930" t="s">
        <v>15</v>
      </c>
      <c r="B2930" t="s">
        <v>16</v>
      </c>
      <c r="C2930" s="13">
        <v>43101</v>
      </c>
      <c r="D2930" s="13">
        <v>43465</v>
      </c>
      <c r="E2930" t="s">
        <v>17</v>
      </c>
      <c r="F2930">
        <v>0</v>
      </c>
      <c r="G2930" t="s">
        <v>18</v>
      </c>
      <c r="H2930">
        <v>1</v>
      </c>
      <c r="I2930" t="s">
        <v>19</v>
      </c>
      <c r="J2930">
        <v>791</v>
      </c>
      <c r="K2930" t="s">
        <v>277</v>
      </c>
      <c r="L2930" s="13">
        <v>43266</v>
      </c>
      <c r="M2930" t="s">
        <v>1955</v>
      </c>
      <c r="N2930" t="s">
        <v>1956</v>
      </c>
      <c r="O2930">
        <v>290.5</v>
      </c>
      <c r="P2930" t="s">
        <v>280</v>
      </c>
    </row>
    <row r="2931" spans="1:16" ht="15" customHeight="1" x14ac:dyDescent="0.4">
      <c r="A2931" t="s">
        <v>15</v>
      </c>
      <c r="B2931" t="s">
        <v>16</v>
      </c>
      <c r="C2931" s="13">
        <v>43101</v>
      </c>
      <c r="D2931" s="13">
        <v>43465</v>
      </c>
      <c r="E2931" t="s">
        <v>17</v>
      </c>
      <c r="F2931">
        <v>0</v>
      </c>
      <c r="G2931" t="s">
        <v>18</v>
      </c>
      <c r="H2931">
        <v>1</v>
      </c>
      <c r="I2931" t="s">
        <v>19</v>
      </c>
      <c r="J2931">
        <v>791</v>
      </c>
      <c r="K2931" t="s">
        <v>277</v>
      </c>
      <c r="L2931" s="13">
        <v>43374</v>
      </c>
      <c r="M2931" t="s">
        <v>1957</v>
      </c>
      <c r="N2931" t="s">
        <v>1958</v>
      </c>
      <c r="O2931">
        <v>290.5</v>
      </c>
      <c r="P2931" t="s">
        <v>280</v>
      </c>
    </row>
    <row r="2932" spans="1:16" ht="15" customHeight="1" x14ac:dyDescent="0.4">
      <c r="A2932" t="s">
        <v>15</v>
      </c>
      <c r="B2932" t="s">
        <v>16</v>
      </c>
      <c r="C2932" s="13">
        <v>43101</v>
      </c>
      <c r="D2932" s="13">
        <v>43465</v>
      </c>
      <c r="E2932" t="s">
        <v>17</v>
      </c>
      <c r="F2932">
        <v>0</v>
      </c>
      <c r="G2932" t="s">
        <v>18</v>
      </c>
      <c r="H2932">
        <v>1</v>
      </c>
      <c r="I2932" t="s">
        <v>19</v>
      </c>
      <c r="J2932">
        <v>791</v>
      </c>
      <c r="K2932" t="s">
        <v>277</v>
      </c>
      <c r="L2932" s="13">
        <v>43465</v>
      </c>
      <c r="M2932" t="s">
        <v>287</v>
      </c>
      <c r="N2932" t="s">
        <v>288</v>
      </c>
      <c r="O2932">
        <v>-387.29</v>
      </c>
      <c r="P2932" t="s">
        <v>46</v>
      </c>
    </row>
    <row r="2933" spans="1:16" ht="15" customHeight="1" x14ac:dyDescent="0.4">
      <c r="A2933" t="s">
        <v>15</v>
      </c>
      <c r="B2933" t="s">
        <v>16</v>
      </c>
      <c r="C2933" s="13">
        <v>43101</v>
      </c>
      <c r="D2933" s="13">
        <v>43465</v>
      </c>
      <c r="E2933" t="s">
        <v>17</v>
      </c>
      <c r="F2933">
        <v>0</v>
      </c>
      <c r="G2933" t="s">
        <v>18</v>
      </c>
      <c r="H2933">
        <v>1</v>
      </c>
      <c r="I2933" t="s">
        <v>19</v>
      </c>
      <c r="J2933">
        <v>841</v>
      </c>
      <c r="K2933" t="s">
        <v>289</v>
      </c>
      <c r="L2933" s="13">
        <v>43220</v>
      </c>
      <c r="M2933" t="s">
        <v>1959</v>
      </c>
      <c r="N2933" t="s">
        <v>1960</v>
      </c>
      <c r="O2933">
        <v>708</v>
      </c>
      <c r="P2933" t="s">
        <v>1623</v>
      </c>
    </row>
    <row r="2934" spans="1:16" ht="15" customHeight="1" x14ac:dyDescent="0.4">
      <c r="A2934" t="s">
        <v>15</v>
      </c>
      <c r="B2934" t="s">
        <v>16</v>
      </c>
      <c r="C2934" s="13">
        <v>43101</v>
      </c>
      <c r="D2934" s="13">
        <v>43465</v>
      </c>
      <c r="E2934" t="s">
        <v>17</v>
      </c>
      <c r="F2934">
        <v>0</v>
      </c>
      <c r="G2934" t="s">
        <v>18</v>
      </c>
      <c r="H2934">
        <v>1</v>
      </c>
      <c r="I2934" t="s">
        <v>19</v>
      </c>
      <c r="J2934">
        <v>841</v>
      </c>
      <c r="K2934" t="s">
        <v>289</v>
      </c>
      <c r="L2934" s="13">
        <v>43251</v>
      </c>
      <c r="M2934" t="s">
        <v>1961</v>
      </c>
      <c r="N2934" t="s">
        <v>1962</v>
      </c>
      <c r="O2934">
        <v>708</v>
      </c>
      <c r="P2934" t="s">
        <v>1623</v>
      </c>
    </row>
    <row r="2935" spans="1:16" ht="15" customHeight="1" x14ac:dyDescent="0.4">
      <c r="A2935" t="s">
        <v>15</v>
      </c>
      <c r="B2935" t="s">
        <v>16</v>
      </c>
      <c r="C2935" s="13">
        <v>43101</v>
      </c>
      <c r="D2935" s="13">
        <v>43465</v>
      </c>
      <c r="E2935" t="s">
        <v>17</v>
      </c>
      <c r="F2935">
        <v>0</v>
      </c>
      <c r="G2935" t="s">
        <v>18</v>
      </c>
      <c r="H2935">
        <v>1</v>
      </c>
      <c r="I2935" t="s">
        <v>19</v>
      </c>
      <c r="J2935">
        <v>841</v>
      </c>
      <c r="K2935" t="s">
        <v>289</v>
      </c>
      <c r="L2935" s="13">
        <v>43281</v>
      </c>
      <c r="M2935" t="s">
        <v>1963</v>
      </c>
      <c r="N2935" t="s">
        <v>1964</v>
      </c>
      <c r="O2935">
        <v>708</v>
      </c>
      <c r="P2935" t="s">
        <v>1444</v>
      </c>
    </row>
    <row r="2936" spans="1:16" ht="15" customHeight="1" x14ac:dyDescent="0.4">
      <c r="A2936" t="s">
        <v>15</v>
      </c>
      <c r="B2936" t="s">
        <v>16</v>
      </c>
      <c r="C2936" s="13">
        <v>43101</v>
      </c>
      <c r="D2936" s="13">
        <v>43465</v>
      </c>
      <c r="E2936" t="s">
        <v>17</v>
      </c>
      <c r="F2936">
        <v>0</v>
      </c>
      <c r="G2936" t="s">
        <v>18</v>
      </c>
      <c r="H2936">
        <v>1</v>
      </c>
      <c r="I2936" t="s">
        <v>19</v>
      </c>
      <c r="J2936">
        <v>841</v>
      </c>
      <c r="K2936" t="s">
        <v>289</v>
      </c>
      <c r="L2936" s="13">
        <v>43312</v>
      </c>
      <c r="M2936" t="s">
        <v>1965</v>
      </c>
      <c r="N2936" t="s">
        <v>1966</v>
      </c>
      <c r="O2936">
        <v>708</v>
      </c>
      <c r="P2936" t="s">
        <v>1623</v>
      </c>
    </row>
    <row r="2937" spans="1:16" ht="15" customHeight="1" x14ac:dyDescent="0.4">
      <c r="A2937" t="s">
        <v>15</v>
      </c>
      <c r="B2937" t="s">
        <v>16</v>
      </c>
      <c r="C2937" s="13">
        <v>43101</v>
      </c>
      <c r="D2937" s="13">
        <v>43465</v>
      </c>
      <c r="E2937" t="s">
        <v>17</v>
      </c>
      <c r="F2937">
        <v>0</v>
      </c>
      <c r="G2937" t="s">
        <v>18</v>
      </c>
      <c r="H2937">
        <v>1</v>
      </c>
      <c r="I2937" t="s">
        <v>19</v>
      </c>
      <c r="J2937">
        <v>841</v>
      </c>
      <c r="K2937" t="s">
        <v>289</v>
      </c>
      <c r="L2937" s="13">
        <v>43343</v>
      </c>
      <c r="M2937" t="s">
        <v>1967</v>
      </c>
      <c r="N2937" t="s">
        <v>1968</v>
      </c>
      <c r="O2937">
        <v>708</v>
      </c>
      <c r="P2937" t="s">
        <v>1623</v>
      </c>
    </row>
    <row r="2938" spans="1:16" ht="15" customHeight="1" x14ac:dyDescent="0.4">
      <c r="A2938" t="s">
        <v>15</v>
      </c>
      <c r="B2938" t="s">
        <v>16</v>
      </c>
      <c r="C2938" s="13">
        <v>43101</v>
      </c>
      <c r="D2938" s="13">
        <v>43465</v>
      </c>
      <c r="E2938" t="s">
        <v>17</v>
      </c>
      <c r="F2938">
        <v>0</v>
      </c>
      <c r="G2938" t="s">
        <v>18</v>
      </c>
      <c r="H2938">
        <v>1</v>
      </c>
      <c r="I2938" t="s">
        <v>19</v>
      </c>
      <c r="J2938">
        <v>841</v>
      </c>
      <c r="K2938" t="s">
        <v>289</v>
      </c>
      <c r="L2938" s="13">
        <v>43374</v>
      </c>
      <c r="M2938" t="s">
        <v>1969</v>
      </c>
      <c r="N2938" t="s">
        <v>1970</v>
      </c>
      <c r="O2938">
        <v>708</v>
      </c>
      <c r="P2938" t="s">
        <v>1623</v>
      </c>
    </row>
    <row r="2939" spans="1:16" ht="15" customHeight="1" x14ac:dyDescent="0.4">
      <c r="A2939" t="s">
        <v>15</v>
      </c>
      <c r="B2939" t="s">
        <v>16</v>
      </c>
      <c r="C2939" s="13">
        <v>43101</v>
      </c>
      <c r="D2939" s="13">
        <v>43465</v>
      </c>
      <c r="E2939" t="s">
        <v>17</v>
      </c>
      <c r="F2939">
        <v>0</v>
      </c>
      <c r="G2939" t="s">
        <v>18</v>
      </c>
      <c r="H2939">
        <v>1</v>
      </c>
      <c r="I2939" t="s">
        <v>19</v>
      </c>
      <c r="J2939">
        <v>841</v>
      </c>
      <c r="K2939" t="s">
        <v>289</v>
      </c>
      <c r="L2939" s="13">
        <v>43406</v>
      </c>
      <c r="M2939" t="s">
        <v>1971</v>
      </c>
      <c r="N2939" t="s">
        <v>1972</v>
      </c>
      <c r="O2939">
        <v>708</v>
      </c>
      <c r="P2939" t="s">
        <v>1623</v>
      </c>
    </row>
    <row r="2940" spans="1:16" ht="15" customHeight="1" x14ac:dyDescent="0.4">
      <c r="A2940" t="s">
        <v>15</v>
      </c>
      <c r="B2940" t="s">
        <v>16</v>
      </c>
      <c r="C2940" s="13">
        <v>43101</v>
      </c>
      <c r="D2940" s="13">
        <v>43465</v>
      </c>
      <c r="E2940" t="s">
        <v>17</v>
      </c>
      <c r="F2940">
        <v>0</v>
      </c>
      <c r="G2940" t="s">
        <v>18</v>
      </c>
      <c r="H2940">
        <v>1</v>
      </c>
      <c r="I2940" t="s">
        <v>19</v>
      </c>
      <c r="J2940">
        <v>845</v>
      </c>
      <c r="K2940" t="s">
        <v>315</v>
      </c>
      <c r="L2940" s="13">
        <v>43125</v>
      </c>
      <c r="M2940" t="s">
        <v>1973</v>
      </c>
      <c r="N2940" t="s">
        <v>1974</v>
      </c>
      <c r="O2940">
        <v>180</v>
      </c>
      <c r="P2940" t="s">
        <v>1444</v>
      </c>
    </row>
    <row r="2941" spans="1:16" ht="15" customHeight="1" x14ac:dyDescent="0.4">
      <c r="A2941" t="s">
        <v>15</v>
      </c>
      <c r="B2941" t="s">
        <v>16</v>
      </c>
      <c r="C2941" s="13">
        <v>43101</v>
      </c>
      <c r="D2941" s="13">
        <v>43465</v>
      </c>
      <c r="E2941" t="s">
        <v>17</v>
      </c>
      <c r="F2941">
        <v>0</v>
      </c>
      <c r="G2941" t="s">
        <v>18</v>
      </c>
      <c r="H2941">
        <v>1</v>
      </c>
      <c r="I2941" t="s">
        <v>19</v>
      </c>
      <c r="J2941">
        <v>845</v>
      </c>
      <c r="K2941" t="s">
        <v>315</v>
      </c>
      <c r="L2941" s="13">
        <v>43129</v>
      </c>
      <c r="M2941" t="s">
        <v>1975</v>
      </c>
      <c r="N2941" t="s">
        <v>1974</v>
      </c>
      <c r="O2941">
        <v>684</v>
      </c>
      <c r="P2941" t="s">
        <v>1444</v>
      </c>
    </row>
    <row r="2942" spans="1:16" ht="15" customHeight="1" x14ac:dyDescent="0.4">
      <c r="A2942" t="s">
        <v>15</v>
      </c>
      <c r="B2942" t="s">
        <v>16</v>
      </c>
      <c r="C2942" s="13">
        <v>43101</v>
      </c>
      <c r="D2942" s="13">
        <v>43465</v>
      </c>
      <c r="E2942" t="s">
        <v>17</v>
      </c>
      <c r="F2942">
        <v>0</v>
      </c>
      <c r="G2942" t="s">
        <v>18</v>
      </c>
      <c r="H2942">
        <v>1</v>
      </c>
      <c r="I2942" t="s">
        <v>19</v>
      </c>
      <c r="J2942">
        <v>845</v>
      </c>
      <c r="K2942" t="s">
        <v>315</v>
      </c>
      <c r="L2942" s="13">
        <v>43171</v>
      </c>
      <c r="M2942" t="s">
        <v>1976</v>
      </c>
      <c r="N2942" t="s">
        <v>1977</v>
      </c>
      <c r="O2942">
        <v>960</v>
      </c>
      <c r="P2942" t="s">
        <v>1444</v>
      </c>
    </row>
    <row r="2943" spans="1:16" ht="15" customHeight="1" x14ac:dyDescent="0.4">
      <c r="A2943" t="s">
        <v>15</v>
      </c>
      <c r="B2943" t="s">
        <v>16</v>
      </c>
      <c r="C2943" s="13">
        <v>43101</v>
      </c>
      <c r="D2943" s="13">
        <v>43465</v>
      </c>
      <c r="E2943" t="s">
        <v>30</v>
      </c>
      <c r="F2943">
        <v>0</v>
      </c>
      <c r="G2943" t="s">
        <v>18</v>
      </c>
      <c r="H2943">
        <v>1</v>
      </c>
      <c r="I2943" t="s">
        <v>19</v>
      </c>
      <c r="J2943">
        <v>846</v>
      </c>
      <c r="K2943" t="s">
        <v>845</v>
      </c>
      <c r="L2943" s="13">
        <v>43118</v>
      </c>
      <c r="M2943" t="s">
        <v>1978</v>
      </c>
      <c r="N2943" t="s">
        <v>1979</v>
      </c>
      <c r="O2943">
        <v>5541.36</v>
      </c>
      <c r="P2943" t="s">
        <v>1444</v>
      </c>
    </row>
    <row r="2944" spans="1:16" ht="15" customHeight="1" x14ac:dyDescent="0.4">
      <c r="A2944" t="s">
        <v>15</v>
      </c>
      <c r="B2944" t="s">
        <v>16</v>
      </c>
      <c r="C2944" s="13">
        <v>43101</v>
      </c>
      <c r="D2944" s="13">
        <v>43465</v>
      </c>
      <c r="E2944" t="s">
        <v>30</v>
      </c>
      <c r="F2944">
        <v>0</v>
      </c>
      <c r="G2944" t="s">
        <v>18</v>
      </c>
      <c r="H2944">
        <v>1</v>
      </c>
      <c r="I2944" t="s">
        <v>19</v>
      </c>
      <c r="J2944">
        <v>847</v>
      </c>
      <c r="K2944" t="s">
        <v>324</v>
      </c>
      <c r="L2944" s="13">
        <v>43305</v>
      </c>
      <c r="M2944" t="s">
        <v>1982</v>
      </c>
      <c r="N2944" t="s">
        <v>46</v>
      </c>
      <c r="O2944">
        <v>19.899999999999999</v>
      </c>
      <c r="P2944" t="s">
        <v>46</v>
      </c>
    </row>
    <row r="2945" spans="1:16" ht="15" customHeight="1" x14ac:dyDescent="0.4">
      <c r="A2945" t="s">
        <v>15</v>
      </c>
      <c r="B2945" t="s">
        <v>16</v>
      </c>
      <c r="C2945" s="13">
        <v>43101</v>
      </c>
      <c r="D2945" s="13">
        <v>43465</v>
      </c>
      <c r="E2945" t="s">
        <v>30</v>
      </c>
      <c r="F2945">
        <v>0</v>
      </c>
      <c r="G2945" t="s">
        <v>18</v>
      </c>
      <c r="H2945">
        <v>1</v>
      </c>
      <c r="I2945" t="s">
        <v>19</v>
      </c>
      <c r="J2945">
        <v>847</v>
      </c>
      <c r="K2945" t="s">
        <v>324</v>
      </c>
      <c r="L2945" s="13">
        <v>43305</v>
      </c>
      <c r="M2945" t="s">
        <v>1981</v>
      </c>
      <c r="N2945" t="s">
        <v>46</v>
      </c>
      <c r="O2945">
        <v>144.15</v>
      </c>
      <c r="P2945" t="s">
        <v>46</v>
      </c>
    </row>
    <row r="2946" spans="1:16" ht="15" customHeight="1" x14ac:dyDescent="0.4">
      <c r="A2946" t="s">
        <v>15</v>
      </c>
      <c r="B2946" t="s">
        <v>16</v>
      </c>
      <c r="C2946" s="13">
        <v>43101</v>
      </c>
      <c r="D2946" s="13">
        <v>43465</v>
      </c>
      <c r="E2946" t="s">
        <v>30</v>
      </c>
      <c r="F2946">
        <v>0</v>
      </c>
      <c r="G2946" t="s">
        <v>18</v>
      </c>
      <c r="H2946">
        <v>1</v>
      </c>
      <c r="I2946" t="s">
        <v>19</v>
      </c>
      <c r="J2946">
        <v>847</v>
      </c>
      <c r="K2946" t="s">
        <v>324</v>
      </c>
      <c r="L2946" s="13">
        <v>43305</v>
      </c>
      <c r="M2946" t="s">
        <v>1983</v>
      </c>
      <c r="N2946" t="s">
        <v>46</v>
      </c>
      <c r="O2946">
        <v>24.55</v>
      </c>
      <c r="P2946" t="s">
        <v>46</v>
      </c>
    </row>
    <row r="2947" spans="1:16" ht="15" customHeight="1" x14ac:dyDescent="0.4">
      <c r="A2947" t="s">
        <v>15</v>
      </c>
      <c r="B2947" t="s">
        <v>16</v>
      </c>
      <c r="C2947" s="13">
        <v>43101</v>
      </c>
      <c r="D2947" s="13">
        <v>43465</v>
      </c>
      <c r="E2947" t="s">
        <v>30</v>
      </c>
      <c r="F2947">
        <v>0</v>
      </c>
      <c r="G2947" t="s">
        <v>18</v>
      </c>
      <c r="H2947">
        <v>1</v>
      </c>
      <c r="I2947" t="s">
        <v>19</v>
      </c>
      <c r="J2947">
        <v>847</v>
      </c>
      <c r="K2947" t="s">
        <v>324</v>
      </c>
      <c r="L2947" s="13">
        <v>43305</v>
      </c>
      <c r="M2947" t="s">
        <v>1980</v>
      </c>
      <c r="N2947" t="s">
        <v>46</v>
      </c>
      <c r="O2947">
        <v>15.58</v>
      </c>
      <c r="P2947" t="s">
        <v>46</v>
      </c>
    </row>
    <row r="2948" spans="1:16" ht="15" customHeight="1" x14ac:dyDescent="0.4">
      <c r="A2948" t="s">
        <v>15</v>
      </c>
      <c r="B2948" t="s">
        <v>16</v>
      </c>
      <c r="C2948" s="13">
        <v>43101</v>
      </c>
      <c r="D2948" s="13">
        <v>43465</v>
      </c>
      <c r="E2948" t="s">
        <v>30</v>
      </c>
      <c r="F2948">
        <v>0</v>
      </c>
      <c r="G2948" t="s">
        <v>18</v>
      </c>
      <c r="H2948">
        <v>1</v>
      </c>
      <c r="I2948" t="s">
        <v>19</v>
      </c>
      <c r="J2948">
        <v>847</v>
      </c>
      <c r="K2948" t="s">
        <v>324</v>
      </c>
      <c r="L2948" s="13">
        <v>43348</v>
      </c>
      <c r="M2948" t="s">
        <v>1984</v>
      </c>
      <c r="N2948" t="s">
        <v>46</v>
      </c>
      <c r="O2948">
        <v>139.5</v>
      </c>
      <c r="P2948" t="s">
        <v>46</v>
      </c>
    </row>
    <row r="2949" spans="1:16" ht="15" customHeight="1" x14ac:dyDescent="0.4">
      <c r="A2949" t="s">
        <v>15</v>
      </c>
      <c r="B2949" t="s">
        <v>16</v>
      </c>
      <c r="C2949" s="13">
        <v>43101</v>
      </c>
      <c r="D2949" s="13">
        <v>43465</v>
      </c>
      <c r="E2949" t="s">
        <v>30</v>
      </c>
      <c r="F2949">
        <v>0</v>
      </c>
      <c r="G2949" t="s">
        <v>18</v>
      </c>
      <c r="H2949">
        <v>1</v>
      </c>
      <c r="I2949" t="s">
        <v>19</v>
      </c>
      <c r="J2949">
        <v>847</v>
      </c>
      <c r="K2949" t="s">
        <v>324</v>
      </c>
      <c r="L2949" s="13">
        <v>43357</v>
      </c>
      <c r="M2949" t="s">
        <v>1986</v>
      </c>
      <c r="N2949" t="s">
        <v>46</v>
      </c>
      <c r="O2949">
        <v>257.95999999999998</v>
      </c>
      <c r="P2949" t="s">
        <v>46</v>
      </c>
    </row>
    <row r="2950" spans="1:16" ht="15" customHeight="1" x14ac:dyDescent="0.4">
      <c r="A2950" t="s">
        <v>15</v>
      </c>
      <c r="B2950" t="s">
        <v>16</v>
      </c>
      <c r="C2950" s="13">
        <v>43101</v>
      </c>
      <c r="D2950" s="13">
        <v>43465</v>
      </c>
      <c r="E2950" t="s">
        <v>30</v>
      </c>
      <c r="F2950">
        <v>0</v>
      </c>
      <c r="G2950" t="s">
        <v>18</v>
      </c>
      <c r="H2950">
        <v>1</v>
      </c>
      <c r="I2950" t="s">
        <v>19</v>
      </c>
      <c r="J2950">
        <v>847</v>
      </c>
      <c r="K2950" t="s">
        <v>324</v>
      </c>
      <c r="L2950" s="13">
        <v>43357</v>
      </c>
      <c r="M2950" t="s">
        <v>1980</v>
      </c>
      <c r="N2950" t="s">
        <v>46</v>
      </c>
      <c r="O2950">
        <v>15</v>
      </c>
      <c r="P2950" t="s">
        <v>46</v>
      </c>
    </row>
    <row r="2951" spans="1:16" ht="15" customHeight="1" x14ac:dyDescent="0.4">
      <c r="A2951" t="s">
        <v>15</v>
      </c>
      <c r="B2951" t="s">
        <v>16</v>
      </c>
      <c r="C2951" s="13">
        <v>43101</v>
      </c>
      <c r="D2951" s="13">
        <v>43465</v>
      </c>
      <c r="E2951" t="s">
        <v>30</v>
      </c>
      <c r="F2951">
        <v>0</v>
      </c>
      <c r="G2951" t="s">
        <v>18</v>
      </c>
      <c r="H2951">
        <v>1</v>
      </c>
      <c r="I2951" t="s">
        <v>19</v>
      </c>
      <c r="J2951">
        <v>847</v>
      </c>
      <c r="K2951" t="s">
        <v>324</v>
      </c>
      <c r="L2951" s="13">
        <v>43357</v>
      </c>
      <c r="M2951" t="s">
        <v>1985</v>
      </c>
      <c r="N2951" t="s">
        <v>46</v>
      </c>
      <c r="O2951">
        <v>207.02</v>
      </c>
      <c r="P2951" t="s">
        <v>46</v>
      </c>
    </row>
    <row r="2952" spans="1:16" ht="15" customHeight="1" x14ac:dyDescent="0.4">
      <c r="A2952" t="s">
        <v>15</v>
      </c>
      <c r="B2952" t="s">
        <v>16</v>
      </c>
      <c r="C2952" s="13">
        <v>43101</v>
      </c>
      <c r="D2952" s="13">
        <v>43465</v>
      </c>
      <c r="E2952" t="s">
        <v>17</v>
      </c>
      <c r="F2952">
        <v>0</v>
      </c>
      <c r="G2952" t="s">
        <v>18</v>
      </c>
      <c r="H2952">
        <v>1</v>
      </c>
      <c r="I2952" t="s">
        <v>19</v>
      </c>
      <c r="J2952">
        <v>881</v>
      </c>
      <c r="K2952" t="s">
        <v>327</v>
      </c>
      <c r="L2952" s="13">
        <v>43465</v>
      </c>
      <c r="M2952" t="s">
        <v>328</v>
      </c>
      <c r="N2952" t="s">
        <v>329</v>
      </c>
      <c r="O2952">
        <v>28.06</v>
      </c>
      <c r="P2952" t="s">
        <v>46</v>
      </c>
    </row>
    <row r="2953" spans="1:16" ht="15" customHeight="1" x14ac:dyDescent="0.4">
      <c r="A2953" t="s">
        <v>15</v>
      </c>
      <c r="B2953" t="s">
        <v>16</v>
      </c>
      <c r="C2953" s="13">
        <v>43101</v>
      </c>
      <c r="D2953" s="13">
        <v>43465</v>
      </c>
      <c r="E2953" t="s">
        <v>17</v>
      </c>
      <c r="F2953">
        <v>0</v>
      </c>
      <c r="G2953" t="s">
        <v>18</v>
      </c>
      <c r="H2953">
        <v>1</v>
      </c>
      <c r="I2953" t="s">
        <v>19</v>
      </c>
      <c r="J2953">
        <v>883</v>
      </c>
      <c r="K2953" t="s">
        <v>330</v>
      </c>
      <c r="L2953" s="13">
        <v>43146</v>
      </c>
      <c r="M2953" t="s">
        <v>1987</v>
      </c>
      <c r="N2953" t="s">
        <v>1988</v>
      </c>
      <c r="O2953">
        <v>114.36</v>
      </c>
      <c r="P2953" t="s">
        <v>1444</v>
      </c>
    </row>
    <row r="2954" spans="1:16" ht="15" customHeight="1" x14ac:dyDescent="0.4">
      <c r="A2954" t="s">
        <v>15</v>
      </c>
      <c r="B2954" t="s">
        <v>16</v>
      </c>
      <c r="C2954" s="13">
        <v>43101</v>
      </c>
      <c r="D2954" s="13">
        <v>43465</v>
      </c>
      <c r="E2954" t="s">
        <v>17</v>
      </c>
      <c r="F2954">
        <v>0</v>
      </c>
      <c r="G2954" t="s">
        <v>18</v>
      </c>
      <c r="H2954">
        <v>1</v>
      </c>
      <c r="I2954" t="s">
        <v>19</v>
      </c>
      <c r="J2954">
        <v>905</v>
      </c>
      <c r="K2954" t="s">
        <v>1989</v>
      </c>
      <c r="L2954" s="13">
        <v>43465</v>
      </c>
      <c r="M2954" t="s">
        <v>1990</v>
      </c>
      <c r="N2954" t="s">
        <v>1991</v>
      </c>
      <c r="O2954">
        <v>241.42</v>
      </c>
      <c r="P2954" t="s">
        <v>52</v>
      </c>
    </row>
    <row r="2955" spans="1:16" ht="15" customHeight="1" x14ac:dyDescent="0.4">
      <c r="A2955" t="s">
        <v>15</v>
      </c>
      <c r="B2955" t="s">
        <v>16</v>
      </c>
      <c r="C2955" s="13">
        <v>43101</v>
      </c>
      <c r="D2955" s="13">
        <v>43465</v>
      </c>
      <c r="E2955" t="s">
        <v>17</v>
      </c>
      <c r="F2955">
        <v>0</v>
      </c>
      <c r="G2955" t="s">
        <v>18</v>
      </c>
      <c r="H2955">
        <v>1</v>
      </c>
      <c r="I2955" t="s">
        <v>19</v>
      </c>
      <c r="J2955">
        <v>905</v>
      </c>
      <c r="K2955" t="s">
        <v>1989</v>
      </c>
      <c r="L2955" s="13">
        <v>43465</v>
      </c>
      <c r="M2955" t="s">
        <v>1992</v>
      </c>
      <c r="N2955" t="s">
        <v>1993</v>
      </c>
      <c r="O2955">
        <v>-220.99</v>
      </c>
      <c r="P2955" t="s">
        <v>1994</v>
      </c>
    </row>
    <row r="2956" spans="1:16" ht="15" customHeight="1" x14ac:dyDescent="0.4">
      <c r="A2956" t="s">
        <v>15</v>
      </c>
      <c r="B2956" t="s">
        <v>16</v>
      </c>
      <c r="C2956" s="13">
        <v>43101</v>
      </c>
      <c r="D2956" s="13">
        <v>43465</v>
      </c>
      <c r="E2956" t="s">
        <v>17</v>
      </c>
      <c r="F2956">
        <v>0</v>
      </c>
      <c r="G2956" t="s">
        <v>18</v>
      </c>
      <c r="H2956">
        <v>1</v>
      </c>
      <c r="I2956" t="s">
        <v>19</v>
      </c>
      <c r="J2956">
        <v>905</v>
      </c>
      <c r="K2956" t="s">
        <v>1989</v>
      </c>
      <c r="L2956" s="13">
        <v>43465</v>
      </c>
      <c r="M2956" t="s">
        <v>1995</v>
      </c>
      <c r="N2956" t="s">
        <v>1996</v>
      </c>
      <c r="O2956">
        <v>-114.82</v>
      </c>
      <c r="P2956" t="s">
        <v>1997</v>
      </c>
    </row>
    <row r="2957" spans="1:16" ht="15" customHeight="1" x14ac:dyDescent="0.4">
      <c r="A2957" t="s">
        <v>15</v>
      </c>
      <c r="B2957" t="s">
        <v>16</v>
      </c>
      <c r="C2957" s="13">
        <v>43101</v>
      </c>
      <c r="D2957" s="13">
        <v>43465</v>
      </c>
      <c r="E2957" t="s">
        <v>17</v>
      </c>
      <c r="F2957">
        <v>0</v>
      </c>
      <c r="G2957" t="s">
        <v>18</v>
      </c>
      <c r="H2957">
        <v>1</v>
      </c>
      <c r="I2957" t="s">
        <v>19</v>
      </c>
      <c r="J2957">
        <v>909</v>
      </c>
      <c r="K2957" t="s">
        <v>334</v>
      </c>
      <c r="L2957" s="13">
        <v>43465</v>
      </c>
      <c r="M2957" t="s">
        <v>1998</v>
      </c>
      <c r="N2957" t="s">
        <v>1999</v>
      </c>
      <c r="O2957">
        <v>-41394.99</v>
      </c>
      <c r="P2957" t="s">
        <v>1444</v>
      </c>
    </row>
    <row r="2958" spans="1:16" ht="15" customHeight="1" x14ac:dyDescent="0.4">
      <c r="A2958" t="s">
        <v>15</v>
      </c>
      <c r="B2958" t="s">
        <v>16</v>
      </c>
      <c r="C2958" s="13">
        <v>43101</v>
      </c>
      <c r="D2958" s="13">
        <v>43465</v>
      </c>
      <c r="E2958" t="s">
        <v>17</v>
      </c>
      <c r="F2958">
        <v>0</v>
      </c>
      <c r="G2958" t="s">
        <v>18</v>
      </c>
      <c r="H2958">
        <v>1</v>
      </c>
      <c r="I2958" t="s">
        <v>19</v>
      </c>
      <c r="J2958">
        <v>952</v>
      </c>
      <c r="K2958" t="s">
        <v>336</v>
      </c>
      <c r="L2958" s="13">
        <v>43158</v>
      </c>
      <c r="M2958" t="s">
        <v>2000</v>
      </c>
      <c r="N2958" t="s">
        <v>2001</v>
      </c>
      <c r="O2958">
        <v>-928.29</v>
      </c>
      <c r="P2958" t="s">
        <v>46</v>
      </c>
    </row>
    <row r="2959" spans="1:16" ht="15" customHeight="1" x14ac:dyDescent="0.4">
      <c r="A2959" t="s">
        <v>15</v>
      </c>
      <c r="B2959" t="s">
        <v>16</v>
      </c>
      <c r="C2959" s="13">
        <v>43101</v>
      </c>
      <c r="D2959" s="13">
        <v>43465</v>
      </c>
      <c r="E2959" t="s">
        <v>17</v>
      </c>
      <c r="F2959">
        <v>0</v>
      </c>
      <c r="G2959" t="s">
        <v>18</v>
      </c>
      <c r="H2959">
        <v>1</v>
      </c>
      <c r="I2959" t="s">
        <v>19</v>
      </c>
      <c r="J2959">
        <v>952</v>
      </c>
      <c r="K2959" t="s">
        <v>336</v>
      </c>
      <c r="L2959" s="13">
        <v>43320</v>
      </c>
      <c r="M2959" t="s">
        <v>1650</v>
      </c>
      <c r="N2959" t="s">
        <v>2002</v>
      </c>
      <c r="O2959">
        <v>-3126.57</v>
      </c>
      <c r="P2959" t="s">
        <v>46</v>
      </c>
    </row>
    <row r="2960" spans="1:16" ht="15" customHeight="1" x14ac:dyDescent="0.4">
      <c r="A2960" t="s">
        <v>15</v>
      </c>
      <c r="B2960" t="s">
        <v>16</v>
      </c>
      <c r="C2960" s="13">
        <v>43101</v>
      </c>
      <c r="D2960" s="13">
        <v>43465</v>
      </c>
      <c r="E2960" t="s">
        <v>17</v>
      </c>
      <c r="F2960">
        <v>0</v>
      </c>
      <c r="G2960" t="s">
        <v>18</v>
      </c>
      <c r="H2960">
        <v>1</v>
      </c>
      <c r="I2960" t="s">
        <v>19</v>
      </c>
      <c r="J2960">
        <v>959</v>
      </c>
      <c r="K2960" t="s">
        <v>2003</v>
      </c>
      <c r="L2960" s="13">
        <v>43174</v>
      </c>
      <c r="M2960" t="s">
        <v>2004</v>
      </c>
      <c r="N2960" t="s">
        <v>2005</v>
      </c>
      <c r="O2960">
        <v>-209.1</v>
      </c>
      <c r="P2960" t="s">
        <v>46</v>
      </c>
    </row>
    <row r="2961" spans="1:16" ht="15" customHeight="1" x14ac:dyDescent="0.4">
      <c r="A2961" t="s">
        <v>15</v>
      </c>
      <c r="B2961" t="s">
        <v>16</v>
      </c>
      <c r="C2961" s="13">
        <v>43101</v>
      </c>
      <c r="D2961" s="13">
        <v>43465</v>
      </c>
      <c r="E2961" t="s">
        <v>17</v>
      </c>
      <c r="F2961">
        <v>0</v>
      </c>
      <c r="G2961" t="s">
        <v>18</v>
      </c>
      <c r="H2961">
        <v>1</v>
      </c>
      <c r="I2961" t="s">
        <v>19</v>
      </c>
      <c r="J2961">
        <v>988</v>
      </c>
      <c r="K2961" t="s">
        <v>339</v>
      </c>
      <c r="L2961" s="13">
        <v>43101</v>
      </c>
      <c r="M2961" t="s">
        <v>2006</v>
      </c>
      <c r="N2961" t="s">
        <v>341</v>
      </c>
      <c r="O2961">
        <v>0.28999999999999998</v>
      </c>
      <c r="P2961" t="s">
        <v>46</v>
      </c>
    </row>
    <row r="2962" spans="1:16" ht="15" customHeight="1" x14ac:dyDescent="0.4">
      <c r="A2962" t="s">
        <v>15</v>
      </c>
      <c r="B2962" t="s">
        <v>16</v>
      </c>
      <c r="C2962" s="13">
        <v>43101</v>
      </c>
      <c r="D2962" s="13">
        <v>43465</v>
      </c>
      <c r="E2962" t="s">
        <v>17</v>
      </c>
      <c r="F2962">
        <v>0</v>
      </c>
      <c r="G2962" t="s">
        <v>18</v>
      </c>
      <c r="H2962">
        <v>1</v>
      </c>
      <c r="I2962" t="s">
        <v>19</v>
      </c>
      <c r="J2962">
        <v>988</v>
      </c>
      <c r="K2962" t="s">
        <v>339</v>
      </c>
      <c r="L2962" s="13">
        <v>43465</v>
      </c>
      <c r="M2962" t="s">
        <v>2007</v>
      </c>
      <c r="N2962" t="s">
        <v>341</v>
      </c>
      <c r="O2962">
        <v>-0.03</v>
      </c>
      <c r="P2962" t="s">
        <v>46</v>
      </c>
    </row>
    <row r="2963" spans="1:16" ht="15" customHeight="1" x14ac:dyDescent="0.4">
      <c r="A2963" t="s">
        <v>15</v>
      </c>
      <c r="B2963" t="s">
        <v>16</v>
      </c>
      <c r="C2963" s="13">
        <v>43101</v>
      </c>
      <c r="D2963" s="13">
        <v>43465</v>
      </c>
      <c r="E2963" t="s">
        <v>17</v>
      </c>
      <c r="F2963">
        <v>0</v>
      </c>
      <c r="G2963" t="s">
        <v>18</v>
      </c>
      <c r="H2963">
        <v>1</v>
      </c>
      <c r="I2963" t="s">
        <v>19</v>
      </c>
      <c r="J2963">
        <v>988</v>
      </c>
      <c r="K2963" t="s">
        <v>339</v>
      </c>
      <c r="L2963" s="13">
        <v>43465</v>
      </c>
      <c r="M2963" t="s">
        <v>2008</v>
      </c>
      <c r="N2963" t="s">
        <v>46</v>
      </c>
      <c r="O2963">
        <v>0.47</v>
      </c>
      <c r="P2963" t="s">
        <v>46</v>
      </c>
    </row>
    <row r="2964" spans="1:16" ht="15" customHeight="1" x14ac:dyDescent="0.4">
      <c r="A2964" t="s">
        <v>15</v>
      </c>
      <c r="B2964" t="s">
        <v>16</v>
      </c>
      <c r="C2964" s="13">
        <v>43101</v>
      </c>
      <c r="D2964" s="13">
        <v>43465</v>
      </c>
      <c r="E2964" t="s">
        <v>17</v>
      </c>
      <c r="F2964">
        <v>0</v>
      </c>
      <c r="G2964" t="s">
        <v>18</v>
      </c>
      <c r="H2964">
        <v>1</v>
      </c>
      <c r="I2964" t="s">
        <v>19</v>
      </c>
      <c r="J2964">
        <v>988</v>
      </c>
      <c r="K2964" t="s">
        <v>339</v>
      </c>
      <c r="L2964" s="13">
        <v>43465</v>
      </c>
      <c r="M2964" t="s">
        <v>2009</v>
      </c>
      <c r="N2964" t="s">
        <v>341</v>
      </c>
      <c r="O2964">
        <v>0.03</v>
      </c>
      <c r="P2964" t="s">
        <v>46</v>
      </c>
    </row>
    <row r="2965" spans="1:16" ht="15" customHeight="1" x14ac:dyDescent="0.4">
      <c r="A2965" t="s">
        <v>15</v>
      </c>
      <c r="B2965" t="s">
        <v>16</v>
      </c>
      <c r="C2965" s="13">
        <v>43101</v>
      </c>
      <c r="D2965" s="13">
        <v>43465</v>
      </c>
      <c r="E2965" t="s">
        <v>17</v>
      </c>
      <c r="F2965">
        <v>0</v>
      </c>
      <c r="G2965" t="s">
        <v>18</v>
      </c>
      <c r="H2965">
        <v>1</v>
      </c>
      <c r="I2965" t="s">
        <v>19</v>
      </c>
      <c r="J2965">
        <v>988</v>
      </c>
      <c r="K2965" t="s">
        <v>339</v>
      </c>
      <c r="L2965" s="13">
        <v>43465</v>
      </c>
      <c r="M2965" t="s">
        <v>2009</v>
      </c>
      <c r="N2965" t="s">
        <v>341</v>
      </c>
      <c r="O2965">
        <v>0.06</v>
      </c>
      <c r="P2965" t="s">
        <v>46</v>
      </c>
    </row>
    <row r="2966" spans="1:16" ht="15" customHeight="1" x14ac:dyDescent="0.4">
      <c r="A2966" t="s">
        <v>15</v>
      </c>
      <c r="B2966" t="s">
        <v>16</v>
      </c>
      <c r="C2966" s="13">
        <v>43101</v>
      </c>
      <c r="D2966" s="13">
        <v>43465</v>
      </c>
      <c r="E2966" t="s">
        <v>17</v>
      </c>
      <c r="F2966">
        <v>0</v>
      </c>
      <c r="G2966" t="s">
        <v>18</v>
      </c>
      <c r="H2966">
        <v>1</v>
      </c>
      <c r="I2966" t="s">
        <v>19</v>
      </c>
      <c r="J2966">
        <v>988</v>
      </c>
      <c r="K2966" t="s">
        <v>339</v>
      </c>
      <c r="L2966" s="13">
        <v>43465</v>
      </c>
      <c r="M2966" t="s">
        <v>2012</v>
      </c>
      <c r="N2966" t="s">
        <v>341</v>
      </c>
      <c r="O2966">
        <v>0.02</v>
      </c>
      <c r="P2966" t="s">
        <v>46</v>
      </c>
    </row>
    <row r="2967" spans="1:16" ht="15" customHeight="1" x14ac:dyDescent="0.4">
      <c r="A2967" t="s">
        <v>15</v>
      </c>
      <c r="B2967" t="s">
        <v>16</v>
      </c>
      <c r="C2967" s="13">
        <v>43101</v>
      </c>
      <c r="D2967" s="13">
        <v>43465</v>
      </c>
      <c r="E2967" t="s">
        <v>17</v>
      </c>
      <c r="F2967">
        <v>0</v>
      </c>
      <c r="G2967" t="s">
        <v>18</v>
      </c>
      <c r="H2967">
        <v>1</v>
      </c>
      <c r="I2967" t="s">
        <v>19</v>
      </c>
      <c r="J2967">
        <v>988</v>
      </c>
      <c r="K2967" t="s">
        <v>339</v>
      </c>
      <c r="L2967" s="13">
        <v>43465</v>
      </c>
      <c r="M2967" t="s">
        <v>2010</v>
      </c>
      <c r="N2967" t="s">
        <v>341</v>
      </c>
      <c r="O2967">
        <v>-0.13</v>
      </c>
      <c r="P2967" t="s">
        <v>46</v>
      </c>
    </row>
    <row r="2968" spans="1:16" ht="15" customHeight="1" x14ac:dyDescent="0.4">
      <c r="A2968" t="s">
        <v>15</v>
      </c>
      <c r="B2968" t="s">
        <v>16</v>
      </c>
      <c r="C2968" s="13">
        <v>43101</v>
      </c>
      <c r="D2968" s="13">
        <v>43465</v>
      </c>
      <c r="E2968" t="s">
        <v>17</v>
      </c>
      <c r="F2968">
        <v>0</v>
      </c>
      <c r="G2968" t="s">
        <v>18</v>
      </c>
      <c r="H2968">
        <v>1</v>
      </c>
      <c r="I2968" t="s">
        <v>19</v>
      </c>
      <c r="J2968">
        <v>988</v>
      </c>
      <c r="K2968" t="s">
        <v>339</v>
      </c>
      <c r="L2968" s="13">
        <v>43465</v>
      </c>
      <c r="M2968" t="s">
        <v>2011</v>
      </c>
      <c r="N2968" t="s">
        <v>341</v>
      </c>
      <c r="O2968">
        <v>0.08</v>
      </c>
      <c r="P2968" t="s">
        <v>46</v>
      </c>
    </row>
    <row r="2969" spans="1:16" ht="15" customHeight="1" x14ac:dyDescent="0.4">
      <c r="A2969" t="s">
        <v>15</v>
      </c>
      <c r="B2969" t="s">
        <v>16</v>
      </c>
      <c r="C2969" s="13">
        <v>43101</v>
      </c>
      <c r="D2969" s="13">
        <v>43465</v>
      </c>
      <c r="E2969" t="s">
        <v>17</v>
      </c>
      <c r="F2969">
        <v>0</v>
      </c>
      <c r="G2969" t="s">
        <v>18</v>
      </c>
      <c r="H2969">
        <v>1</v>
      </c>
      <c r="I2969" t="s">
        <v>19</v>
      </c>
      <c r="J2969">
        <v>988</v>
      </c>
      <c r="K2969" t="s">
        <v>339</v>
      </c>
      <c r="L2969" s="13">
        <v>43465</v>
      </c>
      <c r="M2969" t="s">
        <v>2010</v>
      </c>
      <c r="N2969" t="s">
        <v>341</v>
      </c>
      <c r="O2969">
        <v>0.02</v>
      </c>
      <c r="P2969" t="s">
        <v>46</v>
      </c>
    </row>
    <row r="2970" spans="1:16" ht="15" customHeight="1" x14ac:dyDescent="0.4">
      <c r="A2970" t="s">
        <v>15</v>
      </c>
      <c r="B2970" t="s">
        <v>16</v>
      </c>
      <c r="C2970" s="13">
        <v>43101</v>
      </c>
      <c r="D2970" s="13">
        <v>43465</v>
      </c>
      <c r="E2970" t="s">
        <v>17</v>
      </c>
      <c r="F2970">
        <v>0</v>
      </c>
      <c r="G2970" t="s">
        <v>342</v>
      </c>
      <c r="H2970">
        <v>2</v>
      </c>
      <c r="I2970" t="s">
        <v>343</v>
      </c>
      <c r="J2970">
        <v>117</v>
      </c>
      <c r="K2970" t="s">
        <v>623</v>
      </c>
      <c r="L2970" s="13">
        <v>43346</v>
      </c>
      <c r="M2970" t="s">
        <v>1774</v>
      </c>
      <c r="N2970" t="s">
        <v>46</v>
      </c>
      <c r="O2970">
        <v>703.15</v>
      </c>
      <c r="P2970" t="s">
        <v>46</v>
      </c>
    </row>
    <row r="2971" spans="1:16" ht="15" customHeight="1" x14ac:dyDescent="0.4">
      <c r="A2971" t="s">
        <v>15</v>
      </c>
      <c r="B2971" t="s">
        <v>16</v>
      </c>
      <c r="C2971" s="13">
        <v>43101</v>
      </c>
      <c r="D2971" s="13">
        <v>43465</v>
      </c>
      <c r="E2971" t="s">
        <v>30</v>
      </c>
      <c r="F2971">
        <v>0</v>
      </c>
      <c r="G2971" t="s">
        <v>342</v>
      </c>
      <c r="H2971">
        <v>2</v>
      </c>
      <c r="I2971" t="s">
        <v>343</v>
      </c>
      <c r="J2971">
        <v>233</v>
      </c>
      <c r="K2971" t="s">
        <v>2013</v>
      </c>
      <c r="L2971" s="13">
        <v>43110</v>
      </c>
      <c r="M2971" t="s">
        <v>2014</v>
      </c>
      <c r="N2971" t="s">
        <v>46</v>
      </c>
      <c r="O2971">
        <v>186.13</v>
      </c>
      <c r="P2971" t="s">
        <v>46</v>
      </c>
    </row>
    <row r="2972" spans="1:16" ht="15" customHeight="1" x14ac:dyDescent="0.4">
      <c r="A2972" t="s">
        <v>15</v>
      </c>
      <c r="B2972" t="s">
        <v>16</v>
      </c>
      <c r="C2972" s="13">
        <v>43101</v>
      </c>
      <c r="D2972" s="13">
        <v>43465</v>
      </c>
      <c r="E2972" t="s">
        <v>17</v>
      </c>
      <c r="F2972">
        <v>0</v>
      </c>
      <c r="G2972" t="s">
        <v>342</v>
      </c>
      <c r="H2972">
        <v>2</v>
      </c>
      <c r="I2972" t="s">
        <v>343</v>
      </c>
      <c r="J2972">
        <v>242</v>
      </c>
      <c r="K2972" t="s">
        <v>348</v>
      </c>
      <c r="L2972" s="13">
        <v>43465</v>
      </c>
      <c r="M2972" t="s">
        <v>2015</v>
      </c>
      <c r="N2972" t="s">
        <v>45</v>
      </c>
      <c r="O2972">
        <v>438.77</v>
      </c>
      <c r="P2972" t="s">
        <v>46</v>
      </c>
    </row>
    <row r="2973" spans="1:16" ht="15" customHeight="1" x14ac:dyDescent="0.4">
      <c r="A2973" t="s">
        <v>15</v>
      </c>
      <c r="B2973" t="s">
        <v>16</v>
      </c>
      <c r="C2973" s="13">
        <v>43101</v>
      </c>
      <c r="D2973" s="13">
        <v>43465</v>
      </c>
      <c r="E2973" t="s">
        <v>17</v>
      </c>
      <c r="F2973">
        <v>0</v>
      </c>
      <c r="G2973" t="s">
        <v>342</v>
      </c>
      <c r="H2973">
        <v>2</v>
      </c>
      <c r="I2973" t="s">
        <v>343</v>
      </c>
      <c r="J2973">
        <v>269</v>
      </c>
      <c r="K2973" t="s">
        <v>350</v>
      </c>
      <c r="L2973" s="13">
        <v>43122</v>
      </c>
      <c r="M2973" t="s">
        <v>351</v>
      </c>
      <c r="N2973" t="s">
        <v>2016</v>
      </c>
      <c r="O2973">
        <v>46.27</v>
      </c>
      <c r="P2973" t="s">
        <v>52</v>
      </c>
    </row>
    <row r="2974" spans="1:16" ht="15" customHeight="1" x14ac:dyDescent="0.4">
      <c r="A2974" t="s">
        <v>15</v>
      </c>
      <c r="B2974" t="s">
        <v>16</v>
      </c>
      <c r="C2974" s="13">
        <v>43101</v>
      </c>
      <c r="D2974" s="13">
        <v>43465</v>
      </c>
      <c r="E2974" t="s">
        <v>17</v>
      </c>
      <c r="F2974">
        <v>0</v>
      </c>
      <c r="G2974" t="s">
        <v>342</v>
      </c>
      <c r="H2974">
        <v>2</v>
      </c>
      <c r="I2974" t="s">
        <v>343</v>
      </c>
      <c r="J2974">
        <v>269</v>
      </c>
      <c r="K2974" t="s">
        <v>350</v>
      </c>
      <c r="L2974" s="13">
        <v>43181</v>
      </c>
      <c r="M2974" t="s">
        <v>351</v>
      </c>
      <c r="N2974" t="s">
        <v>2017</v>
      </c>
      <c r="O2974">
        <v>27.44</v>
      </c>
      <c r="P2974" t="s">
        <v>52</v>
      </c>
    </row>
    <row r="2975" spans="1:16" ht="15" customHeight="1" x14ac:dyDescent="0.4">
      <c r="A2975" t="s">
        <v>15</v>
      </c>
      <c r="B2975" t="s">
        <v>16</v>
      </c>
      <c r="C2975" s="13">
        <v>43101</v>
      </c>
      <c r="D2975" s="13">
        <v>43465</v>
      </c>
      <c r="E2975" t="s">
        <v>17</v>
      </c>
      <c r="F2975">
        <v>0</v>
      </c>
      <c r="G2975" t="s">
        <v>342</v>
      </c>
      <c r="H2975">
        <v>2</v>
      </c>
      <c r="I2975" t="s">
        <v>343</v>
      </c>
      <c r="J2975">
        <v>269</v>
      </c>
      <c r="K2975" t="s">
        <v>350</v>
      </c>
      <c r="L2975" s="13">
        <v>43242</v>
      </c>
      <c r="M2975" t="s">
        <v>351</v>
      </c>
      <c r="N2975" t="s">
        <v>2018</v>
      </c>
      <c r="O2975">
        <v>26.66</v>
      </c>
      <c r="P2975" t="s">
        <v>52</v>
      </c>
    </row>
    <row r="2976" spans="1:16" ht="15" customHeight="1" x14ac:dyDescent="0.4">
      <c r="A2976" t="s">
        <v>15</v>
      </c>
      <c r="B2976" t="s">
        <v>16</v>
      </c>
      <c r="C2976" s="13">
        <v>43101</v>
      </c>
      <c r="D2976" s="13">
        <v>43465</v>
      </c>
      <c r="E2976" t="s">
        <v>17</v>
      </c>
      <c r="F2976">
        <v>0</v>
      </c>
      <c r="G2976" t="s">
        <v>342</v>
      </c>
      <c r="H2976">
        <v>2</v>
      </c>
      <c r="I2976" t="s">
        <v>343</v>
      </c>
      <c r="J2976">
        <v>269</v>
      </c>
      <c r="K2976" t="s">
        <v>350</v>
      </c>
      <c r="L2976" s="13">
        <v>43303</v>
      </c>
      <c r="M2976" t="s">
        <v>351</v>
      </c>
      <c r="N2976" t="s">
        <v>2019</v>
      </c>
      <c r="O2976">
        <v>26.07</v>
      </c>
      <c r="P2976" t="s">
        <v>52</v>
      </c>
    </row>
    <row r="2977" spans="1:16" ht="15" customHeight="1" x14ac:dyDescent="0.4">
      <c r="A2977" t="s">
        <v>15</v>
      </c>
      <c r="B2977" t="s">
        <v>16</v>
      </c>
      <c r="C2977" s="13">
        <v>43101</v>
      </c>
      <c r="D2977" s="13">
        <v>43465</v>
      </c>
      <c r="E2977" t="s">
        <v>17</v>
      </c>
      <c r="F2977">
        <v>0</v>
      </c>
      <c r="G2977" t="s">
        <v>342</v>
      </c>
      <c r="H2977">
        <v>2</v>
      </c>
      <c r="I2977" t="s">
        <v>343</v>
      </c>
      <c r="J2977">
        <v>269</v>
      </c>
      <c r="K2977" t="s">
        <v>350</v>
      </c>
      <c r="L2977" s="13">
        <v>43365</v>
      </c>
      <c r="M2977" t="s">
        <v>351</v>
      </c>
      <c r="N2977" t="s">
        <v>2020</v>
      </c>
      <c r="O2977">
        <v>26.4</v>
      </c>
      <c r="P2977" t="s">
        <v>52</v>
      </c>
    </row>
    <row r="2978" spans="1:16" ht="15" customHeight="1" x14ac:dyDescent="0.4">
      <c r="A2978" t="s">
        <v>15</v>
      </c>
      <c r="B2978" t="s">
        <v>16</v>
      </c>
      <c r="C2978" s="13">
        <v>43101</v>
      </c>
      <c r="D2978" s="13">
        <v>43465</v>
      </c>
      <c r="E2978" t="s">
        <v>17</v>
      </c>
      <c r="F2978">
        <v>0</v>
      </c>
      <c r="G2978" t="s">
        <v>342</v>
      </c>
      <c r="H2978">
        <v>2</v>
      </c>
      <c r="I2978" t="s">
        <v>343</v>
      </c>
      <c r="J2978">
        <v>269</v>
      </c>
      <c r="K2978" t="s">
        <v>350</v>
      </c>
      <c r="L2978" s="13">
        <v>43426</v>
      </c>
      <c r="M2978" t="s">
        <v>351</v>
      </c>
      <c r="N2978" t="s">
        <v>2021</v>
      </c>
      <c r="O2978">
        <v>25.88</v>
      </c>
      <c r="P2978" t="s">
        <v>52</v>
      </c>
    </row>
    <row r="2979" spans="1:16" ht="15" customHeight="1" x14ac:dyDescent="0.4">
      <c r="A2979" t="s">
        <v>15</v>
      </c>
      <c r="B2979" t="s">
        <v>16</v>
      </c>
      <c r="C2979" s="13">
        <v>43101</v>
      </c>
      <c r="D2979" s="13">
        <v>43465</v>
      </c>
      <c r="E2979" t="s">
        <v>17</v>
      </c>
      <c r="F2979">
        <v>0</v>
      </c>
      <c r="G2979" t="s">
        <v>342</v>
      </c>
      <c r="H2979">
        <v>2</v>
      </c>
      <c r="I2979" t="s">
        <v>343</v>
      </c>
      <c r="J2979">
        <v>702</v>
      </c>
      <c r="K2979" t="s">
        <v>275</v>
      </c>
      <c r="L2979" s="13">
        <v>43465</v>
      </c>
      <c r="M2979" t="s">
        <v>2022</v>
      </c>
      <c r="N2979" t="s">
        <v>46</v>
      </c>
      <c r="O2979">
        <v>116.55</v>
      </c>
      <c r="P2979" t="s">
        <v>46</v>
      </c>
    </row>
    <row r="2980" spans="1:16" ht="15" customHeight="1" x14ac:dyDescent="0.4">
      <c r="A2980" t="s">
        <v>15</v>
      </c>
      <c r="B2980" t="s">
        <v>16</v>
      </c>
      <c r="C2980" s="13">
        <v>43101</v>
      </c>
      <c r="D2980" s="13">
        <v>43465</v>
      </c>
      <c r="E2980" t="s">
        <v>17</v>
      </c>
      <c r="F2980">
        <v>0</v>
      </c>
      <c r="G2980" t="s">
        <v>342</v>
      </c>
      <c r="H2980">
        <v>2</v>
      </c>
      <c r="I2980" t="s">
        <v>343</v>
      </c>
      <c r="J2980">
        <v>706</v>
      </c>
      <c r="K2980" t="s">
        <v>365</v>
      </c>
      <c r="L2980" s="13">
        <v>43251</v>
      </c>
      <c r="M2980" t="s">
        <v>2023</v>
      </c>
      <c r="N2980" t="s">
        <v>2024</v>
      </c>
      <c r="O2980">
        <v>52.05</v>
      </c>
      <c r="P2980" t="s">
        <v>368</v>
      </c>
    </row>
    <row r="2981" spans="1:16" ht="15" customHeight="1" x14ac:dyDescent="0.4">
      <c r="A2981" t="s">
        <v>15</v>
      </c>
      <c r="B2981" t="s">
        <v>16</v>
      </c>
      <c r="C2981" s="13">
        <v>43101</v>
      </c>
      <c r="D2981" s="13">
        <v>43465</v>
      </c>
      <c r="E2981" t="s">
        <v>17</v>
      </c>
      <c r="F2981">
        <v>0</v>
      </c>
      <c r="G2981" t="s">
        <v>342</v>
      </c>
      <c r="H2981">
        <v>2</v>
      </c>
      <c r="I2981" t="s">
        <v>343</v>
      </c>
      <c r="J2981">
        <v>791</v>
      </c>
      <c r="K2981" t="s">
        <v>369</v>
      </c>
      <c r="L2981" s="13">
        <v>43465</v>
      </c>
      <c r="M2981" t="s">
        <v>370</v>
      </c>
      <c r="N2981" t="s">
        <v>288</v>
      </c>
      <c r="O2981">
        <v>387.29</v>
      </c>
      <c r="P2981" t="s">
        <v>46</v>
      </c>
    </row>
    <row r="2982" spans="1:16" ht="15" customHeight="1" x14ac:dyDescent="0.4">
      <c r="A2982" t="s">
        <v>15</v>
      </c>
      <c r="B2982" t="s">
        <v>16</v>
      </c>
      <c r="C2982" s="13">
        <v>43101</v>
      </c>
      <c r="D2982" s="13">
        <v>43465</v>
      </c>
      <c r="E2982" t="s">
        <v>17</v>
      </c>
      <c r="F2982">
        <v>0</v>
      </c>
      <c r="G2982" t="s">
        <v>342</v>
      </c>
      <c r="H2982">
        <v>2</v>
      </c>
      <c r="I2982" t="s">
        <v>343</v>
      </c>
      <c r="J2982">
        <v>883</v>
      </c>
      <c r="K2982" t="s">
        <v>371</v>
      </c>
      <c r="L2982" s="13">
        <v>43124</v>
      </c>
      <c r="M2982" t="s">
        <v>2025</v>
      </c>
      <c r="N2982" t="s">
        <v>2026</v>
      </c>
      <c r="O2982">
        <v>150.58000000000001</v>
      </c>
      <c r="P2982" t="s">
        <v>374</v>
      </c>
    </row>
    <row r="2983" spans="1:16" ht="15" customHeight="1" x14ac:dyDescent="0.4">
      <c r="A2983" t="s">
        <v>15</v>
      </c>
      <c r="B2983" t="s">
        <v>16</v>
      </c>
      <c r="C2983" s="13">
        <v>43101</v>
      </c>
      <c r="D2983" s="13">
        <v>43465</v>
      </c>
      <c r="E2983" t="s">
        <v>17</v>
      </c>
      <c r="F2983">
        <v>0</v>
      </c>
      <c r="G2983" t="s">
        <v>342</v>
      </c>
      <c r="H2983">
        <v>2</v>
      </c>
      <c r="I2983" t="s">
        <v>343</v>
      </c>
      <c r="J2983">
        <v>883</v>
      </c>
      <c r="K2983" t="s">
        <v>371</v>
      </c>
      <c r="L2983" s="13">
        <v>43465</v>
      </c>
      <c r="M2983" t="s">
        <v>375</v>
      </c>
      <c r="N2983" t="s">
        <v>376</v>
      </c>
      <c r="O2983">
        <v>-50.19</v>
      </c>
      <c r="P2983" t="s">
        <v>46</v>
      </c>
    </row>
    <row r="2984" spans="1:16" ht="15" customHeight="1" x14ac:dyDescent="0.4">
      <c r="A2984" t="s">
        <v>15</v>
      </c>
      <c r="B2984" t="s">
        <v>16</v>
      </c>
      <c r="C2984" s="13">
        <v>43101</v>
      </c>
      <c r="D2984" s="13">
        <v>43465</v>
      </c>
      <c r="E2984" t="s">
        <v>17</v>
      </c>
      <c r="F2984">
        <v>0</v>
      </c>
      <c r="G2984" t="s">
        <v>342</v>
      </c>
      <c r="H2984">
        <v>2</v>
      </c>
      <c r="I2984" t="s">
        <v>343</v>
      </c>
      <c r="J2984">
        <v>891</v>
      </c>
      <c r="K2984" t="s">
        <v>377</v>
      </c>
      <c r="L2984" s="13">
        <v>43465</v>
      </c>
      <c r="M2984" t="s">
        <v>2027</v>
      </c>
      <c r="N2984" t="s">
        <v>2028</v>
      </c>
      <c r="O2984">
        <v>17120.900000000001</v>
      </c>
      <c r="P2984" t="s">
        <v>1444</v>
      </c>
    </row>
    <row r="2985" spans="1:16" ht="15" customHeight="1" x14ac:dyDescent="0.4">
      <c r="A2985" t="s">
        <v>15</v>
      </c>
      <c r="B2985" t="s">
        <v>16</v>
      </c>
      <c r="C2985" s="13">
        <v>43101</v>
      </c>
      <c r="D2985" s="13">
        <v>43465</v>
      </c>
      <c r="E2985" t="s">
        <v>17</v>
      </c>
      <c r="F2985">
        <v>0</v>
      </c>
      <c r="G2985" t="s">
        <v>467</v>
      </c>
      <c r="H2985">
        <v>17</v>
      </c>
      <c r="I2985" t="s">
        <v>468</v>
      </c>
      <c r="J2985">
        <v>117</v>
      </c>
      <c r="K2985" t="s">
        <v>623</v>
      </c>
      <c r="L2985" s="13">
        <v>43110</v>
      </c>
      <c r="M2985" t="s">
        <v>2029</v>
      </c>
      <c r="N2985" t="s">
        <v>46</v>
      </c>
      <c r="O2985">
        <v>31.7</v>
      </c>
      <c r="P2985" t="s">
        <v>46</v>
      </c>
    </row>
    <row r="2986" spans="1:16" ht="15" customHeight="1" x14ac:dyDescent="0.4">
      <c r="A2986" t="s">
        <v>15</v>
      </c>
      <c r="B2986" t="s">
        <v>16</v>
      </c>
      <c r="C2986" s="13">
        <v>43101</v>
      </c>
      <c r="D2986" s="13">
        <v>43465</v>
      </c>
      <c r="E2986" t="s">
        <v>30</v>
      </c>
      <c r="F2986">
        <v>0</v>
      </c>
      <c r="G2986" t="s">
        <v>467</v>
      </c>
      <c r="H2986">
        <v>17</v>
      </c>
      <c r="I2986" t="s">
        <v>468</v>
      </c>
      <c r="J2986">
        <v>233</v>
      </c>
      <c r="K2986" t="s">
        <v>473</v>
      </c>
      <c r="L2986" s="13">
        <v>43110</v>
      </c>
      <c r="M2986" t="s">
        <v>2030</v>
      </c>
      <c r="N2986" t="s">
        <v>46</v>
      </c>
      <c r="O2986">
        <v>78.849999999999994</v>
      </c>
      <c r="P2986" t="s">
        <v>46</v>
      </c>
    </row>
    <row r="2987" spans="1:16" ht="15" customHeight="1" x14ac:dyDescent="0.4">
      <c r="A2987" t="s">
        <v>15</v>
      </c>
      <c r="B2987" t="s">
        <v>16</v>
      </c>
      <c r="C2987" s="13">
        <v>43101</v>
      </c>
      <c r="D2987" s="13">
        <v>43465</v>
      </c>
      <c r="E2987" t="s">
        <v>30</v>
      </c>
      <c r="F2987">
        <v>0</v>
      </c>
      <c r="G2987" t="s">
        <v>467</v>
      </c>
      <c r="H2987">
        <v>17</v>
      </c>
      <c r="I2987" t="s">
        <v>468</v>
      </c>
      <c r="J2987">
        <v>233</v>
      </c>
      <c r="K2987" t="s">
        <v>473</v>
      </c>
      <c r="L2987" s="13">
        <v>43305</v>
      </c>
      <c r="M2987" t="s">
        <v>2031</v>
      </c>
      <c r="N2987" t="s">
        <v>46</v>
      </c>
      <c r="O2987">
        <v>104.13</v>
      </c>
      <c r="P2987" t="s">
        <v>46</v>
      </c>
    </row>
    <row r="2988" spans="1:16" ht="15" customHeight="1" x14ac:dyDescent="0.4">
      <c r="A2988" t="s">
        <v>15</v>
      </c>
      <c r="B2988" t="s">
        <v>16</v>
      </c>
      <c r="C2988" s="13">
        <v>43101</v>
      </c>
      <c r="D2988" s="13">
        <v>43465</v>
      </c>
      <c r="E2988" t="s">
        <v>30</v>
      </c>
      <c r="F2988">
        <v>0</v>
      </c>
      <c r="G2988" t="s">
        <v>467</v>
      </c>
      <c r="H2988">
        <v>17</v>
      </c>
      <c r="I2988" t="s">
        <v>468</v>
      </c>
      <c r="J2988">
        <v>236</v>
      </c>
      <c r="K2988" t="s">
        <v>950</v>
      </c>
      <c r="L2988" s="13">
        <v>43182</v>
      </c>
      <c r="M2988" t="s">
        <v>2032</v>
      </c>
      <c r="N2988" t="s">
        <v>2033</v>
      </c>
      <c r="O2988">
        <v>3000.54</v>
      </c>
      <c r="P2988" t="s">
        <v>472</v>
      </c>
    </row>
    <row r="2989" spans="1:16" ht="15" customHeight="1" x14ac:dyDescent="0.4">
      <c r="A2989" t="s">
        <v>15</v>
      </c>
      <c r="B2989" t="s">
        <v>16</v>
      </c>
      <c r="C2989" s="13">
        <v>43101</v>
      </c>
      <c r="D2989" s="13">
        <v>43465</v>
      </c>
      <c r="E2989" t="s">
        <v>30</v>
      </c>
      <c r="F2989">
        <v>0</v>
      </c>
      <c r="G2989" t="s">
        <v>467</v>
      </c>
      <c r="H2989">
        <v>17</v>
      </c>
      <c r="I2989" t="s">
        <v>468</v>
      </c>
      <c r="J2989">
        <v>236</v>
      </c>
      <c r="K2989" t="s">
        <v>950</v>
      </c>
      <c r="L2989" s="13">
        <v>43307</v>
      </c>
      <c r="M2989" t="s">
        <v>2034</v>
      </c>
      <c r="N2989" t="s">
        <v>2035</v>
      </c>
      <c r="O2989">
        <v>760.8</v>
      </c>
      <c r="P2989" t="s">
        <v>1623</v>
      </c>
    </row>
    <row r="2990" spans="1:16" ht="15" customHeight="1" x14ac:dyDescent="0.4">
      <c r="A2990" t="s">
        <v>15</v>
      </c>
      <c r="B2990" t="s">
        <v>16</v>
      </c>
      <c r="C2990" s="13">
        <v>43101</v>
      </c>
      <c r="D2990" s="13">
        <v>43465</v>
      </c>
      <c r="E2990" t="s">
        <v>17</v>
      </c>
      <c r="F2990">
        <v>0</v>
      </c>
      <c r="G2990" t="s">
        <v>467</v>
      </c>
      <c r="H2990">
        <v>17</v>
      </c>
      <c r="I2990" t="s">
        <v>468</v>
      </c>
      <c r="J2990">
        <v>401</v>
      </c>
      <c r="K2990" t="s">
        <v>476</v>
      </c>
      <c r="L2990" s="13">
        <v>43465</v>
      </c>
      <c r="M2990" t="s">
        <v>2036</v>
      </c>
      <c r="N2990" t="s">
        <v>2037</v>
      </c>
      <c r="O2990">
        <v>7602.97</v>
      </c>
      <c r="P2990" t="s">
        <v>1444</v>
      </c>
    </row>
    <row r="2991" spans="1:16" ht="15" customHeight="1" x14ac:dyDescent="0.4">
      <c r="A2991" t="s">
        <v>15</v>
      </c>
      <c r="B2991" t="s">
        <v>16</v>
      </c>
      <c r="C2991" s="13">
        <v>43101</v>
      </c>
      <c r="D2991" s="13">
        <v>43465</v>
      </c>
      <c r="E2991" t="s">
        <v>17</v>
      </c>
      <c r="F2991">
        <v>0</v>
      </c>
      <c r="G2991" t="s">
        <v>467</v>
      </c>
      <c r="H2991">
        <v>17</v>
      </c>
      <c r="I2991" t="s">
        <v>468</v>
      </c>
      <c r="J2991">
        <v>525</v>
      </c>
      <c r="K2991" t="s">
        <v>2038</v>
      </c>
      <c r="L2991" s="13">
        <v>43118</v>
      </c>
      <c r="M2991" t="s">
        <v>2039</v>
      </c>
      <c r="N2991" t="s">
        <v>2040</v>
      </c>
      <c r="O2991">
        <v>117.7</v>
      </c>
      <c r="P2991" t="s">
        <v>2041</v>
      </c>
    </row>
    <row r="2992" spans="1:16" ht="15" customHeight="1" x14ac:dyDescent="0.4">
      <c r="A2992" t="s">
        <v>15</v>
      </c>
      <c r="B2992" t="s">
        <v>16</v>
      </c>
      <c r="C2992" s="13">
        <v>43101</v>
      </c>
      <c r="D2992" s="13">
        <v>43465</v>
      </c>
      <c r="E2992" t="s">
        <v>17</v>
      </c>
      <c r="F2992">
        <v>0</v>
      </c>
      <c r="G2992" t="s">
        <v>467</v>
      </c>
      <c r="H2992">
        <v>17</v>
      </c>
      <c r="I2992" t="s">
        <v>468</v>
      </c>
      <c r="J2992">
        <v>525</v>
      </c>
      <c r="K2992" t="s">
        <v>2038</v>
      </c>
      <c r="L2992" s="13">
        <v>43118</v>
      </c>
      <c r="M2992" t="s">
        <v>2039</v>
      </c>
      <c r="N2992" t="s">
        <v>2042</v>
      </c>
      <c r="O2992">
        <v>117.7</v>
      </c>
      <c r="P2992" t="s">
        <v>2041</v>
      </c>
    </row>
    <row r="2993" spans="1:16" ht="15" customHeight="1" x14ac:dyDescent="0.4">
      <c r="A2993" t="s">
        <v>15</v>
      </c>
      <c r="B2993" t="s">
        <v>16</v>
      </c>
      <c r="C2993" s="13">
        <v>43101</v>
      </c>
      <c r="D2993" s="13">
        <v>43465</v>
      </c>
      <c r="E2993" t="s">
        <v>17</v>
      </c>
      <c r="F2993">
        <v>0</v>
      </c>
      <c r="G2993" t="s">
        <v>467</v>
      </c>
      <c r="H2993">
        <v>17</v>
      </c>
      <c r="I2993" t="s">
        <v>468</v>
      </c>
      <c r="J2993">
        <v>525</v>
      </c>
      <c r="K2993" t="s">
        <v>2038</v>
      </c>
      <c r="L2993" s="13">
        <v>43123</v>
      </c>
      <c r="M2993" t="s">
        <v>2043</v>
      </c>
      <c r="N2993" t="s">
        <v>2044</v>
      </c>
      <c r="O2993">
        <v>117.7</v>
      </c>
      <c r="P2993" t="s">
        <v>2041</v>
      </c>
    </row>
    <row r="2994" spans="1:16" ht="15" customHeight="1" x14ac:dyDescent="0.4">
      <c r="A2994" t="s">
        <v>15</v>
      </c>
      <c r="B2994" t="s">
        <v>16</v>
      </c>
      <c r="C2994" s="13">
        <v>43101</v>
      </c>
      <c r="D2994" s="13">
        <v>43465</v>
      </c>
      <c r="E2994" t="s">
        <v>17</v>
      </c>
      <c r="F2994">
        <v>0</v>
      </c>
      <c r="G2994" t="s">
        <v>467</v>
      </c>
      <c r="H2994">
        <v>17</v>
      </c>
      <c r="I2994" t="s">
        <v>468</v>
      </c>
      <c r="J2994">
        <v>525</v>
      </c>
      <c r="K2994" t="s">
        <v>2038</v>
      </c>
      <c r="L2994" s="13">
        <v>43266</v>
      </c>
      <c r="M2994" t="s">
        <v>2045</v>
      </c>
      <c r="N2994" t="s">
        <v>2046</v>
      </c>
      <c r="O2994">
        <v>-374</v>
      </c>
      <c r="P2994" t="s">
        <v>46</v>
      </c>
    </row>
    <row r="2995" spans="1:16" ht="15" customHeight="1" x14ac:dyDescent="0.4">
      <c r="A2995" t="s">
        <v>15</v>
      </c>
      <c r="B2995" t="s">
        <v>16</v>
      </c>
      <c r="C2995" s="13">
        <v>43101</v>
      </c>
      <c r="D2995" s="13">
        <v>43465</v>
      </c>
      <c r="E2995" t="s">
        <v>17</v>
      </c>
      <c r="F2995">
        <v>0</v>
      </c>
      <c r="G2995" t="s">
        <v>467</v>
      </c>
      <c r="H2995">
        <v>17</v>
      </c>
      <c r="I2995" t="s">
        <v>468</v>
      </c>
      <c r="J2995">
        <v>861</v>
      </c>
      <c r="K2995" t="s">
        <v>2047</v>
      </c>
      <c r="L2995" s="13">
        <v>43465</v>
      </c>
      <c r="M2995" t="s">
        <v>2048</v>
      </c>
      <c r="N2995" t="s">
        <v>2049</v>
      </c>
      <c r="O2995">
        <v>290.2</v>
      </c>
      <c r="P2995" t="s">
        <v>2050</v>
      </c>
    </row>
    <row r="2996" spans="1:16" ht="15" customHeight="1" x14ac:dyDescent="0.4">
      <c r="A2996" t="s">
        <v>15</v>
      </c>
      <c r="B2996" t="s">
        <v>16</v>
      </c>
      <c r="C2996" s="13">
        <v>43101</v>
      </c>
      <c r="D2996" s="13">
        <v>43465</v>
      </c>
      <c r="E2996" t="s">
        <v>17</v>
      </c>
      <c r="F2996">
        <v>0</v>
      </c>
      <c r="G2996" t="s">
        <v>478</v>
      </c>
      <c r="H2996">
        <v>55</v>
      </c>
      <c r="I2996" t="s">
        <v>479</v>
      </c>
      <c r="J2996">
        <v>282</v>
      </c>
      <c r="K2996" t="s">
        <v>480</v>
      </c>
      <c r="L2996" s="13">
        <v>43465</v>
      </c>
      <c r="M2996" t="s">
        <v>2051</v>
      </c>
      <c r="N2996" t="s">
        <v>86</v>
      </c>
      <c r="O2996">
        <v>7350.11</v>
      </c>
      <c r="P2996" t="s">
        <v>46</v>
      </c>
    </row>
    <row r="2997" spans="1:16" ht="15" customHeight="1" x14ac:dyDescent="0.4">
      <c r="A2997" t="s">
        <v>15</v>
      </c>
      <c r="B2997" t="s">
        <v>16</v>
      </c>
      <c r="C2997" s="13">
        <v>43101</v>
      </c>
      <c r="D2997" s="13">
        <v>43465</v>
      </c>
      <c r="E2997" t="s">
        <v>17</v>
      </c>
      <c r="F2997">
        <v>0</v>
      </c>
      <c r="G2997" t="s">
        <v>482</v>
      </c>
      <c r="H2997">
        <v>60</v>
      </c>
      <c r="I2997" t="s">
        <v>483</v>
      </c>
      <c r="J2997">
        <v>881</v>
      </c>
      <c r="K2997" t="s">
        <v>327</v>
      </c>
      <c r="L2997" s="13">
        <v>43266</v>
      </c>
      <c r="M2997" t="s">
        <v>2052</v>
      </c>
      <c r="N2997" t="s">
        <v>2053</v>
      </c>
      <c r="O2997">
        <v>1206.58</v>
      </c>
      <c r="P2997" t="s">
        <v>374</v>
      </c>
    </row>
    <row r="2998" spans="1:16" ht="15" customHeight="1" x14ac:dyDescent="0.4">
      <c r="A2998" t="s">
        <v>15</v>
      </c>
      <c r="B2998" t="s">
        <v>16</v>
      </c>
      <c r="C2998" s="13">
        <v>43101</v>
      </c>
      <c r="D2998" s="13">
        <v>43465</v>
      </c>
      <c r="E2998" t="s">
        <v>17</v>
      </c>
      <c r="F2998">
        <v>0</v>
      </c>
      <c r="G2998" t="s">
        <v>482</v>
      </c>
      <c r="H2998">
        <v>60</v>
      </c>
      <c r="I2998" t="s">
        <v>483</v>
      </c>
      <c r="J2998">
        <v>881</v>
      </c>
      <c r="K2998" t="s">
        <v>327</v>
      </c>
      <c r="L2998" s="13">
        <v>43465</v>
      </c>
      <c r="M2998" t="s">
        <v>486</v>
      </c>
      <c r="N2998" t="s">
        <v>329</v>
      </c>
      <c r="O2998">
        <v>-28.06</v>
      </c>
      <c r="P2998" t="s">
        <v>46</v>
      </c>
    </row>
    <row r="2999" spans="1:16" ht="15" customHeight="1" x14ac:dyDescent="0.4">
      <c r="A2999" t="s">
        <v>15</v>
      </c>
      <c r="B2999" t="s">
        <v>16</v>
      </c>
      <c r="C2999" s="13">
        <v>43101</v>
      </c>
      <c r="D2999" s="13">
        <v>43465</v>
      </c>
      <c r="E2999" t="s">
        <v>17</v>
      </c>
      <c r="F2999">
        <v>1</v>
      </c>
      <c r="G2999" t="s">
        <v>18</v>
      </c>
      <c r="H2999">
        <v>1</v>
      </c>
      <c r="I2999" t="s">
        <v>19</v>
      </c>
      <c r="J2999">
        <v>242</v>
      </c>
      <c r="K2999" t="s">
        <v>487</v>
      </c>
      <c r="L2999" s="13">
        <v>43465</v>
      </c>
      <c r="M2999" t="s">
        <v>2015</v>
      </c>
      <c r="N2999" t="s">
        <v>45</v>
      </c>
      <c r="O2999">
        <v>329.08</v>
      </c>
      <c r="P2999" t="s">
        <v>46</v>
      </c>
    </row>
    <row r="3000" spans="1:16" ht="15" customHeight="1" x14ac:dyDescent="0.4">
      <c r="A3000" t="s">
        <v>15</v>
      </c>
      <c r="B3000" t="s">
        <v>16</v>
      </c>
      <c r="C3000" s="13">
        <v>43101</v>
      </c>
      <c r="D3000" s="13">
        <v>43465</v>
      </c>
      <c r="E3000" t="s">
        <v>17</v>
      </c>
      <c r="F3000">
        <v>1</v>
      </c>
      <c r="G3000" t="s">
        <v>18</v>
      </c>
      <c r="H3000">
        <v>1</v>
      </c>
      <c r="I3000" t="s">
        <v>19</v>
      </c>
      <c r="J3000">
        <v>269</v>
      </c>
      <c r="K3000" t="s">
        <v>75</v>
      </c>
      <c r="L3000" s="13">
        <v>43120</v>
      </c>
      <c r="M3000" t="s">
        <v>351</v>
      </c>
      <c r="N3000" t="s">
        <v>1780</v>
      </c>
      <c r="O3000">
        <v>12.79</v>
      </c>
      <c r="P3000" t="s">
        <v>52</v>
      </c>
    </row>
    <row r="3001" spans="1:16" ht="15" customHeight="1" x14ac:dyDescent="0.4">
      <c r="A3001" t="s">
        <v>15</v>
      </c>
      <c r="B3001" t="s">
        <v>16</v>
      </c>
      <c r="C3001" s="13">
        <v>43101</v>
      </c>
      <c r="D3001" s="13">
        <v>43465</v>
      </c>
      <c r="E3001" t="s">
        <v>17</v>
      </c>
      <c r="F3001">
        <v>1</v>
      </c>
      <c r="G3001" t="s">
        <v>18</v>
      </c>
      <c r="H3001">
        <v>1</v>
      </c>
      <c r="I3001" t="s">
        <v>19</v>
      </c>
      <c r="J3001">
        <v>269</v>
      </c>
      <c r="K3001" t="s">
        <v>75</v>
      </c>
      <c r="L3001" s="13">
        <v>43179</v>
      </c>
      <c r="M3001" t="s">
        <v>351</v>
      </c>
      <c r="N3001" t="s">
        <v>1781</v>
      </c>
      <c r="O3001">
        <v>10.14</v>
      </c>
      <c r="P3001" t="s">
        <v>52</v>
      </c>
    </row>
    <row r="3002" spans="1:16" ht="15" customHeight="1" x14ac:dyDescent="0.4">
      <c r="A3002" t="s">
        <v>15</v>
      </c>
      <c r="B3002" t="s">
        <v>16</v>
      </c>
      <c r="C3002" s="13">
        <v>43101</v>
      </c>
      <c r="D3002" s="13">
        <v>43465</v>
      </c>
      <c r="E3002" t="s">
        <v>17</v>
      </c>
      <c r="F3002">
        <v>1</v>
      </c>
      <c r="G3002" t="s">
        <v>18</v>
      </c>
      <c r="H3002">
        <v>1</v>
      </c>
      <c r="I3002" t="s">
        <v>19</v>
      </c>
      <c r="J3002">
        <v>269</v>
      </c>
      <c r="K3002" t="s">
        <v>75</v>
      </c>
      <c r="L3002" s="13">
        <v>43242</v>
      </c>
      <c r="M3002" t="s">
        <v>351</v>
      </c>
      <c r="N3002" t="s">
        <v>1782</v>
      </c>
      <c r="O3002">
        <v>11.94</v>
      </c>
      <c r="P3002" t="s">
        <v>52</v>
      </c>
    </row>
    <row r="3003" spans="1:16" ht="15" customHeight="1" x14ac:dyDescent="0.4">
      <c r="A3003" t="s">
        <v>15</v>
      </c>
      <c r="B3003" t="s">
        <v>16</v>
      </c>
      <c r="C3003" s="13">
        <v>43101</v>
      </c>
      <c r="D3003" s="13">
        <v>43465</v>
      </c>
      <c r="E3003" t="s">
        <v>17</v>
      </c>
      <c r="F3003">
        <v>1</v>
      </c>
      <c r="G3003" t="s">
        <v>18</v>
      </c>
      <c r="H3003">
        <v>1</v>
      </c>
      <c r="I3003" t="s">
        <v>19</v>
      </c>
      <c r="J3003">
        <v>269</v>
      </c>
      <c r="K3003" t="s">
        <v>75</v>
      </c>
      <c r="L3003" s="13">
        <v>43301</v>
      </c>
      <c r="M3003" t="s">
        <v>351</v>
      </c>
      <c r="N3003" t="s">
        <v>1783</v>
      </c>
      <c r="O3003">
        <v>32.61</v>
      </c>
      <c r="P3003" t="s">
        <v>52</v>
      </c>
    </row>
    <row r="3004" spans="1:16" ht="15" customHeight="1" x14ac:dyDescent="0.4">
      <c r="A3004" t="s">
        <v>15</v>
      </c>
      <c r="B3004" t="s">
        <v>16</v>
      </c>
      <c r="C3004" s="13">
        <v>43101</v>
      </c>
      <c r="D3004" s="13">
        <v>43465</v>
      </c>
      <c r="E3004" t="s">
        <v>17</v>
      </c>
      <c r="F3004">
        <v>1</v>
      </c>
      <c r="G3004" t="s">
        <v>18</v>
      </c>
      <c r="H3004">
        <v>1</v>
      </c>
      <c r="I3004" t="s">
        <v>19</v>
      </c>
      <c r="J3004">
        <v>269</v>
      </c>
      <c r="K3004" t="s">
        <v>75</v>
      </c>
      <c r="L3004" s="13">
        <v>43363</v>
      </c>
      <c r="M3004" t="s">
        <v>351</v>
      </c>
      <c r="N3004" t="s">
        <v>1784</v>
      </c>
      <c r="O3004">
        <v>33.43</v>
      </c>
      <c r="P3004" t="s">
        <v>52</v>
      </c>
    </row>
    <row r="3005" spans="1:16" ht="15" customHeight="1" x14ac:dyDescent="0.4">
      <c r="A3005" t="s">
        <v>15</v>
      </c>
      <c r="B3005" t="s">
        <v>16</v>
      </c>
      <c r="C3005" s="13">
        <v>43101</v>
      </c>
      <c r="D3005" s="13">
        <v>43465</v>
      </c>
      <c r="E3005" t="s">
        <v>17</v>
      </c>
      <c r="F3005">
        <v>1</v>
      </c>
      <c r="G3005" t="s">
        <v>18</v>
      </c>
      <c r="H3005">
        <v>1</v>
      </c>
      <c r="I3005" t="s">
        <v>19</v>
      </c>
      <c r="J3005">
        <v>269</v>
      </c>
      <c r="K3005" t="s">
        <v>75</v>
      </c>
      <c r="L3005" s="13">
        <v>43425</v>
      </c>
      <c r="M3005" t="s">
        <v>351</v>
      </c>
      <c r="N3005" t="s">
        <v>1785</v>
      </c>
      <c r="O3005">
        <v>32.049999999999997</v>
      </c>
      <c r="P3005" t="s">
        <v>52</v>
      </c>
    </row>
    <row r="3006" spans="1:16" ht="15" customHeight="1" x14ac:dyDescent="0.4">
      <c r="A3006" t="s">
        <v>15</v>
      </c>
      <c r="B3006" t="s">
        <v>16</v>
      </c>
      <c r="C3006" s="13">
        <v>43101</v>
      </c>
      <c r="D3006" s="13">
        <v>43465</v>
      </c>
      <c r="E3006" t="s">
        <v>17</v>
      </c>
      <c r="F3006">
        <v>1</v>
      </c>
      <c r="G3006" t="s">
        <v>18</v>
      </c>
      <c r="H3006">
        <v>1</v>
      </c>
      <c r="I3006" t="s">
        <v>19</v>
      </c>
      <c r="J3006">
        <v>401</v>
      </c>
      <c r="K3006" t="s">
        <v>476</v>
      </c>
      <c r="L3006" s="13">
        <v>43465</v>
      </c>
      <c r="M3006" t="s">
        <v>2054</v>
      </c>
      <c r="N3006" t="s">
        <v>2055</v>
      </c>
      <c r="O3006">
        <v>1356.09</v>
      </c>
      <c r="P3006" t="s">
        <v>1444</v>
      </c>
    </row>
    <row r="3007" spans="1:16" ht="15" customHeight="1" x14ac:dyDescent="0.4">
      <c r="A3007" t="s">
        <v>15</v>
      </c>
      <c r="B3007" t="s">
        <v>16</v>
      </c>
      <c r="C3007" s="13">
        <v>43101</v>
      </c>
      <c r="D3007" s="13">
        <v>43465</v>
      </c>
      <c r="E3007" t="s">
        <v>17</v>
      </c>
      <c r="F3007">
        <v>1</v>
      </c>
      <c r="G3007" t="s">
        <v>18</v>
      </c>
      <c r="H3007">
        <v>1</v>
      </c>
      <c r="I3007" t="s">
        <v>19</v>
      </c>
      <c r="J3007">
        <v>702</v>
      </c>
      <c r="K3007" t="s">
        <v>275</v>
      </c>
      <c r="L3007" s="13">
        <v>43465</v>
      </c>
      <c r="M3007" t="s">
        <v>2056</v>
      </c>
      <c r="N3007" t="s">
        <v>46</v>
      </c>
      <c r="O3007">
        <v>19.420000000000002</v>
      </c>
      <c r="P3007" t="s">
        <v>46</v>
      </c>
    </row>
    <row r="3008" spans="1:16" ht="15" customHeight="1" x14ac:dyDescent="0.4">
      <c r="A3008" t="s">
        <v>15</v>
      </c>
      <c r="B3008" t="s">
        <v>16</v>
      </c>
      <c r="C3008" s="13">
        <v>43101</v>
      </c>
      <c r="D3008" s="13">
        <v>43465</v>
      </c>
      <c r="E3008" t="s">
        <v>17</v>
      </c>
      <c r="F3008">
        <v>1</v>
      </c>
      <c r="G3008" t="s">
        <v>18</v>
      </c>
      <c r="H3008">
        <v>1</v>
      </c>
      <c r="I3008" t="s">
        <v>19</v>
      </c>
      <c r="J3008">
        <v>891</v>
      </c>
      <c r="K3008" t="s">
        <v>377</v>
      </c>
      <c r="L3008" s="13">
        <v>43465</v>
      </c>
      <c r="M3008" t="s">
        <v>2027</v>
      </c>
      <c r="N3008" t="s">
        <v>2028</v>
      </c>
      <c r="O3008">
        <v>10613.99</v>
      </c>
      <c r="P3008" t="s">
        <v>1444</v>
      </c>
    </row>
    <row r="3009" spans="1:16" ht="15" customHeight="1" x14ac:dyDescent="0.4">
      <c r="A3009" t="s">
        <v>15</v>
      </c>
      <c r="B3009" t="s">
        <v>16</v>
      </c>
      <c r="C3009" s="13">
        <v>43101</v>
      </c>
      <c r="D3009" s="13">
        <v>43465</v>
      </c>
      <c r="E3009" t="s">
        <v>17</v>
      </c>
      <c r="F3009">
        <v>3</v>
      </c>
      <c r="G3009" t="s">
        <v>18</v>
      </c>
      <c r="H3009">
        <v>1</v>
      </c>
      <c r="I3009" t="s">
        <v>19</v>
      </c>
      <c r="J3009">
        <v>105</v>
      </c>
      <c r="K3009" t="s">
        <v>1341</v>
      </c>
      <c r="L3009" s="13">
        <v>43240</v>
      </c>
      <c r="M3009" t="s">
        <v>2057</v>
      </c>
      <c r="N3009" t="s">
        <v>2058</v>
      </c>
      <c r="O3009">
        <v>313.5</v>
      </c>
      <c r="P3009" t="s">
        <v>1034</v>
      </c>
    </row>
    <row r="3010" spans="1:16" ht="15" customHeight="1" x14ac:dyDescent="0.4">
      <c r="A3010" t="s">
        <v>15</v>
      </c>
      <c r="B3010" t="s">
        <v>16</v>
      </c>
      <c r="C3010" s="13">
        <v>43101</v>
      </c>
      <c r="D3010" s="13">
        <v>43465</v>
      </c>
      <c r="E3010" t="s">
        <v>17</v>
      </c>
      <c r="F3010">
        <v>3</v>
      </c>
      <c r="G3010" t="s">
        <v>18</v>
      </c>
      <c r="H3010">
        <v>1</v>
      </c>
      <c r="I3010" t="s">
        <v>19</v>
      </c>
      <c r="J3010">
        <v>115</v>
      </c>
      <c r="K3010" t="s">
        <v>1416</v>
      </c>
      <c r="L3010" s="13">
        <v>43368</v>
      </c>
      <c r="M3010" t="s">
        <v>2059</v>
      </c>
      <c r="N3010" t="s">
        <v>46</v>
      </c>
      <c r="O3010">
        <v>245.3</v>
      </c>
      <c r="P3010" t="s">
        <v>46</v>
      </c>
    </row>
    <row r="3011" spans="1:16" ht="15" customHeight="1" x14ac:dyDescent="0.4">
      <c r="A3011" t="s">
        <v>15</v>
      </c>
      <c r="B3011" t="s">
        <v>16</v>
      </c>
      <c r="C3011" s="13">
        <v>43101</v>
      </c>
      <c r="D3011" s="13">
        <v>43465</v>
      </c>
      <c r="E3011" t="s">
        <v>17</v>
      </c>
      <c r="F3011">
        <v>3</v>
      </c>
      <c r="G3011" t="s">
        <v>18</v>
      </c>
      <c r="H3011">
        <v>1</v>
      </c>
      <c r="I3011" t="s">
        <v>19</v>
      </c>
      <c r="J3011">
        <v>117</v>
      </c>
      <c r="K3011" t="s">
        <v>623</v>
      </c>
      <c r="L3011" s="13">
        <v>43115</v>
      </c>
      <c r="M3011" t="s">
        <v>2060</v>
      </c>
      <c r="N3011" t="s">
        <v>46</v>
      </c>
      <c r="O3011">
        <v>116.34</v>
      </c>
      <c r="P3011" t="s">
        <v>46</v>
      </c>
    </row>
    <row r="3012" spans="1:16" ht="15" customHeight="1" x14ac:dyDescent="0.4">
      <c r="A3012" t="s">
        <v>15</v>
      </c>
      <c r="B3012" t="s">
        <v>16</v>
      </c>
      <c r="C3012" s="13">
        <v>43101</v>
      </c>
      <c r="D3012" s="13">
        <v>43465</v>
      </c>
      <c r="E3012" t="s">
        <v>17</v>
      </c>
      <c r="F3012">
        <v>3</v>
      </c>
      <c r="G3012" t="s">
        <v>18</v>
      </c>
      <c r="H3012">
        <v>1</v>
      </c>
      <c r="I3012" t="s">
        <v>19</v>
      </c>
      <c r="J3012">
        <v>205</v>
      </c>
      <c r="K3012" t="s">
        <v>344</v>
      </c>
      <c r="L3012" s="13">
        <v>43343</v>
      </c>
      <c r="M3012" t="s">
        <v>2061</v>
      </c>
      <c r="N3012" t="s">
        <v>2062</v>
      </c>
      <c r="O3012">
        <v>200.48</v>
      </c>
      <c r="P3012" t="s">
        <v>2063</v>
      </c>
    </row>
    <row r="3013" spans="1:16" ht="15" customHeight="1" x14ac:dyDescent="0.4">
      <c r="A3013" t="s">
        <v>15</v>
      </c>
      <c r="B3013" t="s">
        <v>16</v>
      </c>
      <c r="C3013" s="13">
        <v>43101</v>
      </c>
      <c r="D3013" s="13">
        <v>43465</v>
      </c>
      <c r="E3013" t="s">
        <v>30</v>
      </c>
      <c r="F3013">
        <v>3</v>
      </c>
      <c r="G3013" t="s">
        <v>18</v>
      </c>
      <c r="H3013">
        <v>1</v>
      </c>
      <c r="I3013" t="s">
        <v>19</v>
      </c>
      <c r="J3013">
        <v>236</v>
      </c>
      <c r="K3013" t="s">
        <v>950</v>
      </c>
      <c r="L3013" s="13">
        <v>43108</v>
      </c>
      <c r="M3013" t="s">
        <v>2064</v>
      </c>
      <c r="N3013" t="s">
        <v>2065</v>
      </c>
      <c r="O3013">
        <v>434.5</v>
      </c>
      <c r="P3013" t="s">
        <v>2066</v>
      </c>
    </row>
    <row r="3014" spans="1:16" ht="15" customHeight="1" x14ac:dyDescent="0.4">
      <c r="A3014" t="s">
        <v>15</v>
      </c>
      <c r="B3014" t="s">
        <v>16</v>
      </c>
      <c r="C3014" s="13">
        <v>43101</v>
      </c>
      <c r="D3014" s="13">
        <v>43465</v>
      </c>
      <c r="E3014" t="s">
        <v>30</v>
      </c>
      <c r="F3014">
        <v>3</v>
      </c>
      <c r="G3014" t="s">
        <v>18</v>
      </c>
      <c r="H3014">
        <v>1</v>
      </c>
      <c r="I3014" t="s">
        <v>19</v>
      </c>
      <c r="J3014">
        <v>236</v>
      </c>
      <c r="K3014" t="s">
        <v>950</v>
      </c>
      <c r="L3014" s="13">
        <v>43231</v>
      </c>
      <c r="M3014" t="s">
        <v>2067</v>
      </c>
      <c r="N3014" t="s">
        <v>2068</v>
      </c>
      <c r="O3014">
        <v>1435.5</v>
      </c>
      <c r="P3014" t="s">
        <v>2069</v>
      </c>
    </row>
    <row r="3015" spans="1:16" ht="15" customHeight="1" x14ac:dyDescent="0.4">
      <c r="A3015" t="s">
        <v>15</v>
      </c>
      <c r="B3015" t="s">
        <v>16</v>
      </c>
      <c r="C3015" s="13">
        <v>43101</v>
      </c>
      <c r="D3015" s="13">
        <v>43465</v>
      </c>
      <c r="E3015" t="s">
        <v>30</v>
      </c>
      <c r="F3015">
        <v>3</v>
      </c>
      <c r="G3015" t="s">
        <v>18</v>
      </c>
      <c r="H3015">
        <v>1</v>
      </c>
      <c r="I3015" t="s">
        <v>19</v>
      </c>
      <c r="J3015">
        <v>236</v>
      </c>
      <c r="K3015" t="s">
        <v>950</v>
      </c>
      <c r="L3015" s="13">
        <v>43343</v>
      </c>
      <c r="M3015" t="s">
        <v>2070</v>
      </c>
      <c r="N3015" t="s">
        <v>2071</v>
      </c>
      <c r="O3015">
        <v>165</v>
      </c>
      <c r="P3015" t="s">
        <v>1430</v>
      </c>
    </row>
    <row r="3016" spans="1:16" ht="15" customHeight="1" x14ac:dyDescent="0.4">
      <c r="A3016" t="s">
        <v>15</v>
      </c>
      <c r="B3016" t="s">
        <v>16</v>
      </c>
      <c r="C3016" s="13">
        <v>43101</v>
      </c>
      <c r="D3016" s="13">
        <v>43465</v>
      </c>
      <c r="E3016" t="s">
        <v>17</v>
      </c>
      <c r="F3016">
        <v>3</v>
      </c>
      <c r="G3016" t="s">
        <v>18</v>
      </c>
      <c r="H3016">
        <v>1</v>
      </c>
      <c r="I3016" t="s">
        <v>19</v>
      </c>
      <c r="J3016">
        <v>242</v>
      </c>
      <c r="K3016" t="s">
        <v>348</v>
      </c>
      <c r="L3016" s="13">
        <v>43465</v>
      </c>
      <c r="M3016" t="s">
        <v>2015</v>
      </c>
      <c r="N3016" t="s">
        <v>45</v>
      </c>
      <c r="O3016">
        <v>109.69</v>
      </c>
      <c r="P3016" t="s">
        <v>46</v>
      </c>
    </row>
    <row r="3017" spans="1:16" ht="15" customHeight="1" x14ac:dyDescent="0.4">
      <c r="A3017" t="s">
        <v>15</v>
      </c>
      <c r="B3017" t="s">
        <v>16</v>
      </c>
      <c r="C3017" s="13">
        <v>43101</v>
      </c>
      <c r="D3017" s="13">
        <v>43465</v>
      </c>
      <c r="E3017" t="s">
        <v>17</v>
      </c>
      <c r="F3017">
        <v>3</v>
      </c>
      <c r="G3017" t="s">
        <v>18</v>
      </c>
      <c r="H3017">
        <v>1</v>
      </c>
      <c r="I3017" t="s">
        <v>19</v>
      </c>
      <c r="J3017">
        <v>269</v>
      </c>
      <c r="K3017" t="s">
        <v>75</v>
      </c>
      <c r="L3017" s="13">
        <v>43120</v>
      </c>
      <c r="M3017" t="s">
        <v>351</v>
      </c>
      <c r="N3017" t="s">
        <v>1780</v>
      </c>
      <c r="O3017">
        <v>12.53</v>
      </c>
      <c r="P3017" t="s">
        <v>52</v>
      </c>
    </row>
    <row r="3018" spans="1:16" ht="15" customHeight="1" x14ac:dyDescent="0.4">
      <c r="A3018" t="s">
        <v>15</v>
      </c>
      <c r="B3018" t="s">
        <v>16</v>
      </c>
      <c r="C3018" s="13">
        <v>43101</v>
      </c>
      <c r="D3018" s="13">
        <v>43465</v>
      </c>
      <c r="E3018" t="s">
        <v>17</v>
      </c>
      <c r="F3018">
        <v>3</v>
      </c>
      <c r="G3018" t="s">
        <v>18</v>
      </c>
      <c r="H3018">
        <v>1</v>
      </c>
      <c r="I3018" t="s">
        <v>19</v>
      </c>
      <c r="J3018">
        <v>269</v>
      </c>
      <c r="K3018" t="s">
        <v>75</v>
      </c>
      <c r="L3018" s="13">
        <v>43179</v>
      </c>
      <c r="M3018" t="s">
        <v>351</v>
      </c>
      <c r="N3018" t="s">
        <v>1781</v>
      </c>
      <c r="O3018">
        <v>9.94</v>
      </c>
      <c r="P3018" t="s">
        <v>52</v>
      </c>
    </row>
    <row r="3019" spans="1:16" ht="15" customHeight="1" x14ac:dyDescent="0.4">
      <c r="A3019" t="s">
        <v>15</v>
      </c>
      <c r="B3019" t="s">
        <v>16</v>
      </c>
      <c r="C3019" s="13">
        <v>43101</v>
      </c>
      <c r="D3019" s="13">
        <v>43465</v>
      </c>
      <c r="E3019" t="s">
        <v>17</v>
      </c>
      <c r="F3019">
        <v>3</v>
      </c>
      <c r="G3019" t="s">
        <v>18</v>
      </c>
      <c r="H3019">
        <v>1</v>
      </c>
      <c r="I3019" t="s">
        <v>19</v>
      </c>
      <c r="J3019">
        <v>269</v>
      </c>
      <c r="K3019" t="s">
        <v>75</v>
      </c>
      <c r="L3019" s="13">
        <v>43242</v>
      </c>
      <c r="M3019" t="s">
        <v>351</v>
      </c>
      <c r="N3019" t="s">
        <v>1782</v>
      </c>
      <c r="O3019">
        <v>11.7</v>
      </c>
      <c r="P3019" t="s">
        <v>52</v>
      </c>
    </row>
    <row r="3020" spans="1:16" ht="15" customHeight="1" x14ac:dyDescent="0.4">
      <c r="A3020" t="s">
        <v>15</v>
      </c>
      <c r="B3020" t="s">
        <v>16</v>
      </c>
      <c r="C3020" s="13">
        <v>43101</v>
      </c>
      <c r="D3020" s="13">
        <v>43465</v>
      </c>
      <c r="E3020" t="s">
        <v>17</v>
      </c>
      <c r="F3020">
        <v>3</v>
      </c>
      <c r="G3020" t="s">
        <v>18</v>
      </c>
      <c r="H3020">
        <v>1</v>
      </c>
      <c r="I3020" t="s">
        <v>19</v>
      </c>
      <c r="J3020">
        <v>269</v>
      </c>
      <c r="K3020" t="s">
        <v>75</v>
      </c>
      <c r="L3020" s="13">
        <v>43301</v>
      </c>
      <c r="M3020" t="s">
        <v>351</v>
      </c>
      <c r="N3020" t="s">
        <v>1783</v>
      </c>
      <c r="O3020">
        <v>31.95</v>
      </c>
      <c r="P3020" t="s">
        <v>52</v>
      </c>
    </row>
    <row r="3021" spans="1:16" ht="15" customHeight="1" x14ac:dyDescent="0.4">
      <c r="A3021" t="s">
        <v>15</v>
      </c>
      <c r="B3021" t="s">
        <v>16</v>
      </c>
      <c r="C3021" s="13">
        <v>43101</v>
      </c>
      <c r="D3021" s="13">
        <v>43465</v>
      </c>
      <c r="E3021" t="s">
        <v>17</v>
      </c>
      <c r="F3021">
        <v>3</v>
      </c>
      <c r="G3021" t="s">
        <v>18</v>
      </c>
      <c r="H3021">
        <v>1</v>
      </c>
      <c r="I3021" t="s">
        <v>19</v>
      </c>
      <c r="J3021">
        <v>269</v>
      </c>
      <c r="K3021" t="s">
        <v>75</v>
      </c>
      <c r="L3021" s="13">
        <v>43363</v>
      </c>
      <c r="M3021" t="s">
        <v>351</v>
      </c>
      <c r="N3021" t="s">
        <v>1784</v>
      </c>
      <c r="O3021">
        <v>32.76</v>
      </c>
      <c r="P3021" t="s">
        <v>52</v>
      </c>
    </row>
    <row r="3022" spans="1:16" ht="15" customHeight="1" x14ac:dyDescent="0.4">
      <c r="A3022" t="s">
        <v>15</v>
      </c>
      <c r="B3022" t="s">
        <v>16</v>
      </c>
      <c r="C3022" s="13">
        <v>43101</v>
      </c>
      <c r="D3022" s="13">
        <v>43465</v>
      </c>
      <c r="E3022" t="s">
        <v>17</v>
      </c>
      <c r="F3022">
        <v>3</v>
      </c>
      <c r="G3022" t="s">
        <v>18</v>
      </c>
      <c r="H3022">
        <v>1</v>
      </c>
      <c r="I3022" t="s">
        <v>19</v>
      </c>
      <c r="J3022">
        <v>269</v>
      </c>
      <c r="K3022" t="s">
        <v>75</v>
      </c>
      <c r="L3022" s="13">
        <v>43425</v>
      </c>
      <c r="M3022" t="s">
        <v>351</v>
      </c>
      <c r="N3022" t="s">
        <v>1785</v>
      </c>
      <c r="O3022">
        <v>31.41</v>
      </c>
      <c r="P3022" t="s">
        <v>52</v>
      </c>
    </row>
    <row r="3023" spans="1:16" ht="15" customHeight="1" x14ac:dyDescent="0.4">
      <c r="A3023" t="s">
        <v>15</v>
      </c>
      <c r="B3023" t="s">
        <v>16</v>
      </c>
      <c r="C3023" s="13">
        <v>43101</v>
      </c>
      <c r="D3023" s="13">
        <v>43465</v>
      </c>
      <c r="E3023" t="s">
        <v>17</v>
      </c>
      <c r="F3023">
        <v>3</v>
      </c>
      <c r="G3023" t="s">
        <v>18</v>
      </c>
      <c r="H3023">
        <v>1</v>
      </c>
      <c r="I3023" t="s">
        <v>19</v>
      </c>
      <c r="J3023">
        <v>441</v>
      </c>
      <c r="K3023" t="s">
        <v>268</v>
      </c>
      <c r="L3023" s="13">
        <v>43214</v>
      </c>
      <c r="M3023" t="s">
        <v>2072</v>
      </c>
      <c r="N3023" t="s">
        <v>2073</v>
      </c>
      <c r="O3023">
        <v>50.23</v>
      </c>
      <c r="P3023" t="s">
        <v>494</v>
      </c>
    </row>
    <row r="3024" spans="1:16" ht="15" customHeight="1" x14ac:dyDescent="0.4">
      <c r="A3024" t="s">
        <v>15</v>
      </c>
      <c r="B3024" t="s">
        <v>16</v>
      </c>
      <c r="C3024" s="13">
        <v>43101</v>
      </c>
      <c r="D3024" s="13">
        <v>43465</v>
      </c>
      <c r="E3024" t="s">
        <v>17</v>
      </c>
      <c r="F3024">
        <v>3</v>
      </c>
      <c r="G3024" t="s">
        <v>18</v>
      </c>
      <c r="H3024">
        <v>1</v>
      </c>
      <c r="I3024" t="s">
        <v>19</v>
      </c>
      <c r="J3024">
        <v>702</v>
      </c>
      <c r="K3024" t="s">
        <v>275</v>
      </c>
      <c r="L3024" s="13">
        <v>43465</v>
      </c>
      <c r="M3024" t="s">
        <v>2074</v>
      </c>
      <c r="N3024" t="s">
        <v>46</v>
      </c>
      <c r="O3024">
        <v>58.28</v>
      </c>
      <c r="P3024" t="s">
        <v>46</v>
      </c>
    </row>
    <row r="3025" spans="1:16" ht="15" customHeight="1" x14ac:dyDescent="0.4">
      <c r="A3025" t="s">
        <v>15</v>
      </c>
      <c r="B3025" t="s">
        <v>16</v>
      </c>
      <c r="C3025" s="13">
        <v>43101</v>
      </c>
      <c r="D3025" s="13">
        <v>43465</v>
      </c>
      <c r="E3025" t="s">
        <v>17</v>
      </c>
      <c r="F3025">
        <v>3</v>
      </c>
      <c r="G3025" t="s">
        <v>18</v>
      </c>
      <c r="H3025">
        <v>1</v>
      </c>
      <c r="I3025" t="s">
        <v>19</v>
      </c>
      <c r="J3025">
        <v>883</v>
      </c>
      <c r="K3025" t="s">
        <v>371</v>
      </c>
      <c r="L3025" s="13">
        <v>43465</v>
      </c>
      <c r="M3025" t="s">
        <v>2075</v>
      </c>
      <c r="N3025" t="s">
        <v>376</v>
      </c>
      <c r="O3025">
        <v>50.19</v>
      </c>
      <c r="P3025" t="s">
        <v>46</v>
      </c>
    </row>
    <row r="3026" spans="1:16" ht="15" customHeight="1" x14ac:dyDescent="0.4">
      <c r="A3026" t="s">
        <v>15</v>
      </c>
      <c r="B3026" t="s">
        <v>16</v>
      </c>
      <c r="C3026" s="13">
        <v>43101</v>
      </c>
      <c r="D3026" s="13">
        <v>43465</v>
      </c>
      <c r="E3026" t="s">
        <v>17</v>
      </c>
      <c r="F3026">
        <v>3</v>
      </c>
      <c r="G3026" t="s">
        <v>18</v>
      </c>
      <c r="H3026">
        <v>1</v>
      </c>
      <c r="I3026" t="s">
        <v>19</v>
      </c>
      <c r="J3026">
        <v>891</v>
      </c>
      <c r="K3026" t="s">
        <v>377</v>
      </c>
      <c r="L3026" s="13">
        <v>43465</v>
      </c>
      <c r="M3026" t="s">
        <v>2027</v>
      </c>
      <c r="N3026" t="s">
        <v>2028</v>
      </c>
      <c r="O3026">
        <v>8847.83</v>
      </c>
      <c r="P3026" t="s">
        <v>1444</v>
      </c>
    </row>
    <row r="3027" spans="1:16" ht="15" customHeight="1" x14ac:dyDescent="0.4">
      <c r="A3027" t="s">
        <v>15</v>
      </c>
      <c r="B3027" t="s">
        <v>16</v>
      </c>
      <c r="C3027" s="13">
        <v>43101</v>
      </c>
      <c r="D3027" s="13">
        <v>43465</v>
      </c>
      <c r="E3027" t="s">
        <v>17</v>
      </c>
      <c r="F3027">
        <v>5</v>
      </c>
      <c r="G3027" t="s">
        <v>501</v>
      </c>
      <c r="H3027">
        <v>40</v>
      </c>
      <c r="I3027" t="s">
        <v>501</v>
      </c>
      <c r="J3027">
        <v>264</v>
      </c>
      <c r="K3027" t="s">
        <v>502</v>
      </c>
      <c r="L3027" s="13">
        <v>43120</v>
      </c>
      <c r="M3027" t="s">
        <v>351</v>
      </c>
      <c r="N3027" t="s">
        <v>1780</v>
      </c>
      <c r="O3027">
        <v>13.04</v>
      </c>
      <c r="P3027" t="s">
        <v>52</v>
      </c>
    </row>
    <row r="3028" spans="1:16" ht="15" customHeight="1" x14ac:dyDescent="0.4">
      <c r="A3028" t="s">
        <v>15</v>
      </c>
      <c r="B3028" t="s">
        <v>16</v>
      </c>
      <c r="C3028" s="13">
        <v>43101</v>
      </c>
      <c r="D3028" s="13">
        <v>43465</v>
      </c>
      <c r="E3028" t="s">
        <v>17</v>
      </c>
      <c r="F3028">
        <v>5</v>
      </c>
      <c r="G3028" t="s">
        <v>501</v>
      </c>
      <c r="H3028">
        <v>40</v>
      </c>
      <c r="I3028" t="s">
        <v>501</v>
      </c>
      <c r="J3028">
        <v>264</v>
      </c>
      <c r="K3028" t="s">
        <v>502</v>
      </c>
      <c r="L3028" s="13">
        <v>43179</v>
      </c>
      <c r="M3028" t="s">
        <v>351</v>
      </c>
      <c r="N3028" t="s">
        <v>1781</v>
      </c>
      <c r="O3028">
        <v>10.34</v>
      </c>
      <c r="P3028" t="s">
        <v>52</v>
      </c>
    </row>
    <row r="3029" spans="1:16" ht="15" customHeight="1" x14ac:dyDescent="0.4">
      <c r="A3029" t="s">
        <v>15</v>
      </c>
      <c r="B3029" t="s">
        <v>16</v>
      </c>
      <c r="C3029" s="13">
        <v>43101</v>
      </c>
      <c r="D3029" s="13">
        <v>43465</v>
      </c>
      <c r="E3029" t="s">
        <v>17</v>
      </c>
      <c r="F3029">
        <v>5</v>
      </c>
      <c r="G3029" t="s">
        <v>501</v>
      </c>
      <c r="H3029">
        <v>40</v>
      </c>
      <c r="I3029" t="s">
        <v>501</v>
      </c>
      <c r="J3029">
        <v>264</v>
      </c>
      <c r="K3029" t="s">
        <v>502</v>
      </c>
      <c r="L3029" s="13">
        <v>43242</v>
      </c>
      <c r="M3029" t="s">
        <v>351</v>
      </c>
      <c r="N3029" t="s">
        <v>1782</v>
      </c>
      <c r="O3029">
        <v>12.18</v>
      </c>
      <c r="P3029" t="s">
        <v>52</v>
      </c>
    </row>
    <row r="3030" spans="1:16" ht="15" customHeight="1" x14ac:dyDescent="0.4">
      <c r="A3030" t="s">
        <v>15</v>
      </c>
      <c r="B3030" t="s">
        <v>16</v>
      </c>
      <c r="C3030" s="13">
        <v>43101</v>
      </c>
      <c r="D3030" s="13">
        <v>43465</v>
      </c>
      <c r="E3030" t="s">
        <v>17</v>
      </c>
      <c r="F3030">
        <v>5</v>
      </c>
      <c r="G3030" t="s">
        <v>501</v>
      </c>
      <c r="H3030">
        <v>40</v>
      </c>
      <c r="I3030" t="s">
        <v>501</v>
      </c>
      <c r="J3030">
        <v>264</v>
      </c>
      <c r="K3030" t="s">
        <v>502</v>
      </c>
      <c r="L3030" s="13">
        <v>43301</v>
      </c>
      <c r="M3030" t="s">
        <v>351</v>
      </c>
      <c r="N3030" t="s">
        <v>1783</v>
      </c>
      <c r="O3030">
        <v>33.26</v>
      </c>
      <c r="P3030" t="s">
        <v>52</v>
      </c>
    </row>
    <row r="3031" spans="1:16" ht="15" customHeight="1" x14ac:dyDescent="0.4">
      <c r="A3031" t="s">
        <v>15</v>
      </c>
      <c r="B3031" t="s">
        <v>16</v>
      </c>
      <c r="C3031" s="13">
        <v>43101</v>
      </c>
      <c r="D3031" s="13">
        <v>43465</v>
      </c>
      <c r="E3031" t="s">
        <v>17</v>
      </c>
      <c r="F3031">
        <v>5</v>
      </c>
      <c r="G3031" t="s">
        <v>501</v>
      </c>
      <c r="H3031">
        <v>40</v>
      </c>
      <c r="I3031" t="s">
        <v>501</v>
      </c>
      <c r="J3031">
        <v>264</v>
      </c>
      <c r="K3031" t="s">
        <v>502</v>
      </c>
      <c r="L3031" s="13">
        <v>43363</v>
      </c>
      <c r="M3031" t="s">
        <v>351</v>
      </c>
      <c r="N3031" t="s">
        <v>1784</v>
      </c>
      <c r="O3031">
        <v>34.1</v>
      </c>
      <c r="P3031" t="s">
        <v>52</v>
      </c>
    </row>
    <row r="3032" spans="1:16" ht="15" customHeight="1" x14ac:dyDescent="0.4">
      <c r="A3032" t="s">
        <v>15</v>
      </c>
      <c r="B3032" t="s">
        <v>16</v>
      </c>
      <c r="C3032" s="13">
        <v>43101</v>
      </c>
      <c r="D3032" s="13">
        <v>43465</v>
      </c>
      <c r="E3032" t="s">
        <v>17</v>
      </c>
      <c r="F3032">
        <v>5</v>
      </c>
      <c r="G3032" t="s">
        <v>501</v>
      </c>
      <c r="H3032">
        <v>40</v>
      </c>
      <c r="I3032" t="s">
        <v>501</v>
      </c>
      <c r="J3032">
        <v>264</v>
      </c>
      <c r="K3032" t="s">
        <v>502</v>
      </c>
      <c r="L3032" s="13">
        <v>43425</v>
      </c>
      <c r="M3032" t="s">
        <v>351</v>
      </c>
      <c r="N3032" t="s">
        <v>1785</v>
      </c>
      <c r="O3032">
        <v>32.69</v>
      </c>
      <c r="P3032" t="s">
        <v>52</v>
      </c>
    </row>
    <row r="3033" spans="1:16" ht="15" customHeight="1" x14ac:dyDescent="0.4">
      <c r="A3033" t="s">
        <v>15</v>
      </c>
      <c r="B3033" t="s">
        <v>16</v>
      </c>
      <c r="C3033" s="13">
        <v>43101</v>
      </c>
      <c r="D3033" s="13">
        <v>43465</v>
      </c>
      <c r="E3033" t="s">
        <v>17</v>
      </c>
      <c r="F3033">
        <v>5</v>
      </c>
      <c r="G3033" t="s">
        <v>501</v>
      </c>
      <c r="H3033">
        <v>40</v>
      </c>
      <c r="I3033" t="s">
        <v>501</v>
      </c>
      <c r="J3033">
        <v>741</v>
      </c>
      <c r="K3033" t="s">
        <v>505</v>
      </c>
      <c r="L3033" s="13">
        <v>43175</v>
      </c>
      <c r="M3033" t="s">
        <v>2076</v>
      </c>
      <c r="N3033" t="s">
        <v>2077</v>
      </c>
      <c r="O3033">
        <v>48.74</v>
      </c>
      <c r="P3033" t="s">
        <v>508</v>
      </c>
    </row>
    <row r="3034" spans="1:16" x14ac:dyDescent="0.4">
      <c r="A3034" t="s">
        <v>15</v>
      </c>
      <c r="B3034" t="s">
        <v>16</v>
      </c>
      <c r="C3034" s="13">
        <v>43101</v>
      </c>
      <c r="D3034" s="13">
        <v>43465</v>
      </c>
      <c r="E3034" t="s">
        <v>17</v>
      </c>
      <c r="F3034">
        <v>5</v>
      </c>
      <c r="G3034" t="s">
        <v>501</v>
      </c>
      <c r="H3034">
        <v>40</v>
      </c>
      <c r="I3034" t="s">
        <v>501</v>
      </c>
      <c r="J3034">
        <v>741</v>
      </c>
      <c r="K3034" t="s">
        <v>505</v>
      </c>
      <c r="L3034" s="13">
        <v>43328</v>
      </c>
      <c r="M3034" t="s">
        <v>2078</v>
      </c>
      <c r="N3034" t="s">
        <v>2079</v>
      </c>
      <c r="O3034">
        <v>36.19</v>
      </c>
      <c r="P3034" t="s">
        <v>508</v>
      </c>
    </row>
    <row r="3035" spans="1:16" x14ac:dyDescent="0.4">
      <c r="A3035" t="s">
        <v>15</v>
      </c>
      <c r="B3035" t="s">
        <v>16</v>
      </c>
      <c r="C3035" s="13">
        <v>43101</v>
      </c>
      <c r="D3035" s="13">
        <v>43465</v>
      </c>
      <c r="E3035" t="s">
        <v>17</v>
      </c>
      <c r="F3035">
        <v>5</v>
      </c>
      <c r="G3035" t="s">
        <v>501</v>
      </c>
      <c r="H3035">
        <v>40</v>
      </c>
      <c r="I3035" t="s">
        <v>501</v>
      </c>
      <c r="J3035">
        <v>801</v>
      </c>
      <c r="K3035" t="s">
        <v>511</v>
      </c>
      <c r="L3035" s="13">
        <v>43101</v>
      </c>
      <c r="M3035" t="s">
        <v>2080</v>
      </c>
      <c r="N3035" t="s">
        <v>2081</v>
      </c>
      <c r="O3035">
        <v>247.48</v>
      </c>
      <c r="P3035" t="s">
        <v>508</v>
      </c>
    </row>
    <row r="3036" spans="1:16" x14ac:dyDescent="0.4">
      <c r="A3036" t="s">
        <v>15</v>
      </c>
      <c r="B3036" t="s">
        <v>16</v>
      </c>
      <c r="C3036" s="13">
        <v>43101</v>
      </c>
      <c r="D3036" s="13">
        <v>43465</v>
      </c>
      <c r="E3036" t="s">
        <v>17</v>
      </c>
      <c r="F3036">
        <v>5</v>
      </c>
      <c r="G3036" t="s">
        <v>501</v>
      </c>
      <c r="H3036">
        <v>40</v>
      </c>
      <c r="I3036" t="s">
        <v>501</v>
      </c>
      <c r="J3036">
        <v>801</v>
      </c>
      <c r="K3036" t="s">
        <v>511</v>
      </c>
      <c r="L3036" s="13">
        <v>43191</v>
      </c>
      <c r="M3036" t="s">
        <v>2082</v>
      </c>
      <c r="N3036" t="s">
        <v>2083</v>
      </c>
      <c r="O3036">
        <v>247.48</v>
      </c>
      <c r="P3036" t="s">
        <v>508</v>
      </c>
    </row>
    <row r="3037" spans="1:16" x14ac:dyDescent="0.4">
      <c r="A3037" t="s">
        <v>15</v>
      </c>
      <c r="B3037" t="s">
        <v>16</v>
      </c>
      <c r="C3037" s="13">
        <v>43101</v>
      </c>
      <c r="D3037" s="13">
        <v>43465</v>
      </c>
      <c r="E3037" t="s">
        <v>17</v>
      </c>
      <c r="F3037">
        <v>5</v>
      </c>
      <c r="G3037" t="s">
        <v>501</v>
      </c>
      <c r="H3037">
        <v>40</v>
      </c>
      <c r="I3037" t="s">
        <v>501</v>
      </c>
      <c r="J3037">
        <v>801</v>
      </c>
      <c r="K3037" t="s">
        <v>511</v>
      </c>
      <c r="L3037" s="13">
        <v>43266</v>
      </c>
      <c r="M3037" t="s">
        <v>2084</v>
      </c>
      <c r="N3037" t="s">
        <v>2085</v>
      </c>
      <c r="O3037">
        <v>247.48</v>
      </c>
      <c r="P3037" t="s">
        <v>508</v>
      </c>
    </row>
    <row r="3038" spans="1:16" x14ac:dyDescent="0.4">
      <c r="A3038" t="s">
        <v>15</v>
      </c>
      <c r="B3038" t="s">
        <v>16</v>
      </c>
      <c r="C3038" s="13">
        <v>43101</v>
      </c>
      <c r="D3038" s="13">
        <v>43465</v>
      </c>
      <c r="E3038" t="s">
        <v>17</v>
      </c>
      <c r="F3038">
        <v>5</v>
      </c>
      <c r="G3038" t="s">
        <v>501</v>
      </c>
      <c r="H3038">
        <v>40</v>
      </c>
      <c r="I3038" t="s">
        <v>501</v>
      </c>
      <c r="J3038">
        <v>801</v>
      </c>
      <c r="K3038" t="s">
        <v>511</v>
      </c>
      <c r="L3038" s="13">
        <v>43344</v>
      </c>
      <c r="M3038" t="s">
        <v>2086</v>
      </c>
      <c r="N3038" t="s">
        <v>2087</v>
      </c>
      <c r="O3038">
        <v>247.48</v>
      </c>
      <c r="P3038" t="s">
        <v>508</v>
      </c>
    </row>
    <row r="3039" spans="1:16" x14ac:dyDescent="0.4">
      <c r="A3039" t="s">
        <v>15</v>
      </c>
      <c r="B3039" t="s">
        <v>16</v>
      </c>
      <c r="C3039" s="13">
        <v>43101</v>
      </c>
      <c r="D3039" s="13">
        <v>43465</v>
      </c>
      <c r="E3039" t="s">
        <v>30</v>
      </c>
      <c r="F3039">
        <v>6</v>
      </c>
      <c r="G3039" t="s">
        <v>525</v>
      </c>
      <c r="H3039">
        <v>65</v>
      </c>
      <c r="I3039" t="s">
        <v>526</v>
      </c>
      <c r="J3039">
        <v>106</v>
      </c>
      <c r="K3039" t="s">
        <v>1378</v>
      </c>
      <c r="L3039" s="13">
        <v>43249</v>
      </c>
      <c r="M3039" t="s">
        <v>2088</v>
      </c>
      <c r="N3039" t="s">
        <v>2089</v>
      </c>
      <c r="O3039">
        <v>1401.04</v>
      </c>
      <c r="P3039" t="s">
        <v>530</v>
      </c>
    </row>
    <row r="3040" spans="1:16" x14ac:dyDescent="0.4">
      <c r="A3040" t="s">
        <v>15</v>
      </c>
      <c r="B3040" t="s">
        <v>16</v>
      </c>
      <c r="C3040" s="13">
        <v>43101</v>
      </c>
      <c r="D3040" s="13">
        <v>43465</v>
      </c>
      <c r="E3040" t="s">
        <v>17</v>
      </c>
      <c r="F3040">
        <v>6</v>
      </c>
      <c r="G3040" t="s">
        <v>525</v>
      </c>
      <c r="H3040">
        <v>65</v>
      </c>
      <c r="I3040" t="s">
        <v>526</v>
      </c>
      <c r="J3040">
        <v>821</v>
      </c>
      <c r="K3040" t="s">
        <v>527</v>
      </c>
      <c r="L3040" s="13">
        <v>43160</v>
      </c>
      <c r="M3040" t="s">
        <v>2090</v>
      </c>
      <c r="N3040" t="s">
        <v>2091</v>
      </c>
      <c r="O3040">
        <v>2310</v>
      </c>
      <c r="P3040" t="s">
        <v>530</v>
      </c>
    </row>
    <row r="3041" spans="1:16" x14ac:dyDescent="0.4">
      <c r="A3041" t="s">
        <v>15</v>
      </c>
      <c r="B3041" t="s">
        <v>16</v>
      </c>
      <c r="C3041" s="13">
        <v>43101</v>
      </c>
      <c r="D3041" s="13">
        <v>43465</v>
      </c>
      <c r="E3041" t="s">
        <v>17</v>
      </c>
      <c r="F3041">
        <v>6</v>
      </c>
      <c r="G3041" t="s">
        <v>525</v>
      </c>
      <c r="H3041">
        <v>65</v>
      </c>
      <c r="I3041" t="s">
        <v>526</v>
      </c>
      <c r="J3041">
        <v>821</v>
      </c>
      <c r="K3041" t="s">
        <v>527</v>
      </c>
      <c r="L3041" s="13">
        <v>43344</v>
      </c>
      <c r="M3041" t="s">
        <v>2092</v>
      </c>
      <c r="N3041" t="s">
        <v>2093</v>
      </c>
      <c r="O3041">
        <v>2310</v>
      </c>
      <c r="P3041" t="s">
        <v>530</v>
      </c>
    </row>
    <row r="3042" spans="1:16" x14ac:dyDescent="0.4">
      <c r="A3042" t="s">
        <v>15</v>
      </c>
      <c r="B3042" t="s">
        <v>16</v>
      </c>
      <c r="C3042" s="13">
        <v>43101</v>
      </c>
      <c r="D3042" s="13">
        <v>43465</v>
      </c>
      <c r="E3042" t="s">
        <v>17</v>
      </c>
      <c r="F3042">
        <v>6</v>
      </c>
      <c r="G3042" t="s">
        <v>525</v>
      </c>
      <c r="H3042">
        <v>65</v>
      </c>
      <c r="I3042" t="s">
        <v>526</v>
      </c>
      <c r="J3042">
        <v>821</v>
      </c>
      <c r="K3042" t="s">
        <v>527</v>
      </c>
      <c r="L3042" s="13">
        <v>43465</v>
      </c>
      <c r="M3042" t="s">
        <v>1728</v>
      </c>
      <c r="N3042" t="s">
        <v>46</v>
      </c>
      <c r="O3042">
        <v>-3080</v>
      </c>
      <c r="P3042" t="s">
        <v>46</v>
      </c>
    </row>
    <row r="3043" spans="1:16" x14ac:dyDescent="0.4">
      <c r="A3043" t="s">
        <v>15</v>
      </c>
      <c r="B3043" t="s">
        <v>16</v>
      </c>
      <c r="C3043" s="13">
        <v>43101</v>
      </c>
      <c r="D3043" s="13">
        <v>43465</v>
      </c>
      <c r="E3043" t="s">
        <v>17</v>
      </c>
      <c r="F3043">
        <v>8</v>
      </c>
      <c r="G3043" t="s">
        <v>501</v>
      </c>
      <c r="H3043">
        <v>40</v>
      </c>
      <c r="I3043" t="s">
        <v>501</v>
      </c>
      <c r="J3043">
        <v>264</v>
      </c>
      <c r="K3043" t="s">
        <v>502</v>
      </c>
      <c r="L3043" s="13">
        <v>43122</v>
      </c>
      <c r="M3043" t="s">
        <v>351</v>
      </c>
      <c r="N3043" t="s">
        <v>2016</v>
      </c>
      <c r="O3043">
        <v>37.020000000000003</v>
      </c>
      <c r="P3043" t="s">
        <v>52</v>
      </c>
    </row>
    <row r="3044" spans="1:16" x14ac:dyDescent="0.4">
      <c r="A3044" t="s">
        <v>15</v>
      </c>
      <c r="B3044" t="s">
        <v>16</v>
      </c>
      <c r="C3044" s="13">
        <v>43101</v>
      </c>
      <c r="D3044" s="13">
        <v>43465</v>
      </c>
      <c r="E3044" t="s">
        <v>17</v>
      </c>
      <c r="F3044">
        <v>8</v>
      </c>
      <c r="G3044" t="s">
        <v>501</v>
      </c>
      <c r="H3044">
        <v>40</v>
      </c>
      <c r="I3044" t="s">
        <v>501</v>
      </c>
      <c r="J3044">
        <v>264</v>
      </c>
      <c r="K3044" t="s">
        <v>502</v>
      </c>
      <c r="L3044" s="13">
        <v>43181</v>
      </c>
      <c r="M3044" t="s">
        <v>351</v>
      </c>
      <c r="N3044" t="s">
        <v>2017</v>
      </c>
      <c r="O3044">
        <v>21.96</v>
      </c>
      <c r="P3044" t="s">
        <v>52</v>
      </c>
    </row>
    <row r="3045" spans="1:16" x14ac:dyDescent="0.4">
      <c r="A3045" t="s">
        <v>15</v>
      </c>
      <c r="B3045" t="s">
        <v>16</v>
      </c>
      <c r="C3045" s="13">
        <v>43101</v>
      </c>
      <c r="D3045" s="13">
        <v>43465</v>
      </c>
      <c r="E3045" t="s">
        <v>17</v>
      </c>
      <c r="F3045">
        <v>8</v>
      </c>
      <c r="G3045" t="s">
        <v>501</v>
      </c>
      <c r="H3045">
        <v>40</v>
      </c>
      <c r="I3045" t="s">
        <v>501</v>
      </c>
      <c r="J3045">
        <v>264</v>
      </c>
      <c r="K3045" t="s">
        <v>502</v>
      </c>
      <c r="L3045" s="13">
        <v>43242</v>
      </c>
      <c r="M3045" t="s">
        <v>351</v>
      </c>
      <c r="N3045" t="s">
        <v>2018</v>
      </c>
      <c r="O3045">
        <v>21.34</v>
      </c>
      <c r="P3045" t="s">
        <v>52</v>
      </c>
    </row>
    <row r="3046" spans="1:16" x14ac:dyDescent="0.4">
      <c r="A3046" t="s">
        <v>15</v>
      </c>
      <c r="B3046" t="s">
        <v>16</v>
      </c>
      <c r="C3046" s="13">
        <v>43101</v>
      </c>
      <c r="D3046" s="13">
        <v>43465</v>
      </c>
      <c r="E3046" t="s">
        <v>17</v>
      </c>
      <c r="F3046">
        <v>8</v>
      </c>
      <c r="G3046" t="s">
        <v>501</v>
      </c>
      <c r="H3046">
        <v>40</v>
      </c>
      <c r="I3046" t="s">
        <v>501</v>
      </c>
      <c r="J3046">
        <v>264</v>
      </c>
      <c r="K3046" t="s">
        <v>502</v>
      </c>
      <c r="L3046" s="13">
        <v>43303</v>
      </c>
      <c r="M3046" t="s">
        <v>351</v>
      </c>
      <c r="N3046" t="s">
        <v>2019</v>
      </c>
      <c r="O3046">
        <v>20.85</v>
      </c>
      <c r="P3046" t="s">
        <v>52</v>
      </c>
    </row>
    <row r="3047" spans="1:16" x14ac:dyDescent="0.4">
      <c r="A3047" t="s">
        <v>15</v>
      </c>
      <c r="B3047" t="s">
        <v>16</v>
      </c>
      <c r="C3047" s="13">
        <v>43101</v>
      </c>
      <c r="D3047" s="13">
        <v>43465</v>
      </c>
      <c r="E3047" t="s">
        <v>17</v>
      </c>
      <c r="F3047">
        <v>8</v>
      </c>
      <c r="G3047" t="s">
        <v>501</v>
      </c>
      <c r="H3047">
        <v>40</v>
      </c>
      <c r="I3047" t="s">
        <v>501</v>
      </c>
      <c r="J3047">
        <v>264</v>
      </c>
      <c r="K3047" t="s">
        <v>502</v>
      </c>
      <c r="L3047" s="13">
        <v>43365</v>
      </c>
      <c r="M3047" t="s">
        <v>351</v>
      </c>
      <c r="N3047" t="s">
        <v>2020</v>
      </c>
      <c r="O3047">
        <v>21.11</v>
      </c>
      <c r="P3047" t="s">
        <v>52</v>
      </c>
    </row>
    <row r="3048" spans="1:16" x14ac:dyDescent="0.4">
      <c r="A3048" t="s">
        <v>15</v>
      </c>
      <c r="B3048" t="s">
        <v>16</v>
      </c>
      <c r="C3048" s="13">
        <v>43101</v>
      </c>
      <c r="D3048" s="13">
        <v>43465</v>
      </c>
      <c r="E3048" t="s">
        <v>17</v>
      </c>
      <c r="F3048">
        <v>8</v>
      </c>
      <c r="G3048" t="s">
        <v>501</v>
      </c>
      <c r="H3048">
        <v>40</v>
      </c>
      <c r="I3048" t="s">
        <v>501</v>
      </c>
      <c r="J3048">
        <v>264</v>
      </c>
      <c r="K3048" t="s">
        <v>502</v>
      </c>
      <c r="L3048" s="13">
        <v>43426</v>
      </c>
      <c r="M3048" t="s">
        <v>351</v>
      </c>
      <c r="N3048" t="s">
        <v>2021</v>
      </c>
      <c r="O3048">
        <v>20.71</v>
      </c>
      <c r="P3048" t="s">
        <v>52</v>
      </c>
    </row>
    <row r="3049" spans="1:16" x14ac:dyDescent="0.4">
      <c r="A3049" t="s">
        <v>15</v>
      </c>
      <c r="B3049" t="s">
        <v>16</v>
      </c>
      <c r="C3049" s="13">
        <v>43101</v>
      </c>
      <c r="D3049" s="13">
        <v>43465</v>
      </c>
      <c r="E3049" t="s">
        <v>17</v>
      </c>
      <c r="F3049">
        <v>8</v>
      </c>
      <c r="G3049" t="s">
        <v>501</v>
      </c>
      <c r="H3049">
        <v>40</v>
      </c>
      <c r="I3049" t="s">
        <v>501</v>
      </c>
      <c r="J3049">
        <v>741</v>
      </c>
      <c r="K3049" t="s">
        <v>505</v>
      </c>
      <c r="L3049" s="13">
        <v>43167</v>
      </c>
      <c r="M3049" t="s">
        <v>2076</v>
      </c>
      <c r="N3049" t="s">
        <v>2094</v>
      </c>
      <c r="O3049">
        <v>46.33</v>
      </c>
      <c r="P3049" t="s">
        <v>508</v>
      </c>
    </row>
    <row r="3050" spans="1:16" x14ac:dyDescent="0.4">
      <c r="A3050" t="s">
        <v>15</v>
      </c>
      <c r="B3050" t="s">
        <v>16</v>
      </c>
      <c r="C3050" s="13">
        <v>43101</v>
      </c>
      <c r="D3050" s="13">
        <v>43465</v>
      </c>
      <c r="E3050" t="s">
        <v>17</v>
      </c>
      <c r="F3050">
        <v>8</v>
      </c>
      <c r="G3050" t="s">
        <v>501</v>
      </c>
      <c r="H3050">
        <v>40</v>
      </c>
      <c r="I3050" t="s">
        <v>501</v>
      </c>
      <c r="J3050">
        <v>741</v>
      </c>
      <c r="K3050" t="s">
        <v>505</v>
      </c>
      <c r="L3050" s="13">
        <v>43328</v>
      </c>
      <c r="M3050" t="s">
        <v>2078</v>
      </c>
      <c r="N3050" t="s">
        <v>2095</v>
      </c>
      <c r="O3050">
        <v>32.619999999999997</v>
      </c>
      <c r="P3050" t="s">
        <v>508</v>
      </c>
    </row>
    <row r="3051" spans="1:16" x14ac:dyDescent="0.4">
      <c r="A3051" t="s">
        <v>15</v>
      </c>
      <c r="B3051" t="s">
        <v>16</v>
      </c>
      <c r="C3051" s="13">
        <v>43101</v>
      </c>
      <c r="D3051" s="13">
        <v>43465</v>
      </c>
      <c r="E3051" t="s">
        <v>17</v>
      </c>
      <c r="F3051">
        <v>8</v>
      </c>
      <c r="G3051" t="s">
        <v>501</v>
      </c>
      <c r="H3051">
        <v>40</v>
      </c>
      <c r="I3051" t="s">
        <v>501</v>
      </c>
      <c r="J3051">
        <v>801</v>
      </c>
      <c r="K3051" t="s">
        <v>511</v>
      </c>
      <c r="L3051" s="13">
        <v>43101</v>
      </c>
      <c r="M3051" t="s">
        <v>2080</v>
      </c>
      <c r="N3051" t="s">
        <v>2081</v>
      </c>
      <c r="O3051">
        <v>247.48</v>
      </c>
      <c r="P3051" t="s">
        <v>508</v>
      </c>
    </row>
    <row r="3052" spans="1:16" x14ac:dyDescent="0.4">
      <c r="A3052" t="s">
        <v>15</v>
      </c>
      <c r="B3052" t="s">
        <v>16</v>
      </c>
      <c r="C3052" s="13">
        <v>43101</v>
      </c>
      <c r="D3052" s="13">
        <v>43465</v>
      </c>
      <c r="E3052" t="s">
        <v>17</v>
      </c>
      <c r="F3052">
        <v>8</v>
      </c>
      <c r="G3052" t="s">
        <v>501</v>
      </c>
      <c r="H3052">
        <v>40</v>
      </c>
      <c r="I3052" t="s">
        <v>501</v>
      </c>
      <c r="J3052">
        <v>801</v>
      </c>
      <c r="K3052" t="s">
        <v>511</v>
      </c>
      <c r="L3052" s="13">
        <v>43191</v>
      </c>
      <c r="M3052" t="s">
        <v>2082</v>
      </c>
      <c r="N3052" t="s">
        <v>2083</v>
      </c>
      <c r="O3052">
        <v>247.48</v>
      </c>
      <c r="P3052" t="s">
        <v>508</v>
      </c>
    </row>
    <row r="3053" spans="1:16" x14ac:dyDescent="0.4">
      <c r="A3053" t="s">
        <v>15</v>
      </c>
      <c r="B3053" t="s">
        <v>16</v>
      </c>
      <c r="C3053" s="13">
        <v>43101</v>
      </c>
      <c r="D3053" s="13">
        <v>43465</v>
      </c>
      <c r="E3053" t="s">
        <v>17</v>
      </c>
      <c r="F3053">
        <v>8</v>
      </c>
      <c r="G3053" t="s">
        <v>501</v>
      </c>
      <c r="H3053">
        <v>40</v>
      </c>
      <c r="I3053" t="s">
        <v>501</v>
      </c>
      <c r="J3053">
        <v>801</v>
      </c>
      <c r="K3053" t="s">
        <v>511</v>
      </c>
      <c r="L3053" s="13">
        <v>43266</v>
      </c>
      <c r="M3053" t="s">
        <v>2084</v>
      </c>
      <c r="N3053" t="s">
        <v>2085</v>
      </c>
      <c r="O3053">
        <v>247.48</v>
      </c>
      <c r="P3053" t="s">
        <v>508</v>
      </c>
    </row>
    <row r="3054" spans="1:16" x14ac:dyDescent="0.4">
      <c r="A3054" t="s">
        <v>15</v>
      </c>
      <c r="B3054" t="s">
        <v>16</v>
      </c>
      <c r="C3054" s="13">
        <v>43101</v>
      </c>
      <c r="D3054" s="13">
        <v>43465</v>
      </c>
      <c r="E3054" t="s">
        <v>17</v>
      </c>
      <c r="F3054">
        <v>8</v>
      </c>
      <c r="G3054" t="s">
        <v>501</v>
      </c>
      <c r="H3054">
        <v>40</v>
      </c>
      <c r="I3054" t="s">
        <v>501</v>
      </c>
      <c r="J3054">
        <v>801</v>
      </c>
      <c r="K3054" t="s">
        <v>511</v>
      </c>
      <c r="L3054" s="13">
        <v>43344</v>
      </c>
      <c r="M3054" t="s">
        <v>2086</v>
      </c>
      <c r="N3054" t="s">
        <v>2087</v>
      </c>
      <c r="O3054">
        <v>247.48</v>
      </c>
      <c r="P3054" t="s">
        <v>508</v>
      </c>
    </row>
    <row r="3055" spans="1:16" x14ac:dyDescent="0.4">
      <c r="A3055" t="s">
        <v>15</v>
      </c>
      <c r="B3055" t="s">
        <v>16</v>
      </c>
      <c r="C3055" s="13">
        <v>43101</v>
      </c>
      <c r="D3055" s="13">
        <v>43465</v>
      </c>
      <c r="E3055" t="s">
        <v>30</v>
      </c>
      <c r="F3055">
        <v>9</v>
      </c>
      <c r="G3055" t="s">
        <v>525</v>
      </c>
      <c r="H3055">
        <v>65</v>
      </c>
      <c r="I3055" t="s">
        <v>526</v>
      </c>
      <c r="J3055">
        <v>106</v>
      </c>
      <c r="K3055" t="s">
        <v>1378</v>
      </c>
      <c r="L3055" s="13">
        <v>43249</v>
      </c>
      <c r="M3055" t="s">
        <v>2088</v>
      </c>
      <c r="N3055" t="s">
        <v>2089</v>
      </c>
      <c r="O3055">
        <v>1401.04</v>
      </c>
      <c r="P3055" t="s">
        <v>530</v>
      </c>
    </row>
    <row r="3056" spans="1:16" x14ac:dyDescent="0.4">
      <c r="A3056" t="s">
        <v>15</v>
      </c>
      <c r="B3056" t="s">
        <v>16</v>
      </c>
      <c r="C3056" s="13">
        <v>43101</v>
      </c>
      <c r="D3056" s="13">
        <v>43465</v>
      </c>
      <c r="E3056" t="s">
        <v>17</v>
      </c>
      <c r="F3056">
        <v>9</v>
      </c>
      <c r="G3056" t="s">
        <v>525</v>
      </c>
      <c r="H3056">
        <v>65</v>
      </c>
      <c r="I3056" t="s">
        <v>526</v>
      </c>
      <c r="J3056">
        <v>821</v>
      </c>
      <c r="K3056" t="s">
        <v>527</v>
      </c>
      <c r="L3056" s="13">
        <v>43465</v>
      </c>
      <c r="M3056" t="s">
        <v>553</v>
      </c>
      <c r="N3056" t="s">
        <v>46</v>
      </c>
      <c r="O3056">
        <v>1540</v>
      </c>
      <c r="P3056" t="s">
        <v>46</v>
      </c>
    </row>
    <row r="3057" spans="1:16" x14ac:dyDescent="0.4">
      <c r="A3057" t="s">
        <v>15</v>
      </c>
      <c r="B3057" t="s">
        <v>16</v>
      </c>
      <c r="C3057" s="13">
        <v>43101</v>
      </c>
      <c r="D3057" s="13">
        <v>43465</v>
      </c>
      <c r="E3057" t="s">
        <v>17</v>
      </c>
      <c r="F3057">
        <v>11</v>
      </c>
      <c r="G3057" t="s">
        <v>501</v>
      </c>
      <c r="H3057">
        <v>40</v>
      </c>
      <c r="I3057" t="s">
        <v>501</v>
      </c>
      <c r="J3057">
        <v>264</v>
      </c>
      <c r="K3057" t="s">
        <v>502</v>
      </c>
      <c r="L3057" s="13">
        <v>43122</v>
      </c>
      <c r="M3057" t="s">
        <v>351</v>
      </c>
      <c r="N3057" t="s">
        <v>2016</v>
      </c>
      <c r="O3057">
        <v>37.020000000000003</v>
      </c>
      <c r="P3057" t="s">
        <v>52</v>
      </c>
    </row>
    <row r="3058" spans="1:16" x14ac:dyDescent="0.4">
      <c r="A3058" t="s">
        <v>15</v>
      </c>
      <c r="B3058" t="s">
        <v>16</v>
      </c>
      <c r="C3058" s="13">
        <v>43101</v>
      </c>
      <c r="D3058" s="13">
        <v>43465</v>
      </c>
      <c r="E3058" t="s">
        <v>17</v>
      </c>
      <c r="F3058">
        <v>11</v>
      </c>
      <c r="G3058" t="s">
        <v>501</v>
      </c>
      <c r="H3058">
        <v>40</v>
      </c>
      <c r="I3058" t="s">
        <v>501</v>
      </c>
      <c r="J3058">
        <v>264</v>
      </c>
      <c r="K3058" t="s">
        <v>502</v>
      </c>
      <c r="L3058" s="13">
        <v>43181</v>
      </c>
      <c r="M3058" t="s">
        <v>351</v>
      </c>
      <c r="N3058" t="s">
        <v>2017</v>
      </c>
      <c r="O3058">
        <v>21.96</v>
      </c>
      <c r="P3058" t="s">
        <v>52</v>
      </c>
    </row>
    <row r="3059" spans="1:16" x14ac:dyDescent="0.4">
      <c r="A3059" t="s">
        <v>15</v>
      </c>
      <c r="B3059" t="s">
        <v>16</v>
      </c>
      <c r="C3059" s="13">
        <v>43101</v>
      </c>
      <c r="D3059" s="13">
        <v>43465</v>
      </c>
      <c r="E3059" t="s">
        <v>17</v>
      </c>
      <c r="F3059">
        <v>11</v>
      </c>
      <c r="G3059" t="s">
        <v>501</v>
      </c>
      <c r="H3059">
        <v>40</v>
      </c>
      <c r="I3059" t="s">
        <v>501</v>
      </c>
      <c r="J3059">
        <v>264</v>
      </c>
      <c r="K3059" t="s">
        <v>502</v>
      </c>
      <c r="L3059" s="13">
        <v>43242</v>
      </c>
      <c r="M3059" t="s">
        <v>351</v>
      </c>
      <c r="N3059" t="s">
        <v>2018</v>
      </c>
      <c r="O3059">
        <v>21.34</v>
      </c>
      <c r="P3059" t="s">
        <v>52</v>
      </c>
    </row>
    <row r="3060" spans="1:16" x14ac:dyDescent="0.4">
      <c r="A3060" t="s">
        <v>15</v>
      </c>
      <c r="B3060" t="s">
        <v>16</v>
      </c>
      <c r="C3060" s="13">
        <v>43101</v>
      </c>
      <c r="D3060" s="13">
        <v>43465</v>
      </c>
      <c r="E3060" t="s">
        <v>17</v>
      </c>
      <c r="F3060">
        <v>11</v>
      </c>
      <c r="G3060" t="s">
        <v>501</v>
      </c>
      <c r="H3060">
        <v>40</v>
      </c>
      <c r="I3060" t="s">
        <v>501</v>
      </c>
      <c r="J3060">
        <v>264</v>
      </c>
      <c r="K3060" t="s">
        <v>502</v>
      </c>
      <c r="L3060" s="13">
        <v>43303</v>
      </c>
      <c r="M3060" t="s">
        <v>351</v>
      </c>
      <c r="N3060" t="s">
        <v>2019</v>
      </c>
      <c r="O3060">
        <v>20.85</v>
      </c>
      <c r="P3060" t="s">
        <v>52</v>
      </c>
    </row>
    <row r="3061" spans="1:16" x14ac:dyDescent="0.4">
      <c r="A3061" t="s">
        <v>15</v>
      </c>
      <c r="B3061" t="s">
        <v>16</v>
      </c>
      <c r="C3061" s="13">
        <v>43101</v>
      </c>
      <c r="D3061" s="13">
        <v>43465</v>
      </c>
      <c r="E3061" t="s">
        <v>17</v>
      </c>
      <c r="F3061">
        <v>11</v>
      </c>
      <c r="G3061" t="s">
        <v>501</v>
      </c>
      <c r="H3061">
        <v>40</v>
      </c>
      <c r="I3061" t="s">
        <v>501</v>
      </c>
      <c r="J3061">
        <v>264</v>
      </c>
      <c r="K3061" t="s">
        <v>502</v>
      </c>
      <c r="L3061" s="13">
        <v>43365</v>
      </c>
      <c r="M3061" t="s">
        <v>351</v>
      </c>
      <c r="N3061" t="s">
        <v>2020</v>
      </c>
      <c r="O3061">
        <v>21.11</v>
      </c>
      <c r="P3061" t="s">
        <v>52</v>
      </c>
    </row>
    <row r="3062" spans="1:16" x14ac:dyDescent="0.4">
      <c r="A3062" t="s">
        <v>15</v>
      </c>
      <c r="B3062" t="s">
        <v>16</v>
      </c>
      <c r="C3062" s="13">
        <v>43101</v>
      </c>
      <c r="D3062" s="13">
        <v>43465</v>
      </c>
      <c r="E3062" t="s">
        <v>17</v>
      </c>
      <c r="F3062">
        <v>11</v>
      </c>
      <c r="G3062" t="s">
        <v>501</v>
      </c>
      <c r="H3062">
        <v>40</v>
      </c>
      <c r="I3062" t="s">
        <v>501</v>
      </c>
      <c r="J3062">
        <v>264</v>
      </c>
      <c r="K3062" t="s">
        <v>502</v>
      </c>
      <c r="L3062" s="13">
        <v>43426</v>
      </c>
      <c r="M3062" t="s">
        <v>351</v>
      </c>
      <c r="N3062" t="s">
        <v>2021</v>
      </c>
      <c r="O3062">
        <v>20.71</v>
      </c>
      <c r="P3062" t="s">
        <v>52</v>
      </c>
    </row>
    <row r="3063" spans="1:16" x14ac:dyDescent="0.4">
      <c r="A3063" t="s">
        <v>15</v>
      </c>
      <c r="B3063" t="s">
        <v>16</v>
      </c>
      <c r="C3063" s="13">
        <v>43101</v>
      </c>
      <c r="D3063" s="13">
        <v>43465</v>
      </c>
      <c r="E3063" t="s">
        <v>17</v>
      </c>
      <c r="F3063">
        <v>11</v>
      </c>
      <c r="G3063" t="s">
        <v>501</v>
      </c>
      <c r="H3063">
        <v>40</v>
      </c>
      <c r="I3063" t="s">
        <v>501</v>
      </c>
      <c r="J3063">
        <v>741</v>
      </c>
      <c r="K3063" t="s">
        <v>505</v>
      </c>
      <c r="L3063" s="13">
        <v>43167</v>
      </c>
      <c r="M3063" t="s">
        <v>2076</v>
      </c>
      <c r="N3063" t="s">
        <v>2096</v>
      </c>
      <c r="O3063">
        <v>45.04</v>
      </c>
      <c r="P3063" t="s">
        <v>508</v>
      </c>
    </row>
    <row r="3064" spans="1:16" x14ac:dyDescent="0.4">
      <c r="A3064" t="s">
        <v>15</v>
      </c>
      <c r="B3064" t="s">
        <v>16</v>
      </c>
      <c r="C3064" s="13">
        <v>43101</v>
      </c>
      <c r="D3064" s="13">
        <v>43465</v>
      </c>
      <c r="E3064" t="s">
        <v>17</v>
      </c>
      <c r="F3064">
        <v>11</v>
      </c>
      <c r="G3064" t="s">
        <v>501</v>
      </c>
      <c r="H3064">
        <v>40</v>
      </c>
      <c r="I3064" t="s">
        <v>501</v>
      </c>
      <c r="J3064">
        <v>741</v>
      </c>
      <c r="K3064" t="s">
        <v>505</v>
      </c>
      <c r="L3064" s="13">
        <v>43328</v>
      </c>
      <c r="M3064" t="s">
        <v>2078</v>
      </c>
      <c r="N3064" t="s">
        <v>2097</v>
      </c>
      <c r="O3064">
        <v>32.700000000000003</v>
      </c>
      <c r="P3064" t="s">
        <v>508</v>
      </c>
    </row>
    <row r="3065" spans="1:16" x14ac:dyDescent="0.4">
      <c r="A3065" t="s">
        <v>15</v>
      </c>
      <c r="B3065" t="s">
        <v>16</v>
      </c>
      <c r="C3065" s="13">
        <v>43101</v>
      </c>
      <c r="D3065" s="13">
        <v>43465</v>
      </c>
      <c r="E3065" t="s">
        <v>17</v>
      </c>
      <c r="F3065">
        <v>11</v>
      </c>
      <c r="G3065" t="s">
        <v>501</v>
      </c>
      <c r="H3065">
        <v>40</v>
      </c>
      <c r="I3065" t="s">
        <v>501</v>
      </c>
      <c r="J3065">
        <v>801</v>
      </c>
      <c r="K3065" t="s">
        <v>511</v>
      </c>
      <c r="L3065" s="13">
        <v>43101</v>
      </c>
      <c r="M3065" t="s">
        <v>2080</v>
      </c>
      <c r="N3065" t="s">
        <v>2081</v>
      </c>
      <c r="O3065">
        <v>247.54</v>
      </c>
      <c r="P3065" t="s">
        <v>508</v>
      </c>
    </row>
    <row r="3066" spans="1:16" x14ac:dyDescent="0.4">
      <c r="A3066" t="s">
        <v>15</v>
      </c>
      <c r="B3066" t="s">
        <v>16</v>
      </c>
      <c r="C3066" s="13">
        <v>43101</v>
      </c>
      <c r="D3066" s="13">
        <v>43465</v>
      </c>
      <c r="E3066" t="s">
        <v>17</v>
      </c>
      <c r="F3066">
        <v>11</v>
      </c>
      <c r="G3066" t="s">
        <v>501</v>
      </c>
      <c r="H3066">
        <v>40</v>
      </c>
      <c r="I3066" t="s">
        <v>501</v>
      </c>
      <c r="J3066">
        <v>801</v>
      </c>
      <c r="K3066" t="s">
        <v>511</v>
      </c>
      <c r="L3066" s="13">
        <v>43191</v>
      </c>
      <c r="M3066" t="s">
        <v>2082</v>
      </c>
      <c r="N3066" t="s">
        <v>2083</v>
      </c>
      <c r="O3066">
        <v>247.54</v>
      </c>
      <c r="P3066" t="s">
        <v>508</v>
      </c>
    </row>
    <row r="3067" spans="1:16" x14ac:dyDescent="0.4">
      <c r="A3067" t="s">
        <v>15</v>
      </c>
      <c r="B3067" t="s">
        <v>16</v>
      </c>
      <c r="C3067" s="13">
        <v>43101</v>
      </c>
      <c r="D3067" s="13">
        <v>43465</v>
      </c>
      <c r="E3067" t="s">
        <v>17</v>
      </c>
      <c r="F3067">
        <v>11</v>
      </c>
      <c r="G3067" t="s">
        <v>501</v>
      </c>
      <c r="H3067">
        <v>40</v>
      </c>
      <c r="I3067" t="s">
        <v>501</v>
      </c>
      <c r="J3067">
        <v>801</v>
      </c>
      <c r="K3067" t="s">
        <v>511</v>
      </c>
      <c r="L3067" s="13">
        <v>43266</v>
      </c>
      <c r="M3067" t="s">
        <v>2084</v>
      </c>
      <c r="N3067" t="s">
        <v>2085</v>
      </c>
      <c r="O3067">
        <v>247.54</v>
      </c>
      <c r="P3067" t="s">
        <v>508</v>
      </c>
    </row>
    <row r="3068" spans="1:16" x14ac:dyDescent="0.4">
      <c r="A3068" t="s">
        <v>15</v>
      </c>
      <c r="B3068" t="s">
        <v>16</v>
      </c>
      <c r="C3068" s="13">
        <v>43101</v>
      </c>
      <c r="D3068" s="13">
        <v>43465</v>
      </c>
      <c r="E3068" t="s">
        <v>17</v>
      </c>
      <c r="F3068">
        <v>11</v>
      </c>
      <c r="G3068" t="s">
        <v>501</v>
      </c>
      <c r="H3068">
        <v>40</v>
      </c>
      <c r="I3068" t="s">
        <v>501</v>
      </c>
      <c r="J3068">
        <v>801</v>
      </c>
      <c r="K3068" t="s">
        <v>511</v>
      </c>
      <c r="L3068" s="13">
        <v>43344</v>
      </c>
      <c r="M3068" t="s">
        <v>2086</v>
      </c>
      <c r="N3068" t="s">
        <v>2087</v>
      </c>
      <c r="O3068">
        <v>247.54</v>
      </c>
      <c r="P3068" t="s">
        <v>508</v>
      </c>
    </row>
    <row r="3069" spans="1:16" x14ac:dyDescent="0.4">
      <c r="A3069" t="s">
        <v>15</v>
      </c>
      <c r="B3069" t="s">
        <v>16</v>
      </c>
      <c r="C3069" s="13">
        <v>43101</v>
      </c>
      <c r="D3069" s="13">
        <v>43465</v>
      </c>
      <c r="E3069" t="s">
        <v>30</v>
      </c>
      <c r="F3069">
        <v>12</v>
      </c>
      <c r="G3069" t="s">
        <v>525</v>
      </c>
      <c r="H3069">
        <v>65</v>
      </c>
      <c r="I3069" t="s">
        <v>526</v>
      </c>
      <c r="J3069">
        <v>106</v>
      </c>
      <c r="K3069" t="s">
        <v>1378</v>
      </c>
      <c r="L3069" s="13">
        <v>43190</v>
      </c>
      <c r="M3069" t="s">
        <v>2098</v>
      </c>
      <c r="N3069" t="s">
        <v>2099</v>
      </c>
      <c r="O3069">
        <v>426.8</v>
      </c>
      <c r="P3069" t="s">
        <v>530</v>
      </c>
    </row>
    <row r="3070" spans="1:16" x14ac:dyDescent="0.4">
      <c r="A3070" t="s">
        <v>15</v>
      </c>
      <c r="B3070" t="s">
        <v>16</v>
      </c>
      <c r="C3070" s="13">
        <v>43101</v>
      </c>
      <c r="D3070" s="13">
        <v>43465</v>
      </c>
      <c r="E3070" t="s">
        <v>30</v>
      </c>
      <c r="F3070">
        <v>12</v>
      </c>
      <c r="G3070" t="s">
        <v>525</v>
      </c>
      <c r="H3070">
        <v>65</v>
      </c>
      <c r="I3070" t="s">
        <v>526</v>
      </c>
      <c r="J3070">
        <v>106</v>
      </c>
      <c r="K3070" t="s">
        <v>1378</v>
      </c>
      <c r="L3070" s="13">
        <v>43249</v>
      </c>
      <c r="M3070" t="s">
        <v>2088</v>
      </c>
      <c r="N3070" t="s">
        <v>2089</v>
      </c>
      <c r="O3070">
        <v>1401.02</v>
      </c>
      <c r="P3070" t="s">
        <v>530</v>
      </c>
    </row>
    <row r="3071" spans="1:16" x14ac:dyDescent="0.4">
      <c r="A3071" t="s">
        <v>15</v>
      </c>
      <c r="B3071" t="s">
        <v>16</v>
      </c>
      <c r="C3071" s="13">
        <v>43101</v>
      </c>
      <c r="D3071" s="13">
        <v>43465</v>
      </c>
      <c r="E3071" t="s">
        <v>17</v>
      </c>
      <c r="F3071">
        <v>12</v>
      </c>
      <c r="G3071" t="s">
        <v>525</v>
      </c>
      <c r="H3071">
        <v>65</v>
      </c>
      <c r="I3071" t="s">
        <v>526</v>
      </c>
      <c r="J3071">
        <v>821</v>
      </c>
      <c r="K3071" t="s">
        <v>527</v>
      </c>
      <c r="L3071" s="13">
        <v>43465</v>
      </c>
      <c r="M3071" t="s">
        <v>558</v>
      </c>
      <c r="N3071" t="s">
        <v>46</v>
      </c>
      <c r="O3071">
        <v>1540</v>
      </c>
      <c r="P3071" t="s">
        <v>46</v>
      </c>
    </row>
    <row r="3072" spans="1:16" x14ac:dyDescent="0.4">
      <c r="A3072" t="s">
        <v>15</v>
      </c>
      <c r="B3072" t="s">
        <v>16</v>
      </c>
      <c r="C3072" s="13">
        <v>43101</v>
      </c>
      <c r="D3072" s="13">
        <v>43465</v>
      </c>
      <c r="E3072" t="s">
        <v>17</v>
      </c>
      <c r="F3072">
        <v>13</v>
      </c>
      <c r="G3072" t="s">
        <v>560</v>
      </c>
      <c r="H3072">
        <v>50</v>
      </c>
      <c r="I3072" t="s">
        <v>561</v>
      </c>
      <c r="J3072">
        <v>269</v>
      </c>
      <c r="K3072" t="s">
        <v>562</v>
      </c>
      <c r="L3072" s="13">
        <v>43115</v>
      </c>
      <c r="M3072" t="s">
        <v>351</v>
      </c>
      <c r="N3072" t="s">
        <v>2100</v>
      </c>
      <c r="O3072">
        <v>504.79</v>
      </c>
      <c r="P3072" t="s">
        <v>565</v>
      </c>
    </row>
    <row r="3073" spans="1:16" x14ac:dyDescent="0.4">
      <c r="A3073" t="s">
        <v>15</v>
      </c>
      <c r="B3073" t="s">
        <v>16</v>
      </c>
      <c r="C3073" s="13">
        <v>43101</v>
      </c>
      <c r="D3073" s="13">
        <v>43465</v>
      </c>
      <c r="E3073" t="s">
        <v>17</v>
      </c>
      <c r="F3073">
        <v>13</v>
      </c>
      <c r="G3073" t="s">
        <v>560</v>
      </c>
      <c r="H3073">
        <v>50</v>
      </c>
      <c r="I3073" t="s">
        <v>561</v>
      </c>
      <c r="J3073">
        <v>269</v>
      </c>
      <c r="K3073" t="s">
        <v>562</v>
      </c>
      <c r="L3073" s="13">
        <v>43144</v>
      </c>
      <c r="M3073" t="s">
        <v>351</v>
      </c>
      <c r="N3073" t="s">
        <v>2101</v>
      </c>
      <c r="O3073">
        <v>491.74</v>
      </c>
      <c r="P3073" t="s">
        <v>565</v>
      </c>
    </row>
    <row r="3074" spans="1:16" x14ac:dyDescent="0.4">
      <c r="A3074" t="s">
        <v>15</v>
      </c>
      <c r="B3074" t="s">
        <v>16</v>
      </c>
      <c r="C3074" s="13">
        <v>43101</v>
      </c>
      <c r="D3074" s="13">
        <v>43465</v>
      </c>
      <c r="E3074" t="s">
        <v>17</v>
      </c>
      <c r="F3074">
        <v>13</v>
      </c>
      <c r="G3074" t="s">
        <v>560</v>
      </c>
      <c r="H3074">
        <v>50</v>
      </c>
      <c r="I3074" t="s">
        <v>561</v>
      </c>
      <c r="J3074">
        <v>269</v>
      </c>
      <c r="K3074" t="s">
        <v>562</v>
      </c>
      <c r="L3074" s="13">
        <v>43172</v>
      </c>
      <c r="M3074" t="s">
        <v>351</v>
      </c>
      <c r="N3074" t="s">
        <v>2102</v>
      </c>
      <c r="O3074">
        <v>452.54</v>
      </c>
      <c r="P3074" t="s">
        <v>565</v>
      </c>
    </row>
    <row r="3075" spans="1:16" x14ac:dyDescent="0.4">
      <c r="A3075" t="s">
        <v>15</v>
      </c>
      <c r="B3075" t="s">
        <v>16</v>
      </c>
      <c r="C3075" s="13">
        <v>43101</v>
      </c>
      <c r="D3075" s="13">
        <v>43465</v>
      </c>
      <c r="E3075" t="s">
        <v>17</v>
      </c>
      <c r="F3075">
        <v>13</v>
      </c>
      <c r="G3075" t="s">
        <v>560</v>
      </c>
      <c r="H3075">
        <v>50</v>
      </c>
      <c r="I3075" t="s">
        <v>561</v>
      </c>
      <c r="J3075">
        <v>269</v>
      </c>
      <c r="K3075" t="s">
        <v>562</v>
      </c>
      <c r="L3075" s="13">
        <v>43215</v>
      </c>
      <c r="M3075" t="s">
        <v>351</v>
      </c>
      <c r="N3075" t="s">
        <v>2103</v>
      </c>
      <c r="O3075">
        <v>296.74</v>
      </c>
      <c r="P3075" t="s">
        <v>565</v>
      </c>
    </row>
    <row r="3076" spans="1:16" x14ac:dyDescent="0.4">
      <c r="A3076" t="s">
        <v>15</v>
      </c>
      <c r="B3076" t="s">
        <v>16</v>
      </c>
      <c r="C3076" s="13">
        <v>43101</v>
      </c>
      <c r="D3076" s="13">
        <v>43465</v>
      </c>
      <c r="E3076" t="s">
        <v>17</v>
      </c>
      <c r="F3076">
        <v>13</v>
      </c>
      <c r="G3076" t="s">
        <v>560</v>
      </c>
      <c r="H3076">
        <v>50</v>
      </c>
      <c r="I3076" t="s">
        <v>561</v>
      </c>
      <c r="J3076">
        <v>269</v>
      </c>
      <c r="K3076" t="s">
        <v>562</v>
      </c>
      <c r="L3076" s="13">
        <v>43233</v>
      </c>
      <c r="M3076" t="s">
        <v>351</v>
      </c>
      <c r="N3076" t="s">
        <v>2104</v>
      </c>
      <c r="O3076">
        <v>499.78</v>
      </c>
      <c r="P3076" t="s">
        <v>565</v>
      </c>
    </row>
    <row r="3077" spans="1:16" x14ac:dyDescent="0.4">
      <c r="A3077" t="s">
        <v>15</v>
      </c>
      <c r="B3077" t="s">
        <v>16</v>
      </c>
      <c r="C3077" s="13">
        <v>43101</v>
      </c>
      <c r="D3077" s="13">
        <v>43465</v>
      </c>
      <c r="E3077" t="s">
        <v>17</v>
      </c>
      <c r="F3077">
        <v>13</v>
      </c>
      <c r="G3077" t="s">
        <v>560</v>
      </c>
      <c r="H3077">
        <v>50</v>
      </c>
      <c r="I3077" t="s">
        <v>561</v>
      </c>
      <c r="J3077">
        <v>269</v>
      </c>
      <c r="K3077" t="s">
        <v>562</v>
      </c>
      <c r="L3077" s="13">
        <v>43264</v>
      </c>
      <c r="M3077" t="s">
        <v>351</v>
      </c>
      <c r="N3077" t="s">
        <v>2105</v>
      </c>
      <c r="O3077">
        <v>343.38</v>
      </c>
      <c r="P3077" t="s">
        <v>565</v>
      </c>
    </row>
    <row r="3078" spans="1:16" x14ac:dyDescent="0.4">
      <c r="A3078" t="s">
        <v>15</v>
      </c>
      <c r="B3078" t="s">
        <v>16</v>
      </c>
      <c r="C3078" s="13">
        <v>43101</v>
      </c>
      <c r="D3078" s="13">
        <v>43465</v>
      </c>
      <c r="E3078" t="s">
        <v>17</v>
      </c>
      <c r="F3078">
        <v>13</v>
      </c>
      <c r="G3078" t="s">
        <v>560</v>
      </c>
      <c r="H3078">
        <v>50</v>
      </c>
      <c r="I3078" t="s">
        <v>561</v>
      </c>
      <c r="J3078">
        <v>269</v>
      </c>
      <c r="K3078" t="s">
        <v>562</v>
      </c>
      <c r="L3078" s="13">
        <v>43294</v>
      </c>
      <c r="M3078" t="s">
        <v>351</v>
      </c>
      <c r="N3078" t="s">
        <v>2106</v>
      </c>
      <c r="O3078">
        <v>311.47000000000003</v>
      </c>
      <c r="P3078" t="s">
        <v>565</v>
      </c>
    </row>
    <row r="3079" spans="1:16" x14ac:dyDescent="0.4">
      <c r="A3079" t="s">
        <v>15</v>
      </c>
      <c r="B3079" t="s">
        <v>16</v>
      </c>
      <c r="C3079" s="13">
        <v>43101</v>
      </c>
      <c r="D3079" s="13">
        <v>43465</v>
      </c>
      <c r="E3079" t="s">
        <v>17</v>
      </c>
      <c r="F3079">
        <v>13</v>
      </c>
      <c r="G3079" t="s">
        <v>560</v>
      </c>
      <c r="H3079">
        <v>50</v>
      </c>
      <c r="I3079" t="s">
        <v>561</v>
      </c>
      <c r="J3079">
        <v>269</v>
      </c>
      <c r="K3079" t="s">
        <v>562</v>
      </c>
      <c r="L3079" s="13">
        <v>43326</v>
      </c>
      <c r="M3079" t="s">
        <v>351</v>
      </c>
      <c r="N3079" t="s">
        <v>2107</v>
      </c>
      <c r="O3079">
        <v>301.77999999999997</v>
      </c>
      <c r="P3079" t="s">
        <v>565</v>
      </c>
    </row>
    <row r="3080" spans="1:16" x14ac:dyDescent="0.4">
      <c r="A3080" t="s">
        <v>15</v>
      </c>
      <c r="B3080" t="s">
        <v>16</v>
      </c>
      <c r="C3080" s="13">
        <v>43101</v>
      </c>
      <c r="D3080" s="13">
        <v>43465</v>
      </c>
      <c r="E3080" t="s">
        <v>17</v>
      </c>
      <c r="F3080">
        <v>13</v>
      </c>
      <c r="G3080" t="s">
        <v>560</v>
      </c>
      <c r="H3080">
        <v>50</v>
      </c>
      <c r="I3080" t="s">
        <v>561</v>
      </c>
      <c r="J3080">
        <v>269</v>
      </c>
      <c r="K3080" t="s">
        <v>562</v>
      </c>
      <c r="L3080" s="13">
        <v>43356</v>
      </c>
      <c r="M3080" t="s">
        <v>351</v>
      </c>
      <c r="N3080" t="s">
        <v>2108</v>
      </c>
      <c r="O3080">
        <v>305.12</v>
      </c>
      <c r="P3080" t="s">
        <v>565</v>
      </c>
    </row>
    <row r="3081" spans="1:16" x14ac:dyDescent="0.4">
      <c r="A3081" t="s">
        <v>15</v>
      </c>
      <c r="B3081" t="s">
        <v>16</v>
      </c>
      <c r="C3081" s="13">
        <v>43101</v>
      </c>
      <c r="D3081" s="13">
        <v>43465</v>
      </c>
      <c r="E3081" t="s">
        <v>17</v>
      </c>
      <c r="F3081">
        <v>13</v>
      </c>
      <c r="G3081" t="s">
        <v>560</v>
      </c>
      <c r="H3081">
        <v>50</v>
      </c>
      <c r="I3081" t="s">
        <v>561</v>
      </c>
      <c r="J3081">
        <v>269</v>
      </c>
      <c r="K3081" t="s">
        <v>562</v>
      </c>
      <c r="L3081" s="13">
        <v>43386</v>
      </c>
      <c r="M3081" t="s">
        <v>351</v>
      </c>
      <c r="N3081" t="s">
        <v>2109</v>
      </c>
      <c r="O3081">
        <v>313.7</v>
      </c>
      <c r="P3081" t="s">
        <v>565</v>
      </c>
    </row>
    <row r="3082" spans="1:16" x14ac:dyDescent="0.4">
      <c r="A3082" t="s">
        <v>15</v>
      </c>
      <c r="B3082" t="s">
        <v>16</v>
      </c>
      <c r="C3082" s="13">
        <v>43101</v>
      </c>
      <c r="D3082" s="13">
        <v>43465</v>
      </c>
      <c r="E3082" t="s">
        <v>17</v>
      </c>
      <c r="F3082">
        <v>13</v>
      </c>
      <c r="G3082" t="s">
        <v>560</v>
      </c>
      <c r="H3082">
        <v>50</v>
      </c>
      <c r="I3082" t="s">
        <v>561</v>
      </c>
      <c r="J3082">
        <v>269</v>
      </c>
      <c r="K3082" t="s">
        <v>562</v>
      </c>
      <c r="L3082" s="13">
        <v>43417</v>
      </c>
      <c r="M3082" t="s">
        <v>351</v>
      </c>
      <c r="N3082" t="s">
        <v>2110</v>
      </c>
      <c r="O3082">
        <v>379.01</v>
      </c>
      <c r="P3082" t="s">
        <v>565</v>
      </c>
    </row>
    <row r="3083" spans="1:16" x14ac:dyDescent="0.4">
      <c r="A3083" t="s">
        <v>15</v>
      </c>
      <c r="B3083" t="s">
        <v>16</v>
      </c>
      <c r="C3083" s="13">
        <v>43101</v>
      </c>
      <c r="D3083" s="13">
        <v>43465</v>
      </c>
      <c r="E3083" t="s">
        <v>17</v>
      </c>
      <c r="F3083">
        <v>13</v>
      </c>
      <c r="G3083" t="s">
        <v>560</v>
      </c>
      <c r="H3083">
        <v>50</v>
      </c>
      <c r="I3083" t="s">
        <v>561</v>
      </c>
      <c r="J3083">
        <v>269</v>
      </c>
      <c r="K3083" t="s">
        <v>562</v>
      </c>
      <c r="L3083" s="13">
        <v>43447</v>
      </c>
      <c r="M3083" t="s">
        <v>351</v>
      </c>
      <c r="N3083" t="s">
        <v>2111</v>
      </c>
      <c r="O3083">
        <v>449.41</v>
      </c>
      <c r="P3083" t="s">
        <v>565</v>
      </c>
    </row>
    <row r="3084" spans="1:16" x14ac:dyDescent="0.4">
      <c r="A3084" t="s">
        <v>15</v>
      </c>
      <c r="B3084" t="s">
        <v>16</v>
      </c>
      <c r="C3084" s="13">
        <v>43101</v>
      </c>
      <c r="D3084" s="13">
        <v>43465</v>
      </c>
      <c r="E3084" t="s">
        <v>17</v>
      </c>
      <c r="F3084">
        <v>13</v>
      </c>
      <c r="G3084" t="s">
        <v>560</v>
      </c>
      <c r="H3084">
        <v>50</v>
      </c>
      <c r="I3084" t="s">
        <v>561</v>
      </c>
      <c r="J3084">
        <v>286</v>
      </c>
      <c r="K3084" t="s">
        <v>588</v>
      </c>
      <c r="L3084" s="13">
        <v>43465</v>
      </c>
      <c r="M3084" t="s">
        <v>2112</v>
      </c>
      <c r="N3084" t="s">
        <v>86</v>
      </c>
      <c r="O3084">
        <v>1247.8399999999999</v>
      </c>
      <c r="P3084" t="s">
        <v>46</v>
      </c>
    </row>
    <row r="3085" spans="1:16" x14ac:dyDescent="0.4">
      <c r="A3085" t="s">
        <v>15</v>
      </c>
      <c r="B3085" t="s">
        <v>16</v>
      </c>
      <c r="C3085" s="13">
        <v>43101</v>
      </c>
      <c r="D3085" s="13">
        <v>43465</v>
      </c>
      <c r="E3085" t="s">
        <v>17</v>
      </c>
      <c r="F3085">
        <v>14</v>
      </c>
      <c r="G3085" t="s">
        <v>560</v>
      </c>
      <c r="H3085">
        <v>50</v>
      </c>
      <c r="I3085" t="s">
        <v>561</v>
      </c>
      <c r="J3085">
        <v>269</v>
      </c>
      <c r="K3085" t="s">
        <v>562</v>
      </c>
      <c r="L3085" s="13">
        <v>43116</v>
      </c>
      <c r="M3085" t="s">
        <v>2113</v>
      </c>
      <c r="N3085" t="s">
        <v>46</v>
      </c>
      <c r="O3085">
        <v>443.15</v>
      </c>
      <c r="P3085" t="s">
        <v>46</v>
      </c>
    </row>
    <row r="3086" spans="1:16" x14ac:dyDescent="0.4">
      <c r="A3086" t="s">
        <v>15</v>
      </c>
      <c r="B3086" t="s">
        <v>16</v>
      </c>
      <c r="C3086" s="13">
        <v>43101</v>
      </c>
      <c r="D3086" s="13">
        <v>43465</v>
      </c>
      <c r="E3086" t="s">
        <v>17</v>
      </c>
      <c r="F3086">
        <v>14</v>
      </c>
      <c r="G3086" t="s">
        <v>560</v>
      </c>
      <c r="H3086">
        <v>50</v>
      </c>
      <c r="I3086" t="s">
        <v>561</v>
      </c>
      <c r="J3086">
        <v>269</v>
      </c>
      <c r="K3086" t="s">
        <v>562</v>
      </c>
      <c r="L3086" s="13">
        <v>43145</v>
      </c>
      <c r="M3086" t="s">
        <v>351</v>
      </c>
      <c r="N3086" t="s">
        <v>46</v>
      </c>
      <c r="O3086">
        <v>455.32</v>
      </c>
      <c r="P3086" t="s">
        <v>46</v>
      </c>
    </row>
    <row r="3087" spans="1:16" x14ac:dyDescent="0.4">
      <c r="A3087" t="s">
        <v>15</v>
      </c>
      <c r="B3087" t="s">
        <v>16</v>
      </c>
      <c r="C3087" s="13">
        <v>43101</v>
      </c>
      <c r="D3087" s="13">
        <v>43465</v>
      </c>
      <c r="E3087" t="s">
        <v>17</v>
      </c>
      <c r="F3087">
        <v>14</v>
      </c>
      <c r="G3087" t="s">
        <v>560</v>
      </c>
      <c r="H3087">
        <v>50</v>
      </c>
      <c r="I3087" t="s">
        <v>561</v>
      </c>
      <c r="J3087">
        <v>269</v>
      </c>
      <c r="K3087" t="s">
        <v>562</v>
      </c>
      <c r="L3087" s="13">
        <v>43173</v>
      </c>
      <c r="M3087" t="s">
        <v>351</v>
      </c>
      <c r="N3087" t="s">
        <v>46</v>
      </c>
      <c r="O3087">
        <v>416.2</v>
      </c>
      <c r="P3087" t="s">
        <v>46</v>
      </c>
    </row>
    <row r="3088" spans="1:16" x14ac:dyDescent="0.4">
      <c r="A3088" t="s">
        <v>15</v>
      </c>
      <c r="B3088" t="s">
        <v>16</v>
      </c>
      <c r="C3088" s="13">
        <v>43101</v>
      </c>
      <c r="D3088" s="13">
        <v>43465</v>
      </c>
      <c r="E3088" t="s">
        <v>17</v>
      </c>
      <c r="F3088">
        <v>14</v>
      </c>
      <c r="G3088" t="s">
        <v>560</v>
      </c>
      <c r="H3088">
        <v>50</v>
      </c>
      <c r="I3088" t="s">
        <v>561</v>
      </c>
      <c r="J3088">
        <v>269</v>
      </c>
      <c r="K3088" t="s">
        <v>562</v>
      </c>
      <c r="L3088" s="13">
        <v>43207</v>
      </c>
      <c r="M3088" t="s">
        <v>351</v>
      </c>
      <c r="N3088" t="s">
        <v>2114</v>
      </c>
      <c r="O3088">
        <v>426.73</v>
      </c>
      <c r="P3088" t="s">
        <v>565</v>
      </c>
    </row>
    <row r="3089" spans="1:16" x14ac:dyDescent="0.4">
      <c r="A3089" t="s">
        <v>15</v>
      </c>
      <c r="B3089" t="s">
        <v>16</v>
      </c>
      <c r="C3089" s="13">
        <v>43101</v>
      </c>
      <c r="D3089" s="13">
        <v>43465</v>
      </c>
      <c r="E3089" t="s">
        <v>17</v>
      </c>
      <c r="F3089">
        <v>14</v>
      </c>
      <c r="G3089" t="s">
        <v>560</v>
      </c>
      <c r="H3089">
        <v>50</v>
      </c>
      <c r="I3089" t="s">
        <v>561</v>
      </c>
      <c r="J3089">
        <v>269</v>
      </c>
      <c r="K3089" t="s">
        <v>562</v>
      </c>
      <c r="L3089" s="13">
        <v>43233</v>
      </c>
      <c r="M3089" t="s">
        <v>351</v>
      </c>
      <c r="N3089" t="s">
        <v>2115</v>
      </c>
      <c r="O3089">
        <v>325.22000000000003</v>
      </c>
      <c r="P3089" t="s">
        <v>565</v>
      </c>
    </row>
    <row r="3090" spans="1:16" x14ac:dyDescent="0.4">
      <c r="A3090" t="s">
        <v>15</v>
      </c>
      <c r="B3090" t="s">
        <v>16</v>
      </c>
      <c r="C3090" s="13">
        <v>43101</v>
      </c>
      <c r="D3090" s="13">
        <v>43465</v>
      </c>
      <c r="E3090" t="s">
        <v>17</v>
      </c>
      <c r="F3090">
        <v>14</v>
      </c>
      <c r="G3090" t="s">
        <v>560</v>
      </c>
      <c r="H3090">
        <v>50</v>
      </c>
      <c r="I3090" t="s">
        <v>561</v>
      </c>
      <c r="J3090">
        <v>269</v>
      </c>
      <c r="K3090" t="s">
        <v>562</v>
      </c>
      <c r="L3090" s="13">
        <v>43264</v>
      </c>
      <c r="M3090" t="s">
        <v>351</v>
      </c>
      <c r="N3090" t="s">
        <v>2116</v>
      </c>
      <c r="O3090">
        <v>324.13</v>
      </c>
      <c r="P3090" t="s">
        <v>565</v>
      </c>
    </row>
    <row r="3091" spans="1:16" x14ac:dyDescent="0.4">
      <c r="A3091" t="s">
        <v>15</v>
      </c>
      <c r="B3091" t="s">
        <v>16</v>
      </c>
      <c r="C3091" s="13">
        <v>43101</v>
      </c>
      <c r="D3091" s="13">
        <v>43465</v>
      </c>
      <c r="E3091" t="s">
        <v>17</v>
      </c>
      <c r="F3091">
        <v>14</v>
      </c>
      <c r="G3091" t="s">
        <v>560</v>
      </c>
      <c r="H3091">
        <v>50</v>
      </c>
      <c r="I3091" t="s">
        <v>561</v>
      </c>
      <c r="J3091">
        <v>269</v>
      </c>
      <c r="K3091" t="s">
        <v>562</v>
      </c>
      <c r="L3091" s="13">
        <v>43294</v>
      </c>
      <c r="M3091" t="s">
        <v>351</v>
      </c>
      <c r="N3091" t="s">
        <v>2117</v>
      </c>
      <c r="O3091">
        <v>279.2</v>
      </c>
      <c r="P3091" t="s">
        <v>565</v>
      </c>
    </row>
    <row r="3092" spans="1:16" x14ac:dyDescent="0.4">
      <c r="A3092" t="s">
        <v>15</v>
      </c>
      <c r="B3092" t="s">
        <v>16</v>
      </c>
      <c r="C3092" s="13">
        <v>43101</v>
      </c>
      <c r="D3092" s="13">
        <v>43465</v>
      </c>
      <c r="E3092" t="s">
        <v>17</v>
      </c>
      <c r="F3092">
        <v>14</v>
      </c>
      <c r="G3092" t="s">
        <v>560</v>
      </c>
      <c r="H3092">
        <v>50</v>
      </c>
      <c r="I3092" t="s">
        <v>561</v>
      </c>
      <c r="J3092">
        <v>269</v>
      </c>
      <c r="K3092" t="s">
        <v>562</v>
      </c>
      <c r="L3092" s="13">
        <v>43326</v>
      </c>
      <c r="M3092" t="s">
        <v>351</v>
      </c>
      <c r="N3092" t="s">
        <v>2118</v>
      </c>
      <c r="O3092">
        <v>277.63</v>
      </c>
      <c r="P3092" t="s">
        <v>565</v>
      </c>
    </row>
    <row r="3093" spans="1:16" x14ac:dyDescent="0.4">
      <c r="A3093" t="s">
        <v>15</v>
      </c>
      <c r="B3093" t="s">
        <v>16</v>
      </c>
      <c r="C3093" s="13">
        <v>43101</v>
      </c>
      <c r="D3093" s="13">
        <v>43465</v>
      </c>
      <c r="E3093" t="s">
        <v>17</v>
      </c>
      <c r="F3093">
        <v>14</v>
      </c>
      <c r="G3093" t="s">
        <v>560</v>
      </c>
      <c r="H3093">
        <v>50</v>
      </c>
      <c r="I3093" t="s">
        <v>561</v>
      </c>
      <c r="J3093">
        <v>269</v>
      </c>
      <c r="K3093" t="s">
        <v>562</v>
      </c>
      <c r="L3093" s="13">
        <v>43356</v>
      </c>
      <c r="M3093" t="s">
        <v>351</v>
      </c>
      <c r="N3093" t="s">
        <v>2119</v>
      </c>
      <c r="O3093">
        <v>269.98</v>
      </c>
      <c r="P3093" t="s">
        <v>565</v>
      </c>
    </row>
    <row r="3094" spans="1:16" x14ac:dyDescent="0.4">
      <c r="A3094" t="s">
        <v>15</v>
      </c>
      <c r="B3094" t="s">
        <v>16</v>
      </c>
      <c r="C3094" s="13">
        <v>43101</v>
      </c>
      <c r="D3094" s="13">
        <v>43465</v>
      </c>
      <c r="E3094" t="s">
        <v>17</v>
      </c>
      <c r="F3094">
        <v>14</v>
      </c>
      <c r="G3094" t="s">
        <v>560</v>
      </c>
      <c r="H3094">
        <v>50</v>
      </c>
      <c r="I3094" t="s">
        <v>561</v>
      </c>
      <c r="J3094">
        <v>269</v>
      </c>
      <c r="K3094" t="s">
        <v>562</v>
      </c>
      <c r="L3094" s="13">
        <v>43386</v>
      </c>
      <c r="M3094" t="s">
        <v>351</v>
      </c>
      <c r="N3094" t="s">
        <v>2120</v>
      </c>
      <c r="O3094">
        <v>284.22000000000003</v>
      </c>
      <c r="P3094" t="s">
        <v>565</v>
      </c>
    </row>
    <row r="3095" spans="1:16" x14ac:dyDescent="0.4">
      <c r="A3095" t="s">
        <v>15</v>
      </c>
      <c r="B3095" t="s">
        <v>16</v>
      </c>
      <c r="C3095" s="13">
        <v>43101</v>
      </c>
      <c r="D3095" s="13">
        <v>43465</v>
      </c>
      <c r="E3095" t="s">
        <v>17</v>
      </c>
      <c r="F3095">
        <v>14</v>
      </c>
      <c r="G3095" t="s">
        <v>560</v>
      </c>
      <c r="H3095">
        <v>50</v>
      </c>
      <c r="I3095" t="s">
        <v>561</v>
      </c>
      <c r="J3095">
        <v>269</v>
      </c>
      <c r="K3095" t="s">
        <v>562</v>
      </c>
      <c r="L3095" s="13">
        <v>43417</v>
      </c>
      <c r="M3095" t="s">
        <v>351</v>
      </c>
      <c r="N3095" t="s">
        <v>2121</v>
      </c>
      <c r="O3095">
        <v>355.15</v>
      </c>
      <c r="P3095" t="s">
        <v>565</v>
      </c>
    </row>
    <row r="3096" spans="1:16" x14ac:dyDescent="0.4">
      <c r="A3096" t="s">
        <v>15</v>
      </c>
      <c r="B3096" t="s">
        <v>16</v>
      </c>
      <c r="C3096" s="13">
        <v>43101</v>
      </c>
      <c r="D3096" s="13">
        <v>43465</v>
      </c>
      <c r="E3096" t="s">
        <v>17</v>
      </c>
      <c r="F3096">
        <v>14</v>
      </c>
      <c r="G3096" t="s">
        <v>560</v>
      </c>
      <c r="H3096">
        <v>50</v>
      </c>
      <c r="I3096" t="s">
        <v>561</v>
      </c>
      <c r="J3096">
        <v>269</v>
      </c>
      <c r="K3096" t="s">
        <v>562</v>
      </c>
      <c r="L3096" s="13">
        <v>43448</v>
      </c>
      <c r="M3096" t="s">
        <v>351</v>
      </c>
      <c r="N3096" t="s">
        <v>2122</v>
      </c>
      <c r="O3096">
        <v>426.26</v>
      </c>
      <c r="P3096" t="s">
        <v>565</v>
      </c>
    </row>
    <row r="3097" spans="1:16" x14ac:dyDescent="0.4">
      <c r="A3097" t="s">
        <v>15</v>
      </c>
      <c r="B3097" t="s">
        <v>16</v>
      </c>
      <c r="C3097" s="13">
        <v>43101</v>
      </c>
      <c r="D3097" s="13">
        <v>43465</v>
      </c>
      <c r="E3097" t="s">
        <v>17</v>
      </c>
      <c r="F3097">
        <v>14</v>
      </c>
      <c r="G3097" t="s">
        <v>560</v>
      </c>
      <c r="H3097">
        <v>50</v>
      </c>
      <c r="I3097" t="s">
        <v>561</v>
      </c>
      <c r="J3097">
        <v>286</v>
      </c>
      <c r="K3097" t="s">
        <v>588</v>
      </c>
      <c r="L3097" s="13">
        <v>43465</v>
      </c>
      <c r="M3097" t="s">
        <v>2123</v>
      </c>
      <c r="N3097" t="s">
        <v>86</v>
      </c>
      <c r="O3097">
        <v>1164.1500000000001</v>
      </c>
      <c r="P3097" t="s">
        <v>46</v>
      </c>
    </row>
    <row r="3098" spans="1:16" x14ac:dyDescent="0.4">
      <c r="A3098" t="s">
        <v>15</v>
      </c>
      <c r="B3098" t="s">
        <v>16</v>
      </c>
      <c r="C3098" s="13">
        <v>43101</v>
      </c>
      <c r="D3098" s="13">
        <v>43465</v>
      </c>
      <c r="E3098" t="s">
        <v>17</v>
      </c>
      <c r="F3098">
        <v>15</v>
      </c>
      <c r="G3098" t="s">
        <v>560</v>
      </c>
      <c r="H3098">
        <v>50</v>
      </c>
      <c r="I3098" t="s">
        <v>561</v>
      </c>
      <c r="J3098">
        <v>269</v>
      </c>
      <c r="K3098" t="s">
        <v>562</v>
      </c>
      <c r="L3098" s="13">
        <v>43116</v>
      </c>
      <c r="M3098" t="s">
        <v>2113</v>
      </c>
      <c r="N3098" t="s">
        <v>46</v>
      </c>
      <c r="O3098">
        <v>443.15</v>
      </c>
      <c r="P3098" t="s">
        <v>46</v>
      </c>
    </row>
    <row r="3099" spans="1:16" x14ac:dyDescent="0.4">
      <c r="A3099" t="s">
        <v>15</v>
      </c>
      <c r="B3099" t="s">
        <v>16</v>
      </c>
      <c r="C3099" s="13">
        <v>43101</v>
      </c>
      <c r="D3099" s="13">
        <v>43465</v>
      </c>
      <c r="E3099" t="s">
        <v>17</v>
      </c>
      <c r="F3099">
        <v>15</v>
      </c>
      <c r="G3099" t="s">
        <v>560</v>
      </c>
      <c r="H3099">
        <v>50</v>
      </c>
      <c r="I3099" t="s">
        <v>561</v>
      </c>
      <c r="J3099">
        <v>269</v>
      </c>
      <c r="K3099" t="s">
        <v>562</v>
      </c>
      <c r="L3099" s="13">
        <v>43145</v>
      </c>
      <c r="M3099" t="s">
        <v>351</v>
      </c>
      <c r="N3099" t="s">
        <v>46</v>
      </c>
      <c r="O3099">
        <v>455.32</v>
      </c>
      <c r="P3099" t="s">
        <v>46</v>
      </c>
    </row>
    <row r="3100" spans="1:16" x14ac:dyDescent="0.4">
      <c r="A3100" t="s">
        <v>15</v>
      </c>
      <c r="B3100" t="s">
        <v>16</v>
      </c>
      <c r="C3100" s="13">
        <v>43101</v>
      </c>
      <c r="D3100" s="13">
        <v>43465</v>
      </c>
      <c r="E3100" t="s">
        <v>17</v>
      </c>
      <c r="F3100">
        <v>15</v>
      </c>
      <c r="G3100" t="s">
        <v>560</v>
      </c>
      <c r="H3100">
        <v>50</v>
      </c>
      <c r="I3100" t="s">
        <v>561</v>
      </c>
      <c r="J3100">
        <v>269</v>
      </c>
      <c r="K3100" t="s">
        <v>562</v>
      </c>
      <c r="L3100" s="13">
        <v>43173</v>
      </c>
      <c r="M3100" t="s">
        <v>351</v>
      </c>
      <c r="N3100" t="s">
        <v>46</v>
      </c>
      <c r="O3100">
        <v>416.2</v>
      </c>
      <c r="P3100" t="s">
        <v>46</v>
      </c>
    </row>
    <row r="3101" spans="1:16" x14ac:dyDescent="0.4">
      <c r="A3101" t="s">
        <v>15</v>
      </c>
      <c r="B3101" t="s">
        <v>16</v>
      </c>
      <c r="C3101" s="13">
        <v>43101</v>
      </c>
      <c r="D3101" s="13">
        <v>43465</v>
      </c>
      <c r="E3101" t="s">
        <v>17</v>
      </c>
      <c r="F3101">
        <v>15</v>
      </c>
      <c r="G3101" t="s">
        <v>560</v>
      </c>
      <c r="H3101">
        <v>50</v>
      </c>
      <c r="I3101" t="s">
        <v>561</v>
      </c>
      <c r="J3101">
        <v>269</v>
      </c>
      <c r="K3101" t="s">
        <v>562</v>
      </c>
      <c r="L3101" s="13">
        <v>43207</v>
      </c>
      <c r="M3101" t="s">
        <v>351</v>
      </c>
      <c r="N3101" t="s">
        <v>2114</v>
      </c>
      <c r="O3101">
        <v>426.73</v>
      </c>
      <c r="P3101" t="s">
        <v>565</v>
      </c>
    </row>
    <row r="3102" spans="1:16" x14ac:dyDescent="0.4">
      <c r="A3102" t="s">
        <v>15</v>
      </c>
      <c r="B3102" t="s">
        <v>16</v>
      </c>
      <c r="C3102" s="13">
        <v>43101</v>
      </c>
      <c r="D3102" s="13">
        <v>43465</v>
      </c>
      <c r="E3102" t="s">
        <v>17</v>
      </c>
      <c r="F3102">
        <v>15</v>
      </c>
      <c r="G3102" t="s">
        <v>560</v>
      </c>
      <c r="H3102">
        <v>50</v>
      </c>
      <c r="I3102" t="s">
        <v>561</v>
      </c>
      <c r="J3102">
        <v>269</v>
      </c>
      <c r="K3102" t="s">
        <v>562</v>
      </c>
      <c r="L3102" s="13">
        <v>43233</v>
      </c>
      <c r="M3102" t="s">
        <v>351</v>
      </c>
      <c r="N3102" t="s">
        <v>2115</v>
      </c>
      <c r="O3102">
        <v>325.23</v>
      </c>
      <c r="P3102" t="s">
        <v>565</v>
      </c>
    </row>
    <row r="3103" spans="1:16" x14ac:dyDescent="0.4">
      <c r="A3103" t="s">
        <v>15</v>
      </c>
      <c r="B3103" t="s">
        <v>16</v>
      </c>
      <c r="C3103" s="13">
        <v>43101</v>
      </c>
      <c r="D3103" s="13">
        <v>43465</v>
      </c>
      <c r="E3103" t="s">
        <v>17</v>
      </c>
      <c r="F3103">
        <v>15</v>
      </c>
      <c r="G3103" t="s">
        <v>560</v>
      </c>
      <c r="H3103">
        <v>50</v>
      </c>
      <c r="I3103" t="s">
        <v>561</v>
      </c>
      <c r="J3103">
        <v>269</v>
      </c>
      <c r="K3103" t="s">
        <v>562</v>
      </c>
      <c r="L3103" s="13">
        <v>43264</v>
      </c>
      <c r="M3103" t="s">
        <v>351</v>
      </c>
      <c r="N3103" t="s">
        <v>2116</v>
      </c>
      <c r="O3103">
        <v>324.12</v>
      </c>
      <c r="P3103" t="s">
        <v>565</v>
      </c>
    </row>
    <row r="3104" spans="1:16" x14ac:dyDescent="0.4">
      <c r="A3104" t="s">
        <v>15</v>
      </c>
      <c r="B3104" t="s">
        <v>16</v>
      </c>
      <c r="C3104" s="13">
        <v>43101</v>
      </c>
      <c r="D3104" s="13">
        <v>43465</v>
      </c>
      <c r="E3104" t="s">
        <v>17</v>
      </c>
      <c r="F3104">
        <v>15</v>
      </c>
      <c r="G3104" t="s">
        <v>560</v>
      </c>
      <c r="H3104">
        <v>50</v>
      </c>
      <c r="I3104" t="s">
        <v>561</v>
      </c>
      <c r="J3104">
        <v>269</v>
      </c>
      <c r="K3104" t="s">
        <v>562</v>
      </c>
      <c r="L3104" s="13">
        <v>43294</v>
      </c>
      <c r="M3104" t="s">
        <v>351</v>
      </c>
      <c r="N3104" t="s">
        <v>2117</v>
      </c>
      <c r="O3104">
        <v>279.2</v>
      </c>
      <c r="P3104" t="s">
        <v>565</v>
      </c>
    </row>
    <row r="3105" spans="1:16" x14ac:dyDescent="0.4">
      <c r="A3105" t="s">
        <v>15</v>
      </c>
      <c r="B3105" t="s">
        <v>16</v>
      </c>
      <c r="C3105" s="13">
        <v>43101</v>
      </c>
      <c r="D3105" s="13">
        <v>43465</v>
      </c>
      <c r="E3105" t="s">
        <v>17</v>
      </c>
      <c r="F3105">
        <v>15</v>
      </c>
      <c r="G3105" t="s">
        <v>560</v>
      </c>
      <c r="H3105">
        <v>50</v>
      </c>
      <c r="I3105" t="s">
        <v>561</v>
      </c>
      <c r="J3105">
        <v>269</v>
      </c>
      <c r="K3105" t="s">
        <v>562</v>
      </c>
      <c r="L3105" s="13">
        <v>43326</v>
      </c>
      <c r="M3105" t="s">
        <v>351</v>
      </c>
      <c r="N3105" t="s">
        <v>2118</v>
      </c>
      <c r="O3105">
        <v>277.63</v>
      </c>
      <c r="P3105" t="s">
        <v>565</v>
      </c>
    </row>
    <row r="3106" spans="1:16" x14ac:dyDescent="0.4">
      <c r="A3106" t="s">
        <v>15</v>
      </c>
      <c r="B3106" t="s">
        <v>16</v>
      </c>
      <c r="C3106" s="13">
        <v>43101</v>
      </c>
      <c r="D3106" s="13">
        <v>43465</v>
      </c>
      <c r="E3106" t="s">
        <v>17</v>
      </c>
      <c r="F3106">
        <v>15</v>
      </c>
      <c r="G3106" t="s">
        <v>560</v>
      </c>
      <c r="H3106">
        <v>50</v>
      </c>
      <c r="I3106" t="s">
        <v>561</v>
      </c>
      <c r="J3106">
        <v>269</v>
      </c>
      <c r="K3106" t="s">
        <v>562</v>
      </c>
      <c r="L3106" s="13">
        <v>43356</v>
      </c>
      <c r="M3106" t="s">
        <v>351</v>
      </c>
      <c r="N3106" t="s">
        <v>2119</v>
      </c>
      <c r="O3106">
        <v>269.98</v>
      </c>
      <c r="P3106" t="s">
        <v>565</v>
      </c>
    </row>
    <row r="3107" spans="1:16" x14ac:dyDescent="0.4">
      <c r="A3107" t="s">
        <v>15</v>
      </c>
      <c r="B3107" t="s">
        <v>16</v>
      </c>
      <c r="C3107" s="13">
        <v>43101</v>
      </c>
      <c r="D3107" s="13">
        <v>43465</v>
      </c>
      <c r="E3107" t="s">
        <v>17</v>
      </c>
      <c r="F3107">
        <v>15</v>
      </c>
      <c r="G3107" t="s">
        <v>560</v>
      </c>
      <c r="H3107">
        <v>50</v>
      </c>
      <c r="I3107" t="s">
        <v>561</v>
      </c>
      <c r="J3107">
        <v>269</v>
      </c>
      <c r="K3107" t="s">
        <v>562</v>
      </c>
      <c r="L3107" s="13">
        <v>43386</v>
      </c>
      <c r="M3107" t="s">
        <v>351</v>
      </c>
      <c r="N3107" t="s">
        <v>2120</v>
      </c>
      <c r="O3107">
        <v>284.23</v>
      </c>
      <c r="P3107" t="s">
        <v>565</v>
      </c>
    </row>
    <row r="3108" spans="1:16" x14ac:dyDescent="0.4">
      <c r="A3108" t="s">
        <v>15</v>
      </c>
      <c r="B3108" t="s">
        <v>16</v>
      </c>
      <c r="C3108" s="13">
        <v>43101</v>
      </c>
      <c r="D3108" s="13">
        <v>43465</v>
      </c>
      <c r="E3108" t="s">
        <v>17</v>
      </c>
      <c r="F3108">
        <v>15</v>
      </c>
      <c r="G3108" t="s">
        <v>560</v>
      </c>
      <c r="H3108">
        <v>50</v>
      </c>
      <c r="I3108" t="s">
        <v>561</v>
      </c>
      <c r="J3108">
        <v>269</v>
      </c>
      <c r="K3108" t="s">
        <v>562</v>
      </c>
      <c r="L3108" s="13">
        <v>43417</v>
      </c>
      <c r="M3108" t="s">
        <v>351</v>
      </c>
      <c r="N3108" t="s">
        <v>2121</v>
      </c>
      <c r="O3108">
        <v>355.14</v>
      </c>
      <c r="P3108" t="s">
        <v>565</v>
      </c>
    </row>
    <row r="3109" spans="1:16" x14ac:dyDescent="0.4">
      <c r="A3109" t="s">
        <v>15</v>
      </c>
      <c r="B3109" t="s">
        <v>16</v>
      </c>
      <c r="C3109" s="13">
        <v>43101</v>
      </c>
      <c r="D3109" s="13">
        <v>43465</v>
      </c>
      <c r="E3109" t="s">
        <v>17</v>
      </c>
      <c r="F3109">
        <v>15</v>
      </c>
      <c r="G3109" t="s">
        <v>560</v>
      </c>
      <c r="H3109">
        <v>50</v>
      </c>
      <c r="I3109" t="s">
        <v>561</v>
      </c>
      <c r="J3109">
        <v>269</v>
      </c>
      <c r="K3109" t="s">
        <v>562</v>
      </c>
      <c r="L3109" s="13">
        <v>43448</v>
      </c>
      <c r="M3109" t="s">
        <v>351</v>
      </c>
      <c r="N3109" t="s">
        <v>2122</v>
      </c>
      <c r="O3109">
        <v>426.26</v>
      </c>
      <c r="P3109" t="s">
        <v>565</v>
      </c>
    </row>
    <row r="3110" spans="1:16" x14ac:dyDescent="0.4">
      <c r="A3110" t="s">
        <v>15</v>
      </c>
      <c r="B3110" t="s">
        <v>16</v>
      </c>
      <c r="C3110" s="13">
        <v>43101</v>
      </c>
      <c r="D3110" s="13">
        <v>43465</v>
      </c>
      <c r="E3110" t="s">
        <v>17</v>
      </c>
      <c r="F3110">
        <v>15</v>
      </c>
      <c r="G3110" t="s">
        <v>560</v>
      </c>
      <c r="H3110">
        <v>50</v>
      </c>
      <c r="I3110" t="s">
        <v>561</v>
      </c>
      <c r="J3110">
        <v>286</v>
      </c>
      <c r="K3110" t="s">
        <v>588</v>
      </c>
      <c r="L3110" s="13">
        <v>43465</v>
      </c>
      <c r="M3110" t="s">
        <v>2124</v>
      </c>
      <c r="N3110" t="s">
        <v>86</v>
      </c>
      <c r="O3110">
        <v>1479.91</v>
      </c>
      <c r="P3110" t="s">
        <v>46</v>
      </c>
    </row>
    <row r="3111" spans="1:16" x14ac:dyDescent="0.4">
      <c r="A3111" t="s">
        <v>15</v>
      </c>
      <c r="B3111" t="s">
        <v>16</v>
      </c>
      <c r="C3111" s="13">
        <v>43101</v>
      </c>
      <c r="D3111" s="13">
        <v>43465</v>
      </c>
      <c r="E3111" t="s">
        <v>17</v>
      </c>
      <c r="F3111">
        <v>15</v>
      </c>
      <c r="G3111" t="s">
        <v>560</v>
      </c>
      <c r="H3111">
        <v>50</v>
      </c>
      <c r="I3111" t="s">
        <v>561</v>
      </c>
      <c r="J3111">
        <v>289</v>
      </c>
      <c r="K3111" t="s">
        <v>615</v>
      </c>
      <c r="L3111" s="13">
        <v>43465</v>
      </c>
      <c r="M3111" t="s">
        <v>616</v>
      </c>
      <c r="N3111" t="s">
        <v>98</v>
      </c>
      <c r="O3111">
        <v>-11</v>
      </c>
      <c r="P3111" t="s">
        <v>46</v>
      </c>
    </row>
    <row r="3112" spans="1:16" x14ac:dyDescent="0.4">
      <c r="A3112" t="s">
        <v>15</v>
      </c>
      <c r="B3112" t="s">
        <v>16</v>
      </c>
      <c r="C3112" s="13">
        <v>43101</v>
      </c>
      <c r="D3112" s="13">
        <v>43465</v>
      </c>
      <c r="E3112" t="s">
        <v>17</v>
      </c>
      <c r="F3112">
        <v>16</v>
      </c>
      <c r="G3112" t="s">
        <v>617</v>
      </c>
      <c r="H3112">
        <v>6</v>
      </c>
      <c r="I3112" t="s">
        <v>618</v>
      </c>
      <c r="J3112">
        <v>115</v>
      </c>
      <c r="K3112" t="s">
        <v>1416</v>
      </c>
      <c r="L3112" s="13">
        <v>43399</v>
      </c>
      <c r="M3112" t="s">
        <v>2125</v>
      </c>
      <c r="N3112" t="s">
        <v>2126</v>
      </c>
      <c r="O3112">
        <v>129.80000000000001</v>
      </c>
      <c r="P3112" t="s">
        <v>472</v>
      </c>
    </row>
    <row r="3113" spans="1:16" x14ac:dyDescent="0.4">
      <c r="A3113" t="s">
        <v>15</v>
      </c>
      <c r="B3113" t="s">
        <v>16</v>
      </c>
      <c r="C3113" s="13">
        <v>43101</v>
      </c>
      <c r="D3113" s="13">
        <v>43465</v>
      </c>
      <c r="E3113" t="s">
        <v>17</v>
      </c>
      <c r="F3113">
        <v>16</v>
      </c>
      <c r="G3113" t="s">
        <v>617</v>
      </c>
      <c r="H3113">
        <v>6</v>
      </c>
      <c r="I3113" t="s">
        <v>618</v>
      </c>
      <c r="J3113">
        <v>117</v>
      </c>
      <c r="K3113" t="s">
        <v>623</v>
      </c>
      <c r="L3113" s="13">
        <v>43115</v>
      </c>
      <c r="M3113" t="s">
        <v>2127</v>
      </c>
      <c r="N3113" t="s">
        <v>46</v>
      </c>
      <c r="O3113">
        <v>138.76</v>
      </c>
      <c r="P3113" t="s">
        <v>46</v>
      </c>
    </row>
    <row r="3114" spans="1:16" x14ac:dyDescent="0.4">
      <c r="A3114" t="s">
        <v>15</v>
      </c>
      <c r="B3114" t="s">
        <v>16</v>
      </c>
      <c r="C3114" s="13">
        <v>43101</v>
      </c>
      <c r="D3114" s="13">
        <v>43465</v>
      </c>
      <c r="E3114" t="s">
        <v>17</v>
      </c>
      <c r="F3114">
        <v>16</v>
      </c>
      <c r="G3114" t="s">
        <v>617</v>
      </c>
      <c r="H3114">
        <v>6</v>
      </c>
      <c r="I3114" t="s">
        <v>618</v>
      </c>
      <c r="J3114">
        <v>117</v>
      </c>
      <c r="K3114" t="s">
        <v>623</v>
      </c>
      <c r="L3114" s="13">
        <v>43115</v>
      </c>
      <c r="M3114" t="s">
        <v>2060</v>
      </c>
      <c r="N3114" t="s">
        <v>46</v>
      </c>
      <c r="O3114">
        <v>147.46</v>
      </c>
      <c r="P3114" t="s">
        <v>46</v>
      </c>
    </row>
    <row r="3115" spans="1:16" x14ac:dyDescent="0.4">
      <c r="A3115" t="s">
        <v>15</v>
      </c>
      <c r="B3115" t="s">
        <v>16</v>
      </c>
      <c r="C3115" s="13">
        <v>43101</v>
      </c>
      <c r="D3115" s="13">
        <v>43465</v>
      </c>
      <c r="E3115" t="s">
        <v>30</v>
      </c>
      <c r="F3115">
        <v>16</v>
      </c>
      <c r="G3115" t="s">
        <v>617</v>
      </c>
      <c r="H3115">
        <v>6</v>
      </c>
      <c r="I3115" t="s">
        <v>618</v>
      </c>
      <c r="J3115">
        <v>233</v>
      </c>
      <c r="K3115" t="s">
        <v>2128</v>
      </c>
      <c r="L3115" s="13">
        <v>43110</v>
      </c>
      <c r="M3115" t="s">
        <v>2014</v>
      </c>
      <c r="N3115" t="s">
        <v>46</v>
      </c>
      <c r="O3115">
        <v>87.51</v>
      </c>
      <c r="P3115" t="s">
        <v>46</v>
      </c>
    </row>
    <row r="3116" spans="1:16" x14ac:dyDescent="0.4">
      <c r="A3116" t="s">
        <v>15</v>
      </c>
      <c r="B3116" t="s">
        <v>16</v>
      </c>
      <c r="C3116" s="13">
        <v>43101</v>
      </c>
      <c r="D3116" s="13">
        <v>43465</v>
      </c>
      <c r="E3116" t="s">
        <v>30</v>
      </c>
      <c r="F3116">
        <v>16</v>
      </c>
      <c r="G3116" t="s">
        <v>617</v>
      </c>
      <c r="H3116">
        <v>6</v>
      </c>
      <c r="I3116" t="s">
        <v>618</v>
      </c>
      <c r="J3116">
        <v>233</v>
      </c>
      <c r="K3116" t="s">
        <v>2128</v>
      </c>
      <c r="L3116" s="13">
        <v>43110</v>
      </c>
      <c r="M3116" t="s">
        <v>2014</v>
      </c>
      <c r="N3116" t="s">
        <v>46</v>
      </c>
      <c r="O3116">
        <v>8.99</v>
      </c>
      <c r="P3116" t="s">
        <v>46</v>
      </c>
    </row>
    <row r="3117" spans="1:16" x14ac:dyDescent="0.4">
      <c r="A3117" t="s">
        <v>15</v>
      </c>
      <c r="B3117" t="s">
        <v>16</v>
      </c>
      <c r="C3117" s="13">
        <v>43101</v>
      </c>
      <c r="D3117" s="13">
        <v>43465</v>
      </c>
      <c r="E3117" t="s">
        <v>30</v>
      </c>
      <c r="F3117">
        <v>16</v>
      </c>
      <c r="G3117" t="s">
        <v>617</v>
      </c>
      <c r="H3117">
        <v>6</v>
      </c>
      <c r="I3117" t="s">
        <v>618</v>
      </c>
      <c r="J3117">
        <v>233</v>
      </c>
      <c r="K3117" t="s">
        <v>2128</v>
      </c>
      <c r="L3117" s="13">
        <v>43305</v>
      </c>
      <c r="M3117" t="s">
        <v>2129</v>
      </c>
      <c r="N3117" t="s">
        <v>46</v>
      </c>
      <c r="O3117">
        <v>14.59</v>
      </c>
      <c r="P3117" t="s">
        <v>46</v>
      </c>
    </row>
    <row r="3118" spans="1:16" x14ac:dyDescent="0.4">
      <c r="A3118" t="s">
        <v>15</v>
      </c>
      <c r="B3118" t="s">
        <v>16</v>
      </c>
      <c r="C3118" s="13">
        <v>43101</v>
      </c>
      <c r="D3118" s="13">
        <v>43465</v>
      </c>
      <c r="E3118" t="s">
        <v>17</v>
      </c>
      <c r="F3118">
        <v>16</v>
      </c>
      <c r="G3118" t="s">
        <v>617</v>
      </c>
      <c r="H3118">
        <v>6</v>
      </c>
      <c r="I3118" t="s">
        <v>618</v>
      </c>
      <c r="J3118">
        <v>269</v>
      </c>
      <c r="K3118" t="s">
        <v>75</v>
      </c>
      <c r="L3118" s="13">
        <v>43122</v>
      </c>
      <c r="M3118" t="s">
        <v>351</v>
      </c>
      <c r="N3118" t="s">
        <v>2016</v>
      </c>
      <c r="O3118">
        <v>32.39</v>
      </c>
      <c r="P3118" t="s">
        <v>52</v>
      </c>
    </row>
    <row r="3119" spans="1:16" x14ac:dyDescent="0.4">
      <c r="A3119" t="s">
        <v>15</v>
      </c>
      <c r="B3119" t="s">
        <v>16</v>
      </c>
      <c r="C3119" s="13">
        <v>43101</v>
      </c>
      <c r="D3119" s="13">
        <v>43465</v>
      </c>
      <c r="E3119" t="s">
        <v>17</v>
      </c>
      <c r="F3119">
        <v>16</v>
      </c>
      <c r="G3119" t="s">
        <v>617</v>
      </c>
      <c r="H3119">
        <v>6</v>
      </c>
      <c r="I3119" t="s">
        <v>618</v>
      </c>
      <c r="J3119">
        <v>269</v>
      </c>
      <c r="K3119" t="s">
        <v>75</v>
      </c>
      <c r="L3119" s="13">
        <v>43181</v>
      </c>
      <c r="M3119" t="s">
        <v>351</v>
      </c>
      <c r="N3119" t="s">
        <v>2017</v>
      </c>
      <c r="O3119">
        <v>19.21</v>
      </c>
      <c r="P3119" t="s">
        <v>52</v>
      </c>
    </row>
    <row r="3120" spans="1:16" x14ac:dyDescent="0.4">
      <c r="A3120" t="s">
        <v>15</v>
      </c>
      <c r="B3120" t="s">
        <v>16</v>
      </c>
      <c r="C3120" s="13">
        <v>43101</v>
      </c>
      <c r="D3120" s="13">
        <v>43465</v>
      </c>
      <c r="E3120" t="s">
        <v>17</v>
      </c>
      <c r="F3120">
        <v>16</v>
      </c>
      <c r="G3120" t="s">
        <v>617</v>
      </c>
      <c r="H3120">
        <v>6</v>
      </c>
      <c r="I3120" t="s">
        <v>618</v>
      </c>
      <c r="J3120">
        <v>269</v>
      </c>
      <c r="K3120" t="s">
        <v>75</v>
      </c>
      <c r="L3120" s="13">
        <v>43242</v>
      </c>
      <c r="M3120" t="s">
        <v>351</v>
      </c>
      <c r="N3120" t="s">
        <v>2018</v>
      </c>
      <c r="O3120">
        <v>18.670000000000002</v>
      </c>
      <c r="P3120" t="s">
        <v>52</v>
      </c>
    </row>
    <row r="3121" spans="1:16" x14ac:dyDescent="0.4">
      <c r="A3121" t="s">
        <v>15</v>
      </c>
      <c r="B3121" t="s">
        <v>16</v>
      </c>
      <c r="C3121" s="13">
        <v>43101</v>
      </c>
      <c r="D3121" s="13">
        <v>43465</v>
      </c>
      <c r="E3121" t="s">
        <v>17</v>
      </c>
      <c r="F3121">
        <v>16</v>
      </c>
      <c r="G3121" t="s">
        <v>617</v>
      </c>
      <c r="H3121">
        <v>6</v>
      </c>
      <c r="I3121" t="s">
        <v>618</v>
      </c>
      <c r="J3121">
        <v>269</v>
      </c>
      <c r="K3121" t="s">
        <v>75</v>
      </c>
      <c r="L3121" s="13">
        <v>43303</v>
      </c>
      <c r="M3121" t="s">
        <v>351</v>
      </c>
      <c r="N3121" t="s">
        <v>2019</v>
      </c>
      <c r="O3121">
        <v>18.239999999999998</v>
      </c>
      <c r="P3121" t="s">
        <v>52</v>
      </c>
    </row>
    <row r="3122" spans="1:16" x14ac:dyDescent="0.4">
      <c r="A3122" t="s">
        <v>15</v>
      </c>
      <c r="B3122" t="s">
        <v>16</v>
      </c>
      <c r="C3122" s="13">
        <v>43101</v>
      </c>
      <c r="D3122" s="13">
        <v>43465</v>
      </c>
      <c r="E3122" t="s">
        <v>17</v>
      </c>
      <c r="F3122">
        <v>16</v>
      </c>
      <c r="G3122" t="s">
        <v>617</v>
      </c>
      <c r="H3122">
        <v>6</v>
      </c>
      <c r="I3122" t="s">
        <v>618</v>
      </c>
      <c r="J3122">
        <v>269</v>
      </c>
      <c r="K3122" t="s">
        <v>75</v>
      </c>
      <c r="L3122" s="13">
        <v>43365</v>
      </c>
      <c r="M3122" t="s">
        <v>351</v>
      </c>
      <c r="N3122" t="s">
        <v>2020</v>
      </c>
      <c r="O3122">
        <v>18.47</v>
      </c>
      <c r="P3122" t="s">
        <v>52</v>
      </c>
    </row>
    <row r="3123" spans="1:16" x14ac:dyDescent="0.4">
      <c r="A3123" t="s">
        <v>15</v>
      </c>
      <c r="B3123" t="s">
        <v>16</v>
      </c>
      <c r="C3123" s="13">
        <v>43101</v>
      </c>
      <c r="D3123" s="13">
        <v>43465</v>
      </c>
      <c r="E3123" t="s">
        <v>17</v>
      </c>
      <c r="F3123">
        <v>16</v>
      </c>
      <c r="G3123" t="s">
        <v>617</v>
      </c>
      <c r="H3123">
        <v>6</v>
      </c>
      <c r="I3123" t="s">
        <v>618</v>
      </c>
      <c r="J3123">
        <v>269</v>
      </c>
      <c r="K3123" t="s">
        <v>75</v>
      </c>
      <c r="L3123" s="13">
        <v>43426</v>
      </c>
      <c r="M3123" t="s">
        <v>351</v>
      </c>
      <c r="N3123" t="s">
        <v>2021</v>
      </c>
      <c r="O3123">
        <v>18.12</v>
      </c>
      <c r="P3123" t="s">
        <v>52</v>
      </c>
    </row>
    <row r="3124" spans="1:16" x14ac:dyDescent="0.4">
      <c r="A3124" t="s">
        <v>15</v>
      </c>
      <c r="B3124" t="s">
        <v>16</v>
      </c>
      <c r="C3124" s="13">
        <v>43101</v>
      </c>
      <c r="D3124" s="13">
        <v>43465</v>
      </c>
      <c r="E3124" t="s">
        <v>17</v>
      </c>
      <c r="F3124">
        <v>17</v>
      </c>
      <c r="G3124" t="s">
        <v>619</v>
      </c>
      <c r="H3124">
        <v>6</v>
      </c>
      <c r="I3124" t="s">
        <v>620</v>
      </c>
      <c r="J3124">
        <v>115</v>
      </c>
      <c r="K3124" t="s">
        <v>1416</v>
      </c>
      <c r="L3124" s="13">
        <v>43368</v>
      </c>
      <c r="M3124" t="s">
        <v>2130</v>
      </c>
      <c r="N3124" t="s">
        <v>46</v>
      </c>
      <c r="O3124">
        <v>129.80000000000001</v>
      </c>
      <c r="P3124" t="s">
        <v>46</v>
      </c>
    </row>
    <row r="3125" spans="1:16" x14ac:dyDescent="0.4">
      <c r="A3125" t="s">
        <v>15</v>
      </c>
      <c r="B3125" t="s">
        <v>16</v>
      </c>
      <c r="C3125" s="13">
        <v>43101</v>
      </c>
      <c r="D3125" s="13">
        <v>43465</v>
      </c>
      <c r="E3125" t="s">
        <v>17</v>
      </c>
      <c r="F3125">
        <v>17</v>
      </c>
      <c r="G3125" t="s">
        <v>619</v>
      </c>
      <c r="H3125">
        <v>6</v>
      </c>
      <c r="I3125" t="s">
        <v>620</v>
      </c>
      <c r="J3125">
        <v>117</v>
      </c>
      <c r="K3125" t="s">
        <v>623</v>
      </c>
      <c r="L3125" s="13">
        <v>43115</v>
      </c>
      <c r="M3125" t="s">
        <v>2127</v>
      </c>
      <c r="N3125" t="s">
        <v>46</v>
      </c>
      <c r="O3125">
        <v>118.94</v>
      </c>
      <c r="P3125" t="s">
        <v>46</v>
      </c>
    </row>
    <row r="3126" spans="1:16" x14ac:dyDescent="0.4">
      <c r="A3126" t="s">
        <v>15</v>
      </c>
      <c r="B3126" t="s">
        <v>16</v>
      </c>
      <c r="C3126" s="13">
        <v>43101</v>
      </c>
      <c r="D3126" s="13">
        <v>43465</v>
      </c>
      <c r="E3126" t="s">
        <v>17</v>
      </c>
      <c r="F3126">
        <v>17</v>
      </c>
      <c r="G3126" t="s">
        <v>619</v>
      </c>
      <c r="H3126">
        <v>6</v>
      </c>
      <c r="I3126" t="s">
        <v>620</v>
      </c>
      <c r="J3126">
        <v>117</v>
      </c>
      <c r="K3126" t="s">
        <v>623</v>
      </c>
      <c r="L3126" s="13">
        <v>43115</v>
      </c>
      <c r="M3126" t="s">
        <v>2060</v>
      </c>
      <c r="N3126" t="s">
        <v>46</v>
      </c>
      <c r="O3126">
        <v>176.56</v>
      </c>
      <c r="P3126" t="s">
        <v>46</v>
      </c>
    </row>
    <row r="3127" spans="1:16" x14ac:dyDescent="0.4">
      <c r="A3127" t="s">
        <v>15</v>
      </c>
      <c r="B3127" t="s">
        <v>16</v>
      </c>
      <c r="C3127" s="13">
        <v>43101</v>
      </c>
      <c r="D3127" s="13">
        <v>43465</v>
      </c>
      <c r="E3127" t="s">
        <v>17</v>
      </c>
      <c r="F3127">
        <v>17</v>
      </c>
      <c r="G3127" t="s">
        <v>619</v>
      </c>
      <c r="H3127">
        <v>6</v>
      </c>
      <c r="I3127" t="s">
        <v>620</v>
      </c>
      <c r="J3127">
        <v>117</v>
      </c>
      <c r="K3127" t="s">
        <v>623</v>
      </c>
      <c r="L3127" s="13">
        <v>43346</v>
      </c>
      <c r="M3127" t="s">
        <v>1774</v>
      </c>
      <c r="N3127" t="s">
        <v>46</v>
      </c>
      <c r="O3127">
        <v>141</v>
      </c>
      <c r="P3127" t="s">
        <v>46</v>
      </c>
    </row>
    <row r="3128" spans="1:16" x14ac:dyDescent="0.4">
      <c r="A3128" t="s">
        <v>15</v>
      </c>
      <c r="B3128" t="s">
        <v>16</v>
      </c>
      <c r="C3128" s="13">
        <v>43101</v>
      </c>
      <c r="D3128" s="13">
        <v>43465</v>
      </c>
      <c r="E3128" t="s">
        <v>17</v>
      </c>
      <c r="F3128">
        <v>17</v>
      </c>
      <c r="G3128" t="s">
        <v>619</v>
      </c>
      <c r="H3128">
        <v>6</v>
      </c>
      <c r="I3128" t="s">
        <v>620</v>
      </c>
      <c r="J3128">
        <v>269</v>
      </c>
      <c r="K3128" t="s">
        <v>75</v>
      </c>
      <c r="L3128" s="13">
        <v>43122</v>
      </c>
      <c r="M3128" t="s">
        <v>351</v>
      </c>
      <c r="N3128" t="s">
        <v>2016</v>
      </c>
      <c r="O3128">
        <v>32.39</v>
      </c>
      <c r="P3128" t="s">
        <v>52</v>
      </c>
    </row>
    <row r="3129" spans="1:16" x14ac:dyDescent="0.4">
      <c r="A3129" t="s">
        <v>15</v>
      </c>
      <c r="B3129" t="s">
        <v>16</v>
      </c>
      <c r="C3129" s="13">
        <v>43101</v>
      </c>
      <c r="D3129" s="13">
        <v>43465</v>
      </c>
      <c r="E3129" t="s">
        <v>17</v>
      </c>
      <c r="F3129">
        <v>17</v>
      </c>
      <c r="G3129" t="s">
        <v>619</v>
      </c>
      <c r="H3129">
        <v>6</v>
      </c>
      <c r="I3129" t="s">
        <v>620</v>
      </c>
      <c r="J3129">
        <v>269</v>
      </c>
      <c r="K3129" t="s">
        <v>75</v>
      </c>
      <c r="L3129" s="13">
        <v>43181</v>
      </c>
      <c r="M3129" t="s">
        <v>351</v>
      </c>
      <c r="N3129" t="s">
        <v>2017</v>
      </c>
      <c r="O3129">
        <v>19.21</v>
      </c>
      <c r="P3129" t="s">
        <v>52</v>
      </c>
    </row>
    <row r="3130" spans="1:16" x14ac:dyDescent="0.4">
      <c r="A3130" t="s">
        <v>15</v>
      </c>
      <c r="B3130" t="s">
        <v>16</v>
      </c>
      <c r="C3130" s="13">
        <v>43101</v>
      </c>
      <c r="D3130" s="13">
        <v>43465</v>
      </c>
      <c r="E3130" t="s">
        <v>17</v>
      </c>
      <c r="F3130">
        <v>17</v>
      </c>
      <c r="G3130" t="s">
        <v>619</v>
      </c>
      <c r="H3130">
        <v>6</v>
      </c>
      <c r="I3130" t="s">
        <v>620</v>
      </c>
      <c r="J3130">
        <v>269</v>
      </c>
      <c r="K3130" t="s">
        <v>75</v>
      </c>
      <c r="L3130" s="13">
        <v>43242</v>
      </c>
      <c r="M3130" t="s">
        <v>351</v>
      </c>
      <c r="N3130" t="s">
        <v>2018</v>
      </c>
      <c r="O3130">
        <v>18.670000000000002</v>
      </c>
      <c r="P3130" t="s">
        <v>52</v>
      </c>
    </row>
    <row r="3131" spans="1:16" x14ac:dyDescent="0.4">
      <c r="A3131" t="s">
        <v>15</v>
      </c>
      <c r="B3131" t="s">
        <v>16</v>
      </c>
      <c r="C3131" s="13">
        <v>43101</v>
      </c>
      <c r="D3131" s="13">
        <v>43465</v>
      </c>
      <c r="E3131" t="s">
        <v>17</v>
      </c>
      <c r="F3131">
        <v>17</v>
      </c>
      <c r="G3131" t="s">
        <v>619</v>
      </c>
      <c r="H3131">
        <v>6</v>
      </c>
      <c r="I3131" t="s">
        <v>620</v>
      </c>
      <c r="J3131">
        <v>269</v>
      </c>
      <c r="K3131" t="s">
        <v>75</v>
      </c>
      <c r="L3131" s="13">
        <v>43303</v>
      </c>
      <c r="M3131" t="s">
        <v>351</v>
      </c>
      <c r="N3131" t="s">
        <v>2019</v>
      </c>
      <c r="O3131">
        <v>18.239999999999998</v>
      </c>
      <c r="P3131" t="s">
        <v>52</v>
      </c>
    </row>
    <row r="3132" spans="1:16" x14ac:dyDescent="0.4">
      <c r="A3132" t="s">
        <v>15</v>
      </c>
      <c r="B3132" t="s">
        <v>16</v>
      </c>
      <c r="C3132" s="13">
        <v>43101</v>
      </c>
      <c r="D3132" s="13">
        <v>43465</v>
      </c>
      <c r="E3132" t="s">
        <v>17</v>
      </c>
      <c r="F3132">
        <v>17</v>
      </c>
      <c r="G3132" t="s">
        <v>619</v>
      </c>
      <c r="H3132">
        <v>6</v>
      </c>
      <c r="I3132" t="s">
        <v>620</v>
      </c>
      <c r="J3132">
        <v>269</v>
      </c>
      <c r="K3132" t="s">
        <v>75</v>
      </c>
      <c r="L3132" s="13">
        <v>43365</v>
      </c>
      <c r="M3132" t="s">
        <v>351</v>
      </c>
      <c r="N3132" t="s">
        <v>2020</v>
      </c>
      <c r="O3132">
        <v>18.47</v>
      </c>
      <c r="P3132" t="s">
        <v>52</v>
      </c>
    </row>
    <row r="3133" spans="1:16" x14ac:dyDescent="0.4">
      <c r="A3133" t="s">
        <v>15</v>
      </c>
      <c r="B3133" t="s">
        <v>16</v>
      </c>
      <c r="C3133" s="13">
        <v>43101</v>
      </c>
      <c r="D3133" s="13">
        <v>43465</v>
      </c>
      <c r="E3133" t="s">
        <v>17</v>
      </c>
      <c r="F3133">
        <v>17</v>
      </c>
      <c r="G3133" t="s">
        <v>619</v>
      </c>
      <c r="H3133">
        <v>6</v>
      </c>
      <c r="I3133" t="s">
        <v>620</v>
      </c>
      <c r="J3133">
        <v>269</v>
      </c>
      <c r="K3133" t="s">
        <v>75</v>
      </c>
      <c r="L3133" s="13">
        <v>43426</v>
      </c>
      <c r="M3133" t="s">
        <v>351</v>
      </c>
      <c r="N3133" t="s">
        <v>2021</v>
      </c>
      <c r="O3133">
        <v>18.12</v>
      </c>
      <c r="P3133" t="s">
        <v>52</v>
      </c>
    </row>
    <row r="3134" spans="1:16" x14ac:dyDescent="0.4">
      <c r="A3134" t="s">
        <v>15</v>
      </c>
      <c r="B3134" t="s">
        <v>16</v>
      </c>
      <c r="C3134" s="13">
        <v>42736</v>
      </c>
      <c r="D3134" s="13">
        <v>43100</v>
      </c>
      <c r="E3134" t="s">
        <v>17</v>
      </c>
      <c r="F3134">
        <v>0</v>
      </c>
      <c r="G3134" t="s">
        <v>18</v>
      </c>
      <c r="H3134">
        <v>1</v>
      </c>
      <c r="I3134" t="s">
        <v>19</v>
      </c>
      <c r="J3134">
        <v>171</v>
      </c>
      <c r="K3134" t="s">
        <v>20</v>
      </c>
      <c r="L3134" s="13">
        <v>42886</v>
      </c>
      <c r="M3134" t="s">
        <v>2131</v>
      </c>
      <c r="N3134" t="s">
        <v>2132</v>
      </c>
      <c r="O3134">
        <v>1549.15</v>
      </c>
      <c r="P3134" t="s">
        <v>23</v>
      </c>
    </row>
    <row r="3135" spans="1:16" x14ac:dyDescent="0.4">
      <c r="A3135" t="s">
        <v>15</v>
      </c>
      <c r="B3135" t="s">
        <v>16</v>
      </c>
      <c r="C3135" s="13">
        <v>42736</v>
      </c>
      <c r="D3135" s="13">
        <v>43100</v>
      </c>
      <c r="E3135" t="s">
        <v>17</v>
      </c>
      <c r="F3135">
        <v>0</v>
      </c>
      <c r="G3135" t="s">
        <v>18</v>
      </c>
      <c r="H3135">
        <v>1</v>
      </c>
      <c r="I3135" t="s">
        <v>19</v>
      </c>
      <c r="J3135">
        <v>171</v>
      </c>
      <c r="K3135" t="s">
        <v>20</v>
      </c>
      <c r="L3135" s="13">
        <v>42913</v>
      </c>
      <c r="M3135" t="s">
        <v>2133</v>
      </c>
      <c r="N3135" t="s">
        <v>2134</v>
      </c>
      <c r="O3135">
        <v>276</v>
      </c>
      <c r="P3135" t="s">
        <v>23</v>
      </c>
    </row>
    <row r="3136" spans="1:16" x14ac:dyDescent="0.4">
      <c r="A3136" t="s">
        <v>15</v>
      </c>
      <c r="B3136" t="s">
        <v>16</v>
      </c>
      <c r="C3136" s="13">
        <v>42736</v>
      </c>
      <c r="D3136" s="13">
        <v>43100</v>
      </c>
      <c r="E3136" t="s">
        <v>17</v>
      </c>
      <c r="F3136">
        <v>0</v>
      </c>
      <c r="G3136" t="s">
        <v>18</v>
      </c>
      <c r="H3136">
        <v>1</v>
      </c>
      <c r="I3136" t="s">
        <v>19</v>
      </c>
      <c r="J3136">
        <v>171</v>
      </c>
      <c r="K3136" t="s">
        <v>20</v>
      </c>
      <c r="L3136" s="13">
        <v>42947</v>
      </c>
      <c r="M3136" t="s">
        <v>2135</v>
      </c>
      <c r="N3136" t="s">
        <v>2136</v>
      </c>
      <c r="O3136">
        <v>1656</v>
      </c>
      <c r="P3136" t="s">
        <v>23</v>
      </c>
    </row>
    <row r="3137" spans="1:16" x14ac:dyDescent="0.4">
      <c r="A3137" t="s">
        <v>15</v>
      </c>
      <c r="B3137" t="s">
        <v>16</v>
      </c>
      <c r="C3137" s="13">
        <v>42736</v>
      </c>
      <c r="D3137" s="13">
        <v>43100</v>
      </c>
      <c r="E3137" t="s">
        <v>17</v>
      </c>
      <c r="F3137">
        <v>0</v>
      </c>
      <c r="G3137" t="s">
        <v>18</v>
      </c>
      <c r="H3137">
        <v>1</v>
      </c>
      <c r="I3137" t="s">
        <v>19</v>
      </c>
      <c r="J3137">
        <v>171</v>
      </c>
      <c r="K3137" t="s">
        <v>20</v>
      </c>
      <c r="L3137" s="13">
        <v>42978</v>
      </c>
      <c r="M3137" t="s">
        <v>2137</v>
      </c>
      <c r="N3137" t="s">
        <v>2138</v>
      </c>
      <c r="O3137">
        <v>1656</v>
      </c>
      <c r="P3137" t="s">
        <v>23</v>
      </c>
    </row>
    <row r="3138" spans="1:16" x14ac:dyDescent="0.4">
      <c r="A3138" t="s">
        <v>15</v>
      </c>
      <c r="B3138" t="s">
        <v>16</v>
      </c>
      <c r="C3138" s="13">
        <v>42736</v>
      </c>
      <c r="D3138" s="13">
        <v>43100</v>
      </c>
      <c r="E3138" t="s">
        <v>17</v>
      </c>
      <c r="F3138">
        <v>0</v>
      </c>
      <c r="G3138" t="s">
        <v>18</v>
      </c>
      <c r="H3138">
        <v>1</v>
      </c>
      <c r="I3138" t="s">
        <v>19</v>
      </c>
      <c r="J3138">
        <v>171</v>
      </c>
      <c r="K3138" t="s">
        <v>20</v>
      </c>
      <c r="L3138" s="13">
        <v>43008</v>
      </c>
      <c r="M3138" t="s">
        <v>2139</v>
      </c>
      <c r="N3138" t="s">
        <v>2140</v>
      </c>
      <c r="O3138">
        <v>938.4</v>
      </c>
      <c r="P3138" t="s">
        <v>23</v>
      </c>
    </row>
    <row r="3139" spans="1:16" x14ac:dyDescent="0.4">
      <c r="A3139" t="s">
        <v>15</v>
      </c>
      <c r="B3139" t="s">
        <v>16</v>
      </c>
      <c r="C3139" s="13">
        <v>42736</v>
      </c>
      <c r="D3139" s="13">
        <v>43100</v>
      </c>
      <c r="E3139" t="s">
        <v>17</v>
      </c>
      <c r="F3139">
        <v>0</v>
      </c>
      <c r="G3139" t="s">
        <v>18</v>
      </c>
      <c r="H3139">
        <v>1</v>
      </c>
      <c r="I3139" t="s">
        <v>19</v>
      </c>
      <c r="J3139">
        <v>205</v>
      </c>
      <c r="K3139" t="s">
        <v>344</v>
      </c>
      <c r="L3139" s="13">
        <v>42736</v>
      </c>
      <c r="M3139" t="s">
        <v>2142</v>
      </c>
      <c r="N3139" t="s">
        <v>46</v>
      </c>
      <c r="O3139">
        <v>-358.47</v>
      </c>
      <c r="P3139" t="s">
        <v>46</v>
      </c>
    </row>
    <row r="3140" spans="1:16" x14ac:dyDescent="0.4">
      <c r="A3140" t="s">
        <v>15</v>
      </c>
      <c r="B3140" t="s">
        <v>16</v>
      </c>
      <c r="C3140" s="13">
        <v>42736</v>
      </c>
      <c r="D3140" s="13">
        <v>43100</v>
      </c>
      <c r="E3140" t="s">
        <v>17</v>
      </c>
      <c r="F3140">
        <v>0</v>
      </c>
      <c r="G3140" t="s">
        <v>18</v>
      </c>
      <c r="H3140">
        <v>1</v>
      </c>
      <c r="I3140" t="s">
        <v>19</v>
      </c>
      <c r="J3140">
        <v>205</v>
      </c>
      <c r="K3140" t="s">
        <v>344</v>
      </c>
      <c r="L3140" s="13">
        <v>42736</v>
      </c>
      <c r="M3140" t="s">
        <v>2141</v>
      </c>
      <c r="N3140" t="s">
        <v>46</v>
      </c>
      <c r="O3140">
        <v>-242</v>
      </c>
      <c r="P3140" t="s">
        <v>46</v>
      </c>
    </row>
    <row r="3141" spans="1:16" x14ac:dyDescent="0.4">
      <c r="A3141" t="s">
        <v>15</v>
      </c>
      <c r="B3141" t="s">
        <v>16</v>
      </c>
      <c r="C3141" s="13">
        <v>42736</v>
      </c>
      <c r="D3141" s="13">
        <v>43100</v>
      </c>
      <c r="E3141" t="s">
        <v>30</v>
      </c>
      <c r="F3141">
        <v>0</v>
      </c>
      <c r="G3141" t="s">
        <v>18</v>
      </c>
      <c r="H3141">
        <v>1</v>
      </c>
      <c r="I3141" t="s">
        <v>19</v>
      </c>
      <c r="J3141">
        <v>233</v>
      </c>
      <c r="K3141" t="s">
        <v>31</v>
      </c>
      <c r="L3141" s="13">
        <v>42736</v>
      </c>
      <c r="M3141" t="s">
        <v>2143</v>
      </c>
      <c r="N3141" t="s">
        <v>46</v>
      </c>
      <c r="O3141">
        <v>47.28</v>
      </c>
      <c r="P3141" t="s">
        <v>46</v>
      </c>
    </row>
    <row r="3142" spans="1:16" x14ac:dyDescent="0.4">
      <c r="A3142" t="s">
        <v>15</v>
      </c>
      <c r="B3142" t="s">
        <v>16</v>
      </c>
      <c r="C3142" s="13">
        <v>42736</v>
      </c>
      <c r="D3142" s="13">
        <v>43100</v>
      </c>
      <c r="E3142" t="s">
        <v>30</v>
      </c>
      <c r="F3142">
        <v>0</v>
      </c>
      <c r="G3142" t="s">
        <v>18</v>
      </c>
      <c r="H3142">
        <v>1</v>
      </c>
      <c r="I3142" t="s">
        <v>19</v>
      </c>
      <c r="J3142">
        <v>233</v>
      </c>
      <c r="K3142" t="s">
        <v>31</v>
      </c>
      <c r="L3142" s="13">
        <v>42782</v>
      </c>
      <c r="M3142" t="s">
        <v>2144</v>
      </c>
      <c r="N3142" t="s">
        <v>46</v>
      </c>
      <c r="O3142">
        <v>169.24</v>
      </c>
      <c r="P3142" t="s">
        <v>34</v>
      </c>
    </row>
    <row r="3143" spans="1:16" x14ac:dyDescent="0.4">
      <c r="A3143" t="s">
        <v>15</v>
      </c>
      <c r="B3143" t="s">
        <v>16</v>
      </c>
      <c r="C3143" s="13">
        <v>42736</v>
      </c>
      <c r="D3143" s="13">
        <v>43100</v>
      </c>
      <c r="E3143" t="s">
        <v>30</v>
      </c>
      <c r="F3143">
        <v>0</v>
      </c>
      <c r="G3143" t="s">
        <v>18</v>
      </c>
      <c r="H3143">
        <v>1</v>
      </c>
      <c r="I3143" t="s">
        <v>19</v>
      </c>
      <c r="J3143">
        <v>233</v>
      </c>
      <c r="K3143" t="s">
        <v>31</v>
      </c>
      <c r="L3143" s="13">
        <v>42786</v>
      </c>
      <c r="M3143" t="s">
        <v>2145</v>
      </c>
      <c r="N3143" t="s">
        <v>46</v>
      </c>
      <c r="O3143">
        <v>-162</v>
      </c>
      <c r="P3143" t="s">
        <v>46</v>
      </c>
    </row>
    <row r="3144" spans="1:16" x14ac:dyDescent="0.4">
      <c r="A3144" t="s">
        <v>15</v>
      </c>
      <c r="B3144" t="s">
        <v>16</v>
      </c>
      <c r="C3144" s="13">
        <v>42736</v>
      </c>
      <c r="D3144" s="13">
        <v>43100</v>
      </c>
      <c r="E3144" t="s">
        <v>30</v>
      </c>
      <c r="F3144">
        <v>0</v>
      </c>
      <c r="G3144" t="s">
        <v>18</v>
      </c>
      <c r="H3144">
        <v>1</v>
      </c>
      <c r="I3144" t="s">
        <v>19</v>
      </c>
      <c r="J3144">
        <v>233</v>
      </c>
      <c r="K3144" t="s">
        <v>31</v>
      </c>
      <c r="L3144" s="13">
        <v>42905</v>
      </c>
      <c r="M3144" t="s">
        <v>37</v>
      </c>
      <c r="N3144" t="s">
        <v>2146</v>
      </c>
      <c r="O3144">
        <v>389.17</v>
      </c>
      <c r="P3144" t="s">
        <v>34</v>
      </c>
    </row>
    <row r="3145" spans="1:16" x14ac:dyDescent="0.4">
      <c r="A3145" t="s">
        <v>15</v>
      </c>
      <c r="B3145" t="s">
        <v>16</v>
      </c>
      <c r="C3145" s="13">
        <v>42736</v>
      </c>
      <c r="D3145" s="13">
        <v>43100</v>
      </c>
      <c r="E3145" t="s">
        <v>30</v>
      </c>
      <c r="F3145">
        <v>0</v>
      </c>
      <c r="G3145" t="s">
        <v>18</v>
      </c>
      <c r="H3145">
        <v>1</v>
      </c>
      <c r="I3145" t="s">
        <v>19</v>
      </c>
      <c r="J3145">
        <v>233</v>
      </c>
      <c r="K3145" t="s">
        <v>31</v>
      </c>
      <c r="L3145" s="13">
        <v>42983</v>
      </c>
      <c r="M3145" t="s">
        <v>2147</v>
      </c>
      <c r="N3145" t="s">
        <v>2148</v>
      </c>
      <c r="O3145">
        <v>77.7</v>
      </c>
      <c r="P3145" t="s">
        <v>2149</v>
      </c>
    </row>
    <row r="3146" spans="1:16" x14ac:dyDescent="0.4">
      <c r="A3146" t="s">
        <v>15</v>
      </c>
      <c r="B3146" t="s">
        <v>16</v>
      </c>
      <c r="C3146" s="13">
        <v>42736</v>
      </c>
      <c r="D3146" s="13">
        <v>43100</v>
      </c>
      <c r="E3146" t="s">
        <v>30</v>
      </c>
      <c r="F3146">
        <v>0</v>
      </c>
      <c r="G3146" t="s">
        <v>18</v>
      </c>
      <c r="H3146">
        <v>1</v>
      </c>
      <c r="I3146" t="s">
        <v>19</v>
      </c>
      <c r="J3146">
        <v>234</v>
      </c>
      <c r="K3146" t="s">
        <v>1769</v>
      </c>
      <c r="L3146" s="13">
        <v>43100</v>
      </c>
      <c r="M3146" t="s">
        <v>2150</v>
      </c>
      <c r="N3146" t="s">
        <v>2151</v>
      </c>
      <c r="O3146">
        <v>127.6</v>
      </c>
      <c r="P3146" t="s">
        <v>1444</v>
      </c>
    </row>
    <row r="3147" spans="1:16" x14ac:dyDescent="0.4">
      <c r="A3147" t="s">
        <v>15</v>
      </c>
      <c r="B3147" t="s">
        <v>16</v>
      </c>
      <c r="C3147" s="13">
        <v>42736</v>
      </c>
      <c r="D3147" s="13">
        <v>43100</v>
      </c>
      <c r="E3147" t="s">
        <v>17</v>
      </c>
      <c r="F3147">
        <v>0</v>
      </c>
      <c r="G3147" t="s">
        <v>18</v>
      </c>
      <c r="H3147">
        <v>1</v>
      </c>
      <c r="I3147" t="s">
        <v>19</v>
      </c>
      <c r="J3147">
        <v>241</v>
      </c>
      <c r="K3147" t="s">
        <v>1048</v>
      </c>
      <c r="L3147" s="13">
        <v>42873</v>
      </c>
      <c r="M3147" t="s">
        <v>2152</v>
      </c>
      <c r="N3147" t="s">
        <v>2153</v>
      </c>
      <c r="O3147">
        <v>100</v>
      </c>
      <c r="P3147" t="s">
        <v>388</v>
      </c>
    </row>
    <row r="3148" spans="1:16" x14ac:dyDescent="0.4">
      <c r="A3148" t="s">
        <v>15</v>
      </c>
      <c r="B3148" t="s">
        <v>16</v>
      </c>
      <c r="C3148" s="13">
        <v>42736</v>
      </c>
      <c r="D3148" s="13">
        <v>43100</v>
      </c>
      <c r="E3148" t="s">
        <v>17</v>
      </c>
      <c r="F3148">
        <v>0</v>
      </c>
      <c r="G3148" t="s">
        <v>18</v>
      </c>
      <c r="H3148">
        <v>1</v>
      </c>
      <c r="I3148" t="s">
        <v>19</v>
      </c>
      <c r="J3148">
        <v>241</v>
      </c>
      <c r="K3148" t="s">
        <v>1048</v>
      </c>
      <c r="L3148" s="13">
        <v>42898</v>
      </c>
      <c r="M3148" t="s">
        <v>2152</v>
      </c>
      <c r="N3148" t="s">
        <v>2154</v>
      </c>
      <c r="O3148">
        <v>100</v>
      </c>
      <c r="P3148" t="s">
        <v>388</v>
      </c>
    </row>
    <row r="3149" spans="1:16" x14ac:dyDescent="0.4">
      <c r="A3149" t="s">
        <v>15</v>
      </c>
      <c r="B3149" t="s">
        <v>16</v>
      </c>
      <c r="C3149" s="13">
        <v>42736</v>
      </c>
      <c r="D3149" s="13">
        <v>43100</v>
      </c>
      <c r="E3149" t="s">
        <v>17</v>
      </c>
      <c r="F3149">
        <v>0</v>
      </c>
      <c r="G3149" t="s">
        <v>18</v>
      </c>
      <c r="H3149">
        <v>1</v>
      </c>
      <c r="I3149" t="s">
        <v>19</v>
      </c>
      <c r="J3149">
        <v>242</v>
      </c>
      <c r="K3149" t="s">
        <v>40</v>
      </c>
      <c r="L3149" s="13">
        <v>42762</v>
      </c>
      <c r="M3149" t="s">
        <v>2155</v>
      </c>
      <c r="N3149" t="s">
        <v>2156</v>
      </c>
      <c r="O3149">
        <v>1505.3</v>
      </c>
      <c r="P3149" t="s">
        <v>43</v>
      </c>
    </row>
    <row r="3150" spans="1:16" x14ac:dyDescent="0.4">
      <c r="A3150" t="s">
        <v>15</v>
      </c>
      <c r="B3150" t="s">
        <v>16</v>
      </c>
      <c r="C3150" s="13">
        <v>42736</v>
      </c>
      <c r="D3150" s="13">
        <v>43100</v>
      </c>
      <c r="E3150" t="s">
        <v>17</v>
      </c>
      <c r="F3150">
        <v>0</v>
      </c>
      <c r="G3150" t="s">
        <v>18</v>
      </c>
      <c r="H3150">
        <v>1</v>
      </c>
      <c r="I3150" t="s">
        <v>19</v>
      </c>
      <c r="J3150">
        <v>242</v>
      </c>
      <c r="K3150" t="s">
        <v>40</v>
      </c>
      <c r="L3150" s="13">
        <v>43100</v>
      </c>
      <c r="M3150" t="s">
        <v>48</v>
      </c>
      <c r="N3150" t="s">
        <v>45</v>
      </c>
      <c r="O3150">
        <v>-108.77</v>
      </c>
      <c r="P3150" t="s">
        <v>46</v>
      </c>
    </row>
    <row r="3151" spans="1:16" x14ac:dyDescent="0.4">
      <c r="A3151" t="s">
        <v>15</v>
      </c>
      <c r="B3151" t="s">
        <v>16</v>
      </c>
      <c r="C3151" s="13">
        <v>42736</v>
      </c>
      <c r="D3151" s="13">
        <v>43100</v>
      </c>
      <c r="E3151" t="s">
        <v>17</v>
      </c>
      <c r="F3151">
        <v>0</v>
      </c>
      <c r="G3151" t="s">
        <v>18</v>
      </c>
      <c r="H3151">
        <v>1</v>
      </c>
      <c r="I3151" t="s">
        <v>19</v>
      </c>
      <c r="J3151">
        <v>242</v>
      </c>
      <c r="K3151" t="s">
        <v>40</v>
      </c>
      <c r="L3151" s="13">
        <v>43100</v>
      </c>
      <c r="M3151" t="s">
        <v>44</v>
      </c>
      <c r="N3151" t="s">
        <v>45</v>
      </c>
      <c r="O3151">
        <v>-326.3</v>
      </c>
      <c r="P3151" t="s">
        <v>46</v>
      </c>
    </row>
    <row r="3152" spans="1:16" x14ac:dyDescent="0.4">
      <c r="A3152" t="s">
        <v>15</v>
      </c>
      <c r="B3152" t="s">
        <v>16</v>
      </c>
      <c r="C3152" s="13">
        <v>42736</v>
      </c>
      <c r="D3152" s="13">
        <v>43100</v>
      </c>
      <c r="E3152" t="s">
        <v>17</v>
      </c>
      <c r="F3152">
        <v>0</v>
      </c>
      <c r="G3152" t="s">
        <v>18</v>
      </c>
      <c r="H3152">
        <v>1</v>
      </c>
      <c r="I3152" t="s">
        <v>19</v>
      </c>
      <c r="J3152">
        <v>242</v>
      </c>
      <c r="K3152" t="s">
        <v>40</v>
      </c>
      <c r="L3152" s="13">
        <v>43100</v>
      </c>
      <c r="M3152" t="s">
        <v>47</v>
      </c>
      <c r="N3152" t="s">
        <v>45</v>
      </c>
      <c r="O3152">
        <v>-435.07</v>
      </c>
      <c r="P3152" t="s">
        <v>46</v>
      </c>
    </row>
    <row r="3153" spans="1:16" x14ac:dyDescent="0.4">
      <c r="A3153" t="s">
        <v>15</v>
      </c>
      <c r="B3153" t="s">
        <v>16</v>
      </c>
      <c r="C3153" s="13">
        <v>42736</v>
      </c>
      <c r="D3153" s="13">
        <v>43100</v>
      </c>
      <c r="E3153" t="s">
        <v>17</v>
      </c>
      <c r="F3153">
        <v>0</v>
      </c>
      <c r="G3153" t="s">
        <v>18</v>
      </c>
      <c r="H3153">
        <v>1</v>
      </c>
      <c r="I3153" t="s">
        <v>19</v>
      </c>
      <c r="J3153">
        <v>268</v>
      </c>
      <c r="K3153" t="s">
        <v>49</v>
      </c>
      <c r="L3153" s="13">
        <v>42759</v>
      </c>
      <c r="M3153" t="s">
        <v>76</v>
      </c>
      <c r="N3153" t="s">
        <v>2157</v>
      </c>
      <c r="O3153">
        <v>55.8</v>
      </c>
      <c r="P3153" t="s">
        <v>52</v>
      </c>
    </row>
    <row r="3154" spans="1:16" x14ac:dyDescent="0.4">
      <c r="A3154" t="s">
        <v>15</v>
      </c>
      <c r="B3154" t="s">
        <v>16</v>
      </c>
      <c r="C3154" s="13">
        <v>42736</v>
      </c>
      <c r="D3154" s="13">
        <v>43100</v>
      </c>
      <c r="E3154" t="s">
        <v>17</v>
      </c>
      <c r="F3154">
        <v>0</v>
      </c>
      <c r="G3154" t="s">
        <v>18</v>
      </c>
      <c r="H3154">
        <v>1</v>
      </c>
      <c r="I3154" t="s">
        <v>19</v>
      </c>
      <c r="J3154">
        <v>268</v>
      </c>
      <c r="K3154" t="s">
        <v>49</v>
      </c>
      <c r="L3154" s="13">
        <v>42826</v>
      </c>
      <c r="M3154" t="s">
        <v>76</v>
      </c>
      <c r="N3154" t="s">
        <v>2158</v>
      </c>
      <c r="O3154">
        <v>-17.420000000000002</v>
      </c>
      <c r="P3154" t="s">
        <v>52</v>
      </c>
    </row>
    <row r="3155" spans="1:16" x14ac:dyDescent="0.4">
      <c r="A3155" t="s">
        <v>15</v>
      </c>
      <c r="B3155" t="s">
        <v>16</v>
      </c>
      <c r="C3155" s="13">
        <v>42736</v>
      </c>
      <c r="D3155" s="13">
        <v>43100</v>
      </c>
      <c r="E3155" t="s">
        <v>17</v>
      </c>
      <c r="F3155">
        <v>0</v>
      </c>
      <c r="G3155" t="s">
        <v>18</v>
      </c>
      <c r="H3155">
        <v>1</v>
      </c>
      <c r="I3155" t="s">
        <v>19</v>
      </c>
      <c r="J3155">
        <v>268</v>
      </c>
      <c r="K3155" t="s">
        <v>49</v>
      </c>
      <c r="L3155" s="13">
        <v>42878</v>
      </c>
      <c r="M3155" t="s">
        <v>76</v>
      </c>
      <c r="N3155" t="s">
        <v>2159</v>
      </c>
      <c r="O3155">
        <v>31.71</v>
      </c>
      <c r="P3155" t="s">
        <v>52</v>
      </c>
    </row>
    <row r="3156" spans="1:16" x14ac:dyDescent="0.4">
      <c r="A3156" t="s">
        <v>15</v>
      </c>
      <c r="B3156" t="s">
        <v>16</v>
      </c>
      <c r="C3156" s="13">
        <v>42736</v>
      </c>
      <c r="D3156" s="13">
        <v>43100</v>
      </c>
      <c r="E3156" t="s">
        <v>17</v>
      </c>
      <c r="F3156">
        <v>0</v>
      </c>
      <c r="G3156" t="s">
        <v>18</v>
      </c>
      <c r="H3156">
        <v>1</v>
      </c>
      <c r="I3156" t="s">
        <v>19</v>
      </c>
      <c r="J3156">
        <v>268</v>
      </c>
      <c r="K3156" t="s">
        <v>49</v>
      </c>
      <c r="L3156" s="13">
        <v>42938</v>
      </c>
      <c r="M3156" t="s">
        <v>76</v>
      </c>
      <c r="N3156" t="s">
        <v>2160</v>
      </c>
      <c r="O3156">
        <v>28.96</v>
      </c>
      <c r="P3156" t="s">
        <v>52</v>
      </c>
    </row>
    <row r="3157" spans="1:16" x14ac:dyDescent="0.4">
      <c r="A3157" t="s">
        <v>15</v>
      </c>
      <c r="B3157" t="s">
        <v>16</v>
      </c>
      <c r="C3157" s="13">
        <v>42736</v>
      </c>
      <c r="D3157" s="13">
        <v>43100</v>
      </c>
      <c r="E3157" t="s">
        <v>17</v>
      </c>
      <c r="F3157">
        <v>0</v>
      </c>
      <c r="G3157" t="s">
        <v>18</v>
      </c>
      <c r="H3157">
        <v>1</v>
      </c>
      <c r="I3157" t="s">
        <v>19</v>
      </c>
      <c r="J3157">
        <v>268</v>
      </c>
      <c r="K3157" t="s">
        <v>49</v>
      </c>
      <c r="L3157" s="13">
        <v>43006</v>
      </c>
      <c r="M3157" t="s">
        <v>76</v>
      </c>
      <c r="N3157" t="s">
        <v>2161</v>
      </c>
      <c r="O3157">
        <v>92.35</v>
      </c>
      <c r="P3157" t="s">
        <v>52</v>
      </c>
    </row>
    <row r="3158" spans="1:16" x14ac:dyDescent="0.4">
      <c r="A3158" t="s">
        <v>15</v>
      </c>
      <c r="B3158" t="s">
        <v>16</v>
      </c>
      <c r="C3158" s="13">
        <v>42736</v>
      </c>
      <c r="D3158" s="13">
        <v>43100</v>
      </c>
      <c r="E3158" t="s">
        <v>17</v>
      </c>
      <c r="F3158">
        <v>0</v>
      </c>
      <c r="G3158" t="s">
        <v>18</v>
      </c>
      <c r="H3158">
        <v>1</v>
      </c>
      <c r="I3158" t="s">
        <v>19</v>
      </c>
      <c r="J3158">
        <v>268</v>
      </c>
      <c r="K3158" t="s">
        <v>49</v>
      </c>
      <c r="L3158" s="13">
        <v>43062</v>
      </c>
      <c r="M3158" t="s">
        <v>76</v>
      </c>
      <c r="N3158" t="s">
        <v>2162</v>
      </c>
      <c r="O3158">
        <v>48.3</v>
      </c>
      <c r="P3158" t="s">
        <v>52</v>
      </c>
    </row>
    <row r="3159" spans="1:16" x14ac:dyDescent="0.4">
      <c r="A3159" t="s">
        <v>15</v>
      </c>
      <c r="B3159" t="s">
        <v>16</v>
      </c>
      <c r="C3159" s="13">
        <v>42736</v>
      </c>
      <c r="D3159" s="13">
        <v>43100</v>
      </c>
      <c r="E3159" t="s">
        <v>17</v>
      </c>
      <c r="F3159">
        <v>0</v>
      </c>
      <c r="G3159" t="s">
        <v>18</v>
      </c>
      <c r="H3159">
        <v>1</v>
      </c>
      <c r="I3159" t="s">
        <v>19</v>
      </c>
      <c r="J3159">
        <v>269</v>
      </c>
      <c r="K3159" t="s">
        <v>75</v>
      </c>
      <c r="L3159" s="13">
        <v>42759</v>
      </c>
      <c r="M3159" t="s">
        <v>76</v>
      </c>
      <c r="N3159" t="s">
        <v>2157</v>
      </c>
      <c r="O3159">
        <v>418.53</v>
      </c>
      <c r="P3159" t="s">
        <v>52</v>
      </c>
    </row>
    <row r="3160" spans="1:16" x14ac:dyDescent="0.4">
      <c r="A3160" t="s">
        <v>15</v>
      </c>
      <c r="B3160" t="s">
        <v>16</v>
      </c>
      <c r="C3160" s="13">
        <v>42736</v>
      </c>
      <c r="D3160" s="13">
        <v>43100</v>
      </c>
      <c r="E3160" t="s">
        <v>17</v>
      </c>
      <c r="F3160">
        <v>0</v>
      </c>
      <c r="G3160" t="s">
        <v>18</v>
      </c>
      <c r="H3160">
        <v>1</v>
      </c>
      <c r="I3160" t="s">
        <v>19</v>
      </c>
      <c r="J3160">
        <v>269</v>
      </c>
      <c r="K3160" t="s">
        <v>75</v>
      </c>
      <c r="L3160" s="13">
        <v>42826</v>
      </c>
      <c r="M3160" t="s">
        <v>76</v>
      </c>
      <c r="N3160" t="s">
        <v>2158</v>
      </c>
      <c r="O3160">
        <v>-130.66999999999999</v>
      </c>
      <c r="P3160" t="s">
        <v>52</v>
      </c>
    </row>
    <row r="3161" spans="1:16" x14ac:dyDescent="0.4">
      <c r="A3161" t="s">
        <v>15</v>
      </c>
      <c r="B3161" t="s">
        <v>16</v>
      </c>
      <c r="C3161" s="13">
        <v>42736</v>
      </c>
      <c r="D3161" s="13">
        <v>43100</v>
      </c>
      <c r="E3161" t="s">
        <v>17</v>
      </c>
      <c r="F3161">
        <v>0</v>
      </c>
      <c r="G3161" t="s">
        <v>18</v>
      </c>
      <c r="H3161">
        <v>1</v>
      </c>
      <c r="I3161" t="s">
        <v>19</v>
      </c>
      <c r="J3161">
        <v>269</v>
      </c>
      <c r="K3161" t="s">
        <v>75</v>
      </c>
      <c r="L3161" s="13">
        <v>42878</v>
      </c>
      <c r="M3161" t="s">
        <v>76</v>
      </c>
      <c r="N3161" t="s">
        <v>2159</v>
      </c>
      <c r="O3161">
        <v>237.81</v>
      </c>
      <c r="P3161" t="s">
        <v>52</v>
      </c>
    </row>
    <row r="3162" spans="1:16" x14ac:dyDescent="0.4">
      <c r="A3162" t="s">
        <v>15</v>
      </c>
      <c r="B3162" t="s">
        <v>16</v>
      </c>
      <c r="C3162" s="13">
        <v>42736</v>
      </c>
      <c r="D3162" s="13">
        <v>43100</v>
      </c>
      <c r="E3162" t="s">
        <v>17</v>
      </c>
      <c r="F3162">
        <v>0</v>
      </c>
      <c r="G3162" t="s">
        <v>18</v>
      </c>
      <c r="H3162">
        <v>1</v>
      </c>
      <c r="I3162" t="s">
        <v>19</v>
      </c>
      <c r="J3162">
        <v>269</v>
      </c>
      <c r="K3162" t="s">
        <v>75</v>
      </c>
      <c r="L3162" s="13">
        <v>42938</v>
      </c>
      <c r="M3162" t="s">
        <v>76</v>
      </c>
      <c r="N3162" t="s">
        <v>2160</v>
      </c>
      <c r="O3162">
        <v>217.16</v>
      </c>
      <c r="P3162" t="s">
        <v>52</v>
      </c>
    </row>
    <row r="3163" spans="1:16" x14ac:dyDescent="0.4">
      <c r="A3163" t="s">
        <v>15</v>
      </c>
      <c r="B3163" t="s">
        <v>16</v>
      </c>
      <c r="C3163" s="13">
        <v>42736</v>
      </c>
      <c r="D3163" s="13">
        <v>43100</v>
      </c>
      <c r="E3163" t="s">
        <v>17</v>
      </c>
      <c r="F3163">
        <v>0</v>
      </c>
      <c r="G3163" t="s">
        <v>18</v>
      </c>
      <c r="H3163">
        <v>1</v>
      </c>
      <c r="I3163" t="s">
        <v>19</v>
      </c>
      <c r="J3163">
        <v>269</v>
      </c>
      <c r="K3163" t="s">
        <v>75</v>
      </c>
      <c r="L3163" s="13">
        <v>43006</v>
      </c>
      <c r="M3163" t="s">
        <v>76</v>
      </c>
      <c r="N3163" t="s">
        <v>2161</v>
      </c>
      <c r="O3163">
        <v>692.63</v>
      </c>
      <c r="P3163" t="s">
        <v>52</v>
      </c>
    </row>
    <row r="3164" spans="1:16" x14ac:dyDescent="0.4">
      <c r="A3164" t="s">
        <v>15</v>
      </c>
      <c r="B3164" t="s">
        <v>16</v>
      </c>
      <c r="C3164" s="13">
        <v>42736</v>
      </c>
      <c r="D3164" s="13">
        <v>43100</v>
      </c>
      <c r="E3164" t="s">
        <v>17</v>
      </c>
      <c r="F3164">
        <v>0</v>
      </c>
      <c r="G3164" t="s">
        <v>18</v>
      </c>
      <c r="H3164">
        <v>1</v>
      </c>
      <c r="I3164" t="s">
        <v>19</v>
      </c>
      <c r="J3164">
        <v>269</v>
      </c>
      <c r="K3164" t="s">
        <v>75</v>
      </c>
      <c r="L3164" s="13">
        <v>43062</v>
      </c>
      <c r="M3164" t="s">
        <v>76</v>
      </c>
      <c r="N3164" t="s">
        <v>2162</v>
      </c>
      <c r="O3164">
        <v>362.24</v>
      </c>
      <c r="P3164" t="s">
        <v>52</v>
      </c>
    </row>
    <row r="3165" spans="1:16" x14ac:dyDescent="0.4">
      <c r="A3165" t="s">
        <v>15</v>
      </c>
      <c r="B3165" t="s">
        <v>16</v>
      </c>
      <c r="C3165" s="13">
        <v>42736</v>
      </c>
      <c r="D3165" s="13">
        <v>43100</v>
      </c>
      <c r="E3165" t="s">
        <v>17</v>
      </c>
      <c r="F3165">
        <v>0</v>
      </c>
      <c r="G3165" t="s">
        <v>18</v>
      </c>
      <c r="H3165">
        <v>1</v>
      </c>
      <c r="I3165" t="s">
        <v>19</v>
      </c>
      <c r="J3165">
        <v>269</v>
      </c>
      <c r="K3165" t="s">
        <v>75</v>
      </c>
      <c r="L3165" s="13">
        <v>43100</v>
      </c>
      <c r="M3165" t="s">
        <v>2163</v>
      </c>
      <c r="N3165" t="s">
        <v>46</v>
      </c>
      <c r="O3165">
        <v>-1797.7</v>
      </c>
      <c r="P3165" t="s">
        <v>1444</v>
      </c>
    </row>
    <row r="3166" spans="1:16" x14ac:dyDescent="0.4">
      <c r="A3166" t="s">
        <v>15</v>
      </c>
      <c r="B3166" t="s">
        <v>16</v>
      </c>
      <c r="C3166" s="13">
        <v>42736</v>
      </c>
      <c r="D3166" s="13">
        <v>43100</v>
      </c>
      <c r="E3166" t="s">
        <v>17</v>
      </c>
      <c r="F3166">
        <v>0</v>
      </c>
      <c r="G3166" t="s">
        <v>18</v>
      </c>
      <c r="H3166">
        <v>1</v>
      </c>
      <c r="I3166" t="s">
        <v>19</v>
      </c>
      <c r="J3166">
        <v>281</v>
      </c>
      <c r="K3166" t="s">
        <v>78</v>
      </c>
      <c r="L3166" s="13">
        <v>42795</v>
      </c>
      <c r="M3166" t="s">
        <v>1445</v>
      </c>
      <c r="N3166" t="s">
        <v>2164</v>
      </c>
      <c r="O3166">
        <v>6366.05</v>
      </c>
      <c r="P3166" t="s">
        <v>81</v>
      </c>
    </row>
    <row r="3167" spans="1:16" x14ac:dyDescent="0.4">
      <c r="A3167" t="s">
        <v>15</v>
      </c>
      <c r="B3167" t="s">
        <v>16</v>
      </c>
      <c r="C3167" s="13">
        <v>42736</v>
      </c>
      <c r="D3167" s="13">
        <v>43100</v>
      </c>
      <c r="E3167" t="s">
        <v>17</v>
      </c>
      <c r="F3167">
        <v>0</v>
      </c>
      <c r="G3167" t="s">
        <v>18</v>
      </c>
      <c r="H3167">
        <v>1</v>
      </c>
      <c r="I3167" t="s">
        <v>19</v>
      </c>
      <c r="J3167">
        <v>281</v>
      </c>
      <c r="K3167" t="s">
        <v>78</v>
      </c>
      <c r="L3167" s="13">
        <v>42982</v>
      </c>
      <c r="M3167" t="s">
        <v>1445</v>
      </c>
      <c r="N3167" t="s">
        <v>2165</v>
      </c>
      <c r="O3167">
        <v>6620.38</v>
      </c>
      <c r="P3167" t="s">
        <v>81</v>
      </c>
    </row>
    <row r="3168" spans="1:16" x14ac:dyDescent="0.4">
      <c r="A3168" t="s">
        <v>15</v>
      </c>
      <c r="B3168" t="s">
        <v>16</v>
      </c>
      <c r="C3168" s="13">
        <v>42736</v>
      </c>
      <c r="D3168" s="13">
        <v>43100</v>
      </c>
      <c r="E3168" t="s">
        <v>17</v>
      </c>
      <c r="F3168">
        <v>0</v>
      </c>
      <c r="G3168" t="s">
        <v>18</v>
      </c>
      <c r="H3168">
        <v>1</v>
      </c>
      <c r="I3168" t="s">
        <v>19</v>
      </c>
      <c r="J3168">
        <v>281</v>
      </c>
      <c r="K3168" t="s">
        <v>78</v>
      </c>
      <c r="L3168" s="13">
        <v>43100</v>
      </c>
      <c r="M3168" t="s">
        <v>85</v>
      </c>
      <c r="N3168" t="s">
        <v>86</v>
      </c>
      <c r="O3168">
        <v>-7800.85</v>
      </c>
      <c r="P3168" t="s">
        <v>46</v>
      </c>
    </row>
    <row r="3169" spans="1:16" x14ac:dyDescent="0.4">
      <c r="A3169" t="s">
        <v>15</v>
      </c>
      <c r="B3169" t="s">
        <v>16</v>
      </c>
      <c r="C3169" s="13">
        <v>42736</v>
      </c>
      <c r="D3169" s="13">
        <v>43100</v>
      </c>
      <c r="E3169" t="s">
        <v>17</v>
      </c>
      <c r="F3169">
        <v>0</v>
      </c>
      <c r="G3169" t="s">
        <v>18</v>
      </c>
      <c r="H3169">
        <v>1</v>
      </c>
      <c r="I3169" t="s">
        <v>19</v>
      </c>
      <c r="J3169">
        <v>281</v>
      </c>
      <c r="K3169" t="s">
        <v>78</v>
      </c>
      <c r="L3169" s="13">
        <v>43100</v>
      </c>
      <c r="M3169" t="s">
        <v>88</v>
      </c>
      <c r="N3169" t="s">
        <v>86</v>
      </c>
      <c r="O3169">
        <v>-14.99</v>
      </c>
      <c r="P3169" t="s">
        <v>46</v>
      </c>
    </row>
    <row r="3170" spans="1:16" x14ac:dyDescent="0.4">
      <c r="A3170" t="s">
        <v>15</v>
      </c>
      <c r="B3170" t="s">
        <v>16</v>
      </c>
      <c r="C3170" s="13">
        <v>42736</v>
      </c>
      <c r="D3170" s="13">
        <v>43100</v>
      </c>
      <c r="E3170" t="s">
        <v>17</v>
      </c>
      <c r="F3170">
        <v>0</v>
      </c>
      <c r="G3170" t="s">
        <v>18</v>
      </c>
      <c r="H3170">
        <v>1</v>
      </c>
      <c r="I3170" t="s">
        <v>19</v>
      </c>
      <c r="J3170">
        <v>281</v>
      </c>
      <c r="K3170" t="s">
        <v>78</v>
      </c>
      <c r="L3170" s="13">
        <v>43100</v>
      </c>
      <c r="M3170" t="s">
        <v>89</v>
      </c>
      <c r="N3170" t="s">
        <v>86</v>
      </c>
      <c r="O3170">
        <v>-1273.9100000000001</v>
      </c>
      <c r="P3170" t="s">
        <v>46</v>
      </c>
    </row>
    <row r="3171" spans="1:16" x14ac:dyDescent="0.4">
      <c r="A3171" t="s">
        <v>15</v>
      </c>
      <c r="B3171" t="s">
        <v>16</v>
      </c>
      <c r="C3171" s="13">
        <v>42736</v>
      </c>
      <c r="D3171" s="13">
        <v>43100</v>
      </c>
      <c r="E3171" t="s">
        <v>17</v>
      </c>
      <c r="F3171">
        <v>0</v>
      </c>
      <c r="G3171" t="s">
        <v>18</v>
      </c>
      <c r="H3171">
        <v>1</v>
      </c>
      <c r="I3171" t="s">
        <v>19</v>
      </c>
      <c r="J3171">
        <v>281</v>
      </c>
      <c r="K3171" t="s">
        <v>78</v>
      </c>
      <c r="L3171" s="13">
        <v>43100</v>
      </c>
      <c r="M3171" t="s">
        <v>90</v>
      </c>
      <c r="N3171" t="s">
        <v>86</v>
      </c>
      <c r="O3171">
        <v>-1236.45</v>
      </c>
      <c r="P3171" t="s">
        <v>46</v>
      </c>
    </row>
    <row r="3172" spans="1:16" x14ac:dyDescent="0.4">
      <c r="A3172" t="s">
        <v>15</v>
      </c>
      <c r="B3172" t="s">
        <v>16</v>
      </c>
      <c r="C3172" s="13">
        <v>42736</v>
      </c>
      <c r="D3172" s="13">
        <v>43100</v>
      </c>
      <c r="E3172" t="s">
        <v>17</v>
      </c>
      <c r="F3172">
        <v>0</v>
      </c>
      <c r="G3172" t="s">
        <v>18</v>
      </c>
      <c r="H3172">
        <v>1</v>
      </c>
      <c r="I3172" t="s">
        <v>19</v>
      </c>
      <c r="J3172">
        <v>281</v>
      </c>
      <c r="K3172" t="s">
        <v>78</v>
      </c>
      <c r="L3172" s="13">
        <v>43100</v>
      </c>
      <c r="M3172" t="s">
        <v>87</v>
      </c>
      <c r="N3172" t="s">
        <v>86</v>
      </c>
      <c r="O3172">
        <v>-1569.91</v>
      </c>
      <c r="P3172" t="s">
        <v>46</v>
      </c>
    </row>
    <row r="3173" spans="1:16" x14ac:dyDescent="0.4">
      <c r="A3173" t="s">
        <v>15</v>
      </c>
      <c r="B3173" t="s">
        <v>16</v>
      </c>
      <c r="C3173" s="13">
        <v>42736</v>
      </c>
      <c r="D3173" s="13">
        <v>43100</v>
      </c>
      <c r="E3173" t="s">
        <v>17</v>
      </c>
      <c r="F3173">
        <v>0</v>
      </c>
      <c r="G3173" t="s">
        <v>18</v>
      </c>
      <c r="H3173">
        <v>1</v>
      </c>
      <c r="I3173" t="s">
        <v>19</v>
      </c>
      <c r="J3173">
        <v>281</v>
      </c>
      <c r="K3173" t="s">
        <v>78</v>
      </c>
      <c r="L3173" s="13">
        <v>43100</v>
      </c>
      <c r="M3173" t="s">
        <v>2166</v>
      </c>
      <c r="N3173" t="s">
        <v>46</v>
      </c>
      <c r="O3173">
        <v>-1090.32</v>
      </c>
      <c r="P3173" t="s">
        <v>1444</v>
      </c>
    </row>
    <row r="3174" spans="1:16" x14ac:dyDescent="0.4">
      <c r="A3174" t="s">
        <v>15</v>
      </c>
      <c r="B3174" t="s">
        <v>16</v>
      </c>
      <c r="C3174" s="13">
        <v>42736</v>
      </c>
      <c r="D3174" s="13">
        <v>43100</v>
      </c>
      <c r="E3174" t="s">
        <v>17</v>
      </c>
      <c r="F3174">
        <v>0</v>
      </c>
      <c r="G3174" t="s">
        <v>18</v>
      </c>
      <c r="H3174">
        <v>1</v>
      </c>
      <c r="I3174" t="s">
        <v>19</v>
      </c>
      <c r="J3174">
        <v>285</v>
      </c>
      <c r="K3174" t="s">
        <v>91</v>
      </c>
      <c r="L3174" s="13">
        <v>43100</v>
      </c>
      <c r="M3174" t="s">
        <v>1064</v>
      </c>
      <c r="N3174" t="s">
        <v>2151</v>
      </c>
      <c r="O3174">
        <v>5224.12</v>
      </c>
      <c r="P3174" t="s">
        <v>1444</v>
      </c>
    </row>
    <row r="3175" spans="1:16" x14ac:dyDescent="0.4">
      <c r="A3175" t="s">
        <v>15</v>
      </c>
      <c r="B3175" t="s">
        <v>16</v>
      </c>
      <c r="C3175" s="13">
        <v>42736</v>
      </c>
      <c r="D3175" s="13">
        <v>43100</v>
      </c>
      <c r="E3175" t="s">
        <v>17</v>
      </c>
      <c r="F3175">
        <v>0</v>
      </c>
      <c r="G3175" t="s">
        <v>18</v>
      </c>
      <c r="H3175">
        <v>1</v>
      </c>
      <c r="I3175" t="s">
        <v>19</v>
      </c>
      <c r="J3175">
        <v>289</v>
      </c>
      <c r="K3175" t="s">
        <v>96</v>
      </c>
      <c r="L3175" s="13">
        <v>43100</v>
      </c>
      <c r="M3175" t="s">
        <v>2167</v>
      </c>
      <c r="N3175" t="s">
        <v>86</v>
      </c>
      <c r="O3175">
        <v>14.99</v>
      </c>
      <c r="P3175" t="s">
        <v>46</v>
      </c>
    </row>
    <row r="3176" spans="1:16" x14ac:dyDescent="0.4">
      <c r="A3176" t="s">
        <v>15</v>
      </c>
      <c r="B3176" t="s">
        <v>16</v>
      </c>
      <c r="C3176" s="13">
        <v>42736</v>
      </c>
      <c r="D3176" s="13">
        <v>43100</v>
      </c>
      <c r="E3176" t="s">
        <v>17</v>
      </c>
      <c r="F3176">
        <v>0</v>
      </c>
      <c r="G3176" t="s">
        <v>18</v>
      </c>
      <c r="H3176">
        <v>1</v>
      </c>
      <c r="I3176" t="s">
        <v>19</v>
      </c>
      <c r="J3176">
        <v>289</v>
      </c>
      <c r="K3176" t="s">
        <v>96</v>
      </c>
      <c r="L3176" s="13">
        <v>43100</v>
      </c>
      <c r="M3176" t="s">
        <v>2168</v>
      </c>
      <c r="N3176" t="s">
        <v>98</v>
      </c>
      <c r="O3176">
        <v>21.89</v>
      </c>
      <c r="P3176" t="s">
        <v>46</v>
      </c>
    </row>
    <row r="3177" spans="1:16" x14ac:dyDescent="0.4">
      <c r="A3177" t="s">
        <v>15</v>
      </c>
      <c r="B3177" t="s">
        <v>16</v>
      </c>
      <c r="C3177" s="13">
        <v>42736</v>
      </c>
      <c r="D3177" s="13">
        <v>43100</v>
      </c>
      <c r="E3177" t="s">
        <v>17</v>
      </c>
      <c r="F3177">
        <v>0</v>
      </c>
      <c r="G3177" t="s">
        <v>18</v>
      </c>
      <c r="H3177">
        <v>1</v>
      </c>
      <c r="I3177" t="s">
        <v>19</v>
      </c>
      <c r="J3177">
        <v>321</v>
      </c>
      <c r="K3177" t="s">
        <v>104</v>
      </c>
      <c r="L3177" s="13">
        <v>42765</v>
      </c>
      <c r="M3177" t="s">
        <v>2169</v>
      </c>
      <c r="N3177" t="s">
        <v>2170</v>
      </c>
      <c r="O3177">
        <v>2052.0500000000002</v>
      </c>
      <c r="P3177" t="s">
        <v>34</v>
      </c>
    </row>
    <row r="3178" spans="1:16" x14ac:dyDescent="0.4">
      <c r="A3178" t="s">
        <v>15</v>
      </c>
      <c r="B3178" t="s">
        <v>16</v>
      </c>
      <c r="C3178" s="13">
        <v>42736</v>
      </c>
      <c r="D3178" s="13">
        <v>43100</v>
      </c>
      <c r="E3178" t="s">
        <v>17</v>
      </c>
      <c r="F3178">
        <v>0</v>
      </c>
      <c r="G3178" t="s">
        <v>18</v>
      </c>
      <c r="H3178">
        <v>1</v>
      </c>
      <c r="I3178" t="s">
        <v>19</v>
      </c>
      <c r="J3178">
        <v>321</v>
      </c>
      <c r="K3178" t="s">
        <v>104</v>
      </c>
      <c r="L3178" s="13">
        <v>42793</v>
      </c>
      <c r="M3178" t="s">
        <v>2171</v>
      </c>
      <c r="N3178" t="s">
        <v>2172</v>
      </c>
      <c r="O3178">
        <v>2052.0500000000002</v>
      </c>
      <c r="P3178" t="s">
        <v>34</v>
      </c>
    </row>
    <row r="3179" spans="1:16" x14ac:dyDescent="0.4">
      <c r="A3179" t="s">
        <v>15</v>
      </c>
      <c r="B3179" t="s">
        <v>16</v>
      </c>
      <c r="C3179" s="13">
        <v>42736</v>
      </c>
      <c r="D3179" s="13">
        <v>43100</v>
      </c>
      <c r="E3179" t="s">
        <v>17</v>
      </c>
      <c r="F3179">
        <v>0</v>
      </c>
      <c r="G3179" t="s">
        <v>18</v>
      </c>
      <c r="H3179">
        <v>1</v>
      </c>
      <c r="I3179" t="s">
        <v>19</v>
      </c>
      <c r="J3179">
        <v>321</v>
      </c>
      <c r="K3179" t="s">
        <v>104</v>
      </c>
      <c r="L3179" s="13">
        <v>42823</v>
      </c>
      <c r="M3179" t="s">
        <v>2173</v>
      </c>
      <c r="N3179" t="s">
        <v>2174</v>
      </c>
      <c r="O3179">
        <v>2052.0500000000002</v>
      </c>
      <c r="P3179" t="s">
        <v>34</v>
      </c>
    </row>
    <row r="3180" spans="1:16" x14ac:dyDescent="0.4">
      <c r="A3180" t="s">
        <v>15</v>
      </c>
      <c r="B3180" t="s">
        <v>16</v>
      </c>
      <c r="C3180" s="13">
        <v>42736</v>
      </c>
      <c r="D3180" s="13">
        <v>43100</v>
      </c>
      <c r="E3180" t="s">
        <v>17</v>
      </c>
      <c r="F3180">
        <v>0</v>
      </c>
      <c r="G3180" t="s">
        <v>18</v>
      </c>
      <c r="H3180">
        <v>1</v>
      </c>
      <c r="I3180" t="s">
        <v>19</v>
      </c>
      <c r="J3180">
        <v>321</v>
      </c>
      <c r="K3180" t="s">
        <v>104</v>
      </c>
      <c r="L3180" s="13">
        <v>42852</v>
      </c>
      <c r="M3180" t="s">
        <v>2175</v>
      </c>
      <c r="N3180" t="s">
        <v>2176</v>
      </c>
      <c r="O3180">
        <v>2052.0500000000002</v>
      </c>
      <c r="P3180" t="s">
        <v>34</v>
      </c>
    </row>
    <row r="3181" spans="1:16" x14ac:dyDescent="0.4">
      <c r="A3181" t="s">
        <v>15</v>
      </c>
      <c r="B3181" t="s">
        <v>16</v>
      </c>
      <c r="C3181" s="13">
        <v>42736</v>
      </c>
      <c r="D3181" s="13">
        <v>43100</v>
      </c>
      <c r="E3181" t="s">
        <v>17</v>
      </c>
      <c r="F3181">
        <v>0</v>
      </c>
      <c r="G3181" t="s">
        <v>18</v>
      </c>
      <c r="H3181">
        <v>1</v>
      </c>
      <c r="I3181" t="s">
        <v>19</v>
      </c>
      <c r="J3181">
        <v>321</v>
      </c>
      <c r="K3181" t="s">
        <v>104</v>
      </c>
      <c r="L3181" s="13">
        <v>42879</v>
      </c>
      <c r="M3181" t="s">
        <v>2177</v>
      </c>
      <c r="N3181" t="s">
        <v>2178</v>
      </c>
      <c r="O3181">
        <v>2142.0500000000002</v>
      </c>
      <c r="P3181" t="s">
        <v>34</v>
      </c>
    </row>
    <row r="3182" spans="1:16" x14ac:dyDescent="0.4">
      <c r="A3182" t="s">
        <v>15</v>
      </c>
      <c r="B3182" t="s">
        <v>16</v>
      </c>
      <c r="C3182" s="13">
        <v>42736</v>
      </c>
      <c r="D3182" s="13">
        <v>43100</v>
      </c>
      <c r="E3182" t="s">
        <v>17</v>
      </c>
      <c r="F3182">
        <v>0</v>
      </c>
      <c r="G3182" t="s">
        <v>18</v>
      </c>
      <c r="H3182">
        <v>1</v>
      </c>
      <c r="I3182" t="s">
        <v>19</v>
      </c>
      <c r="J3182">
        <v>321</v>
      </c>
      <c r="K3182" t="s">
        <v>104</v>
      </c>
      <c r="L3182" s="13">
        <v>42915</v>
      </c>
      <c r="M3182" t="s">
        <v>2179</v>
      </c>
      <c r="N3182" t="s">
        <v>2180</v>
      </c>
      <c r="O3182">
        <v>2066.12</v>
      </c>
      <c r="P3182" t="s">
        <v>34</v>
      </c>
    </row>
    <row r="3183" spans="1:16" x14ac:dyDescent="0.4">
      <c r="A3183" t="s">
        <v>15</v>
      </c>
      <c r="B3183" t="s">
        <v>16</v>
      </c>
      <c r="C3183" s="13">
        <v>42736</v>
      </c>
      <c r="D3183" s="13">
        <v>43100</v>
      </c>
      <c r="E3183" t="s">
        <v>17</v>
      </c>
      <c r="F3183">
        <v>0</v>
      </c>
      <c r="G3183" t="s">
        <v>18</v>
      </c>
      <c r="H3183">
        <v>1</v>
      </c>
      <c r="I3183" t="s">
        <v>19</v>
      </c>
      <c r="J3183">
        <v>321</v>
      </c>
      <c r="K3183" t="s">
        <v>104</v>
      </c>
      <c r="L3183" s="13">
        <v>42944</v>
      </c>
      <c r="M3183" t="s">
        <v>2181</v>
      </c>
      <c r="N3183" t="s">
        <v>2182</v>
      </c>
      <c r="O3183">
        <v>1852.61</v>
      </c>
      <c r="P3183" t="s">
        <v>34</v>
      </c>
    </row>
    <row r="3184" spans="1:16" x14ac:dyDescent="0.4">
      <c r="A3184" t="s">
        <v>15</v>
      </c>
      <c r="B3184" t="s">
        <v>16</v>
      </c>
      <c r="C3184" s="13">
        <v>42736</v>
      </c>
      <c r="D3184" s="13">
        <v>43100</v>
      </c>
      <c r="E3184" t="s">
        <v>17</v>
      </c>
      <c r="F3184">
        <v>0</v>
      </c>
      <c r="G3184" t="s">
        <v>18</v>
      </c>
      <c r="H3184">
        <v>1</v>
      </c>
      <c r="I3184" t="s">
        <v>19</v>
      </c>
      <c r="J3184">
        <v>321</v>
      </c>
      <c r="K3184" t="s">
        <v>104</v>
      </c>
      <c r="L3184" s="13">
        <v>42976</v>
      </c>
      <c r="M3184" t="s">
        <v>2183</v>
      </c>
      <c r="N3184" t="s">
        <v>2184</v>
      </c>
      <c r="O3184">
        <v>1852.61</v>
      </c>
      <c r="P3184" t="s">
        <v>34</v>
      </c>
    </row>
    <row r="3185" spans="1:16" x14ac:dyDescent="0.4">
      <c r="A3185" t="s">
        <v>15</v>
      </c>
      <c r="B3185" t="s">
        <v>16</v>
      </c>
      <c r="C3185" s="13">
        <v>42736</v>
      </c>
      <c r="D3185" s="13">
        <v>43100</v>
      </c>
      <c r="E3185" t="s">
        <v>17</v>
      </c>
      <c r="F3185">
        <v>0</v>
      </c>
      <c r="G3185" t="s">
        <v>18</v>
      </c>
      <c r="H3185">
        <v>1</v>
      </c>
      <c r="I3185" t="s">
        <v>19</v>
      </c>
      <c r="J3185">
        <v>321</v>
      </c>
      <c r="K3185" t="s">
        <v>104</v>
      </c>
      <c r="L3185" s="13">
        <v>43006</v>
      </c>
      <c r="M3185" t="s">
        <v>2185</v>
      </c>
      <c r="N3185" t="s">
        <v>2186</v>
      </c>
      <c r="O3185">
        <v>1952.3</v>
      </c>
      <c r="P3185" t="s">
        <v>34</v>
      </c>
    </row>
    <row r="3186" spans="1:16" x14ac:dyDescent="0.4">
      <c r="A3186" t="s">
        <v>15</v>
      </c>
      <c r="B3186" t="s">
        <v>16</v>
      </c>
      <c r="C3186" s="13">
        <v>42736</v>
      </c>
      <c r="D3186" s="13">
        <v>43100</v>
      </c>
      <c r="E3186" t="s">
        <v>17</v>
      </c>
      <c r="F3186">
        <v>0</v>
      </c>
      <c r="G3186" t="s">
        <v>18</v>
      </c>
      <c r="H3186">
        <v>1</v>
      </c>
      <c r="I3186" t="s">
        <v>19</v>
      </c>
      <c r="J3186">
        <v>321</v>
      </c>
      <c r="K3186" t="s">
        <v>104</v>
      </c>
      <c r="L3186" s="13">
        <v>43038</v>
      </c>
      <c r="M3186" t="s">
        <v>2187</v>
      </c>
      <c r="N3186" t="s">
        <v>2188</v>
      </c>
      <c r="O3186">
        <v>790.56</v>
      </c>
      <c r="P3186" t="s">
        <v>34</v>
      </c>
    </row>
    <row r="3187" spans="1:16" x14ac:dyDescent="0.4">
      <c r="A3187" t="s">
        <v>15</v>
      </c>
      <c r="B3187" t="s">
        <v>16</v>
      </c>
      <c r="C3187" s="13">
        <v>42736</v>
      </c>
      <c r="D3187" s="13">
        <v>43100</v>
      </c>
      <c r="E3187" t="s">
        <v>17</v>
      </c>
      <c r="F3187">
        <v>0</v>
      </c>
      <c r="G3187" t="s">
        <v>18</v>
      </c>
      <c r="H3187">
        <v>1</v>
      </c>
      <c r="I3187" t="s">
        <v>19</v>
      </c>
      <c r="J3187">
        <v>321</v>
      </c>
      <c r="K3187" t="s">
        <v>104</v>
      </c>
      <c r="L3187" s="13">
        <v>43038</v>
      </c>
      <c r="M3187" t="s">
        <v>2189</v>
      </c>
      <c r="N3187" t="s">
        <v>2188</v>
      </c>
      <c r="O3187">
        <v>1055.26</v>
      </c>
      <c r="P3187" t="s">
        <v>34</v>
      </c>
    </row>
    <row r="3188" spans="1:16" x14ac:dyDescent="0.4">
      <c r="A3188" t="s">
        <v>15</v>
      </c>
      <c r="B3188" t="s">
        <v>16</v>
      </c>
      <c r="C3188" s="13">
        <v>42736</v>
      </c>
      <c r="D3188" s="13">
        <v>43100</v>
      </c>
      <c r="E3188" t="s">
        <v>17</v>
      </c>
      <c r="F3188">
        <v>0</v>
      </c>
      <c r="G3188" t="s">
        <v>18</v>
      </c>
      <c r="H3188">
        <v>1</v>
      </c>
      <c r="I3188" t="s">
        <v>19</v>
      </c>
      <c r="J3188">
        <v>321</v>
      </c>
      <c r="K3188" t="s">
        <v>104</v>
      </c>
      <c r="L3188" s="13">
        <v>43068</v>
      </c>
      <c r="M3188" t="s">
        <v>2190</v>
      </c>
      <c r="N3188" t="s">
        <v>2191</v>
      </c>
      <c r="O3188">
        <v>2100.4299999999998</v>
      </c>
      <c r="P3188" t="s">
        <v>34</v>
      </c>
    </row>
    <row r="3189" spans="1:16" x14ac:dyDescent="0.4">
      <c r="A3189" t="s">
        <v>15</v>
      </c>
      <c r="B3189" t="s">
        <v>16</v>
      </c>
      <c r="C3189" s="13">
        <v>42736</v>
      </c>
      <c r="D3189" s="13">
        <v>43100</v>
      </c>
      <c r="E3189" t="s">
        <v>17</v>
      </c>
      <c r="F3189">
        <v>0</v>
      </c>
      <c r="G3189" t="s">
        <v>18</v>
      </c>
      <c r="H3189">
        <v>1</v>
      </c>
      <c r="I3189" t="s">
        <v>19</v>
      </c>
      <c r="J3189">
        <v>321</v>
      </c>
      <c r="K3189" t="s">
        <v>104</v>
      </c>
      <c r="L3189" s="13">
        <v>43095</v>
      </c>
      <c r="M3189" t="s">
        <v>2192</v>
      </c>
      <c r="N3189" t="s">
        <v>2193</v>
      </c>
      <c r="O3189">
        <v>4075.14</v>
      </c>
      <c r="P3189" t="s">
        <v>34</v>
      </c>
    </row>
    <row r="3190" spans="1:16" x14ac:dyDescent="0.4">
      <c r="A3190" t="s">
        <v>15</v>
      </c>
      <c r="B3190" t="s">
        <v>16</v>
      </c>
      <c r="C3190" s="13">
        <v>42736</v>
      </c>
      <c r="D3190" s="13">
        <v>43100</v>
      </c>
      <c r="E3190" t="s">
        <v>17</v>
      </c>
      <c r="F3190">
        <v>0</v>
      </c>
      <c r="G3190" t="s">
        <v>18</v>
      </c>
      <c r="H3190">
        <v>1</v>
      </c>
      <c r="I3190" t="s">
        <v>19</v>
      </c>
      <c r="J3190">
        <v>322</v>
      </c>
      <c r="K3190" t="s">
        <v>143</v>
      </c>
      <c r="L3190" s="13">
        <v>42765</v>
      </c>
      <c r="M3190" t="s">
        <v>2194</v>
      </c>
      <c r="N3190" t="s">
        <v>2170</v>
      </c>
      <c r="O3190">
        <v>551.92999999999995</v>
      </c>
      <c r="P3190" t="s">
        <v>34</v>
      </c>
    </row>
    <row r="3191" spans="1:16" x14ac:dyDescent="0.4">
      <c r="A3191" t="s">
        <v>15</v>
      </c>
      <c r="B3191" t="s">
        <v>16</v>
      </c>
      <c r="C3191" s="13">
        <v>42736</v>
      </c>
      <c r="D3191" s="13">
        <v>43100</v>
      </c>
      <c r="E3191" t="s">
        <v>17</v>
      </c>
      <c r="F3191">
        <v>0</v>
      </c>
      <c r="G3191" t="s">
        <v>18</v>
      </c>
      <c r="H3191">
        <v>1</v>
      </c>
      <c r="I3191" t="s">
        <v>19</v>
      </c>
      <c r="J3191">
        <v>322</v>
      </c>
      <c r="K3191" t="s">
        <v>143</v>
      </c>
      <c r="L3191" s="13">
        <v>42766</v>
      </c>
      <c r="M3191" t="s">
        <v>2195</v>
      </c>
      <c r="N3191" t="s">
        <v>2196</v>
      </c>
      <c r="O3191">
        <v>-0.54</v>
      </c>
      <c r="P3191" t="s">
        <v>146</v>
      </c>
    </row>
    <row r="3192" spans="1:16" x14ac:dyDescent="0.4">
      <c r="A3192" t="s">
        <v>15</v>
      </c>
      <c r="B3192" t="s">
        <v>16</v>
      </c>
      <c r="C3192" s="13">
        <v>42736</v>
      </c>
      <c r="D3192" s="13">
        <v>43100</v>
      </c>
      <c r="E3192" t="s">
        <v>17</v>
      </c>
      <c r="F3192">
        <v>0</v>
      </c>
      <c r="G3192" t="s">
        <v>18</v>
      </c>
      <c r="H3192">
        <v>1</v>
      </c>
      <c r="I3192" t="s">
        <v>19</v>
      </c>
      <c r="J3192">
        <v>322</v>
      </c>
      <c r="K3192" t="s">
        <v>143</v>
      </c>
      <c r="L3192" s="13">
        <v>42793</v>
      </c>
      <c r="M3192" t="s">
        <v>2197</v>
      </c>
      <c r="N3192" t="s">
        <v>2172</v>
      </c>
      <c r="O3192">
        <v>551.92999999999995</v>
      </c>
      <c r="P3192" t="s">
        <v>34</v>
      </c>
    </row>
    <row r="3193" spans="1:16" x14ac:dyDescent="0.4">
      <c r="A3193" t="s">
        <v>15</v>
      </c>
      <c r="B3193" t="s">
        <v>16</v>
      </c>
      <c r="C3193" s="13">
        <v>42736</v>
      </c>
      <c r="D3193" s="13">
        <v>43100</v>
      </c>
      <c r="E3193" t="s">
        <v>17</v>
      </c>
      <c r="F3193">
        <v>0</v>
      </c>
      <c r="G3193" t="s">
        <v>18</v>
      </c>
      <c r="H3193">
        <v>1</v>
      </c>
      <c r="I3193" t="s">
        <v>19</v>
      </c>
      <c r="J3193">
        <v>322</v>
      </c>
      <c r="K3193" t="s">
        <v>143</v>
      </c>
      <c r="L3193" s="13">
        <v>42794</v>
      </c>
      <c r="M3193" t="s">
        <v>2198</v>
      </c>
      <c r="N3193" t="s">
        <v>2199</v>
      </c>
      <c r="O3193">
        <v>-0.54</v>
      </c>
      <c r="P3193" t="s">
        <v>146</v>
      </c>
    </row>
    <row r="3194" spans="1:16" x14ac:dyDescent="0.4">
      <c r="A3194" t="s">
        <v>15</v>
      </c>
      <c r="B3194" t="s">
        <v>16</v>
      </c>
      <c r="C3194" s="13">
        <v>42736</v>
      </c>
      <c r="D3194" s="13">
        <v>43100</v>
      </c>
      <c r="E3194" t="s">
        <v>17</v>
      </c>
      <c r="F3194">
        <v>0</v>
      </c>
      <c r="G3194" t="s">
        <v>18</v>
      </c>
      <c r="H3194">
        <v>1</v>
      </c>
      <c r="I3194" t="s">
        <v>19</v>
      </c>
      <c r="J3194">
        <v>322</v>
      </c>
      <c r="K3194" t="s">
        <v>143</v>
      </c>
      <c r="L3194" s="13">
        <v>42823</v>
      </c>
      <c r="M3194" t="s">
        <v>2200</v>
      </c>
      <c r="N3194" t="s">
        <v>2174</v>
      </c>
      <c r="O3194">
        <v>551.94000000000005</v>
      </c>
      <c r="P3194" t="s">
        <v>34</v>
      </c>
    </row>
    <row r="3195" spans="1:16" x14ac:dyDescent="0.4">
      <c r="A3195" t="s">
        <v>15</v>
      </c>
      <c r="B3195" t="s">
        <v>16</v>
      </c>
      <c r="C3195" s="13">
        <v>42736</v>
      </c>
      <c r="D3195" s="13">
        <v>43100</v>
      </c>
      <c r="E3195" t="s">
        <v>17</v>
      </c>
      <c r="F3195">
        <v>0</v>
      </c>
      <c r="G3195" t="s">
        <v>18</v>
      </c>
      <c r="H3195">
        <v>1</v>
      </c>
      <c r="I3195" t="s">
        <v>19</v>
      </c>
      <c r="J3195">
        <v>322</v>
      </c>
      <c r="K3195" t="s">
        <v>143</v>
      </c>
      <c r="L3195" s="13">
        <v>42825</v>
      </c>
      <c r="M3195" t="s">
        <v>2201</v>
      </c>
      <c r="N3195" t="s">
        <v>2202</v>
      </c>
      <c r="O3195">
        <v>-0.55000000000000004</v>
      </c>
      <c r="P3195" t="s">
        <v>146</v>
      </c>
    </row>
    <row r="3196" spans="1:16" x14ac:dyDescent="0.4">
      <c r="A3196" t="s">
        <v>15</v>
      </c>
      <c r="B3196" t="s">
        <v>16</v>
      </c>
      <c r="C3196" s="13">
        <v>42736</v>
      </c>
      <c r="D3196" s="13">
        <v>43100</v>
      </c>
      <c r="E3196" t="s">
        <v>17</v>
      </c>
      <c r="F3196">
        <v>0</v>
      </c>
      <c r="G3196" t="s">
        <v>18</v>
      </c>
      <c r="H3196">
        <v>1</v>
      </c>
      <c r="I3196" t="s">
        <v>19</v>
      </c>
      <c r="J3196">
        <v>322</v>
      </c>
      <c r="K3196" t="s">
        <v>143</v>
      </c>
      <c r="L3196" s="13">
        <v>42852</v>
      </c>
      <c r="M3196" t="s">
        <v>2203</v>
      </c>
      <c r="N3196" t="s">
        <v>2176</v>
      </c>
      <c r="O3196">
        <v>551.92999999999995</v>
      </c>
      <c r="P3196" t="s">
        <v>34</v>
      </c>
    </row>
    <row r="3197" spans="1:16" x14ac:dyDescent="0.4">
      <c r="A3197" t="s">
        <v>15</v>
      </c>
      <c r="B3197" t="s">
        <v>16</v>
      </c>
      <c r="C3197" s="13">
        <v>42736</v>
      </c>
      <c r="D3197" s="13">
        <v>43100</v>
      </c>
      <c r="E3197" t="s">
        <v>17</v>
      </c>
      <c r="F3197">
        <v>0</v>
      </c>
      <c r="G3197" t="s">
        <v>18</v>
      </c>
      <c r="H3197">
        <v>1</v>
      </c>
      <c r="I3197" t="s">
        <v>19</v>
      </c>
      <c r="J3197">
        <v>322</v>
      </c>
      <c r="K3197" t="s">
        <v>143</v>
      </c>
      <c r="L3197" s="13">
        <v>42855</v>
      </c>
      <c r="M3197" t="s">
        <v>2204</v>
      </c>
      <c r="N3197" t="s">
        <v>2205</v>
      </c>
      <c r="O3197">
        <v>-0.54</v>
      </c>
      <c r="P3197" t="s">
        <v>146</v>
      </c>
    </row>
    <row r="3198" spans="1:16" x14ac:dyDescent="0.4">
      <c r="A3198" t="s">
        <v>15</v>
      </c>
      <c r="B3198" t="s">
        <v>16</v>
      </c>
      <c r="C3198" s="13">
        <v>42736</v>
      </c>
      <c r="D3198" s="13">
        <v>43100</v>
      </c>
      <c r="E3198" t="s">
        <v>17</v>
      </c>
      <c r="F3198">
        <v>0</v>
      </c>
      <c r="G3198" t="s">
        <v>18</v>
      </c>
      <c r="H3198">
        <v>1</v>
      </c>
      <c r="I3198" t="s">
        <v>19</v>
      </c>
      <c r="J3198">
        <v>322</v>
      </c>
      <c r="K3198" t="s">
        <v>143</v>
      </c>
      <c r="L3198" s="13">
        <v>42879</v>
      </c>
      <c r="M3198" t="s">
        <v>2206</v>
      </c>
      <c r="N3198" t="s">
        <v>2178</v>
      </c>
      <c r="O3198">
        <v>624.77</v>
      </c>
      <c r="P3198" t="s">
        <v>34</v>
      </c>
    </row>
    <row r="3199" spans="1:16" x14ac:dyDescent="0.4">
      <c r="A3199" t="s">
        <v>15</v>
      </c>
      <c r="B3199" t="s">
        <v>16</v>
      </c>
      <c r="C3199" s="13">
        <v>42736</v>
      </c>
      <c r="D3199" s="13">
        <v>43100</v>
      </c>
      <c r="E3199" t="s">
        <v>17</v>
      </c>
      <c r="F3199">
        <v>0</v>
      </c>
      <c r="G3199" t="s">
        <v>18</v>
      </c>
      <c r="H3199">
        <v>1</v>
      </c>
      <c r="I3199" t="s">
        <v>19</v>
      </c>
      <c r="J3199">
        <v>322</v>
      </c>
      <c r="K3199" t="s">
        <v>143</v>
      </c>
      <c r="L3199" s="13">
        <v>42886</v>
      </c>
      <c r="M3199" t="s">
        <v>2207</v>
      </c>
      <c r="N3199" t="s">
        <v>2208</v>
      </c>
      <c r="O3199">
        <v>-0.92</v>
      </c>
      <c r="P3199" t="s">
        <v>146</v>
      </c>
    </row>
    <row r="3200" spans="1:16" x14ac:dyDescent="0.4">
      <c r="A3200" t="s">
        <v>15</v>
      </c>
      <c r="B3200" t="s">
        <v>16</v>
      </c>
      <c r="C3200" s="13">
        <v>42736</v>
      </c>
      <c r="D3200" s="13">
        <v>43100</v>
      </c>
      <c r="E3200" t="s">
        <v>17</v>
      </c>
      <c r="F3200">
        <v>0</v>
      </c>
      <c r="G3200" t="s">
        <v>18</v>
      </c>
      <c r="H3200">
        <v>1</v>
      </c>
      <c r="I3200" t="s">
        <v>19</v>
      </c>
      <c r="J3200">
        <v>322</v>
      </c>
      <c r="K3200" t="s">
        <v>143</v>
      </c>
      <c r="L3200" s="13">
        <v>42915</v>
      </c>
      <c r="M3200" t="s">
        <v>2209</v>
      </c>
      <c r="N3200" t="s">
        <v>2180</v>
      </c>
      <c r="O3200">
        <v>581.55999999999995</v>
      </c>
      <c r="P3200" t="s">
        <v>34</v>
      </c>
    </row>
    <row r="3201" spans="1:16" x14ac:dyDescent="0.4">
      <c r="A3201" t="s">
        <v>15</v>
      </c>
      <c r="B3201" t="s">
        <v>16</v>
      </c>
      <c r="C3201" s="13">
        <v>42736</v>
      </c>
      <c r="D3201" s="13">
        <v>43100</v>
      </c>
      <c r="E3201" t="s">
        <v>17</v>
      </c>
      <c r="F3201">
        <v>0</v>
      </c>
      <c r="G3201" t="s">
        <v>18</v>
      </c>
      <c r="H3201">
        <v>1</v>
      </c>
      <c r="I3201" t="s">
        <v>19</v>
      </c>
      <c r="J3201">
        <v>322</v>
      </c>
      <c r="K3201" t="s">
        <v>143</v>
      </c>
      <c r="L3201" s="13">
        <v>42916</v>
      </c>
      <c r="M3201" t="s">
        <v>2210</v>
      </c>
      <c r="N3201" t="s">
        <v>2211</v>
      </c>
      <c r="O3201">
        <v>-0.76</v>
      </c>
      <c r="P3201" t="s">
        <v>146</v>
      </c>
    </row>
    <row r="3202" spans="1:16" x14ac:dyDescent="0.4">
      <c r="A3202" t="s">
        <v>15</v>
      </c>
      <c r="B3202" t="s">
        <v>16</v>
      </c>
      <c r="C3202" s="13">
        <v>42736</v>
      </c>
      <c r="D3202" s="13">
        <v>43100</v>
      </c>
      <c r="E3202" t="s">
        <v>17</v>
      </c>
      <c r="F3202">
        <v>0</v>
      </c>
      <c r="G3202" t="s">
        <v>18</v>
      </c>
      <c r="H3202">
        <v>1</v>
      </c>
      <c r="I3202" t="s">
        <v>19</v>
      </c>
      <c r="J3202">
        <v>322</v>
      </c>
      <c r="K3202" t="s">
        <v>143</v>
      </c>
      <c r="L3202" s="13">
        <v>42944</v>
      </c>
      <c r="M3202" t="s">
        <v>2212</v>
      </c>
      <c r="N3202" t="s">
        <v>2182</v>
      </c>
      <c r="O3202">
        <v>502.27</v>
      </c>
      <c r="P3202" t="s">
        <v>34</v>
      </c>
    </row>
    <row r="3203" spans="1:16" x14ac:dyDescent="0.4">
      <c r="A3203" t="s">
        <v>15</v>
      </c>
      <c r="B3203" t="s">
        <v>16</v>
      </c>
      <c r="C3203" s="13">
        <v>42736</v>
      </c>
      <c r="D3203" s="13">
        <v>43100</v>
      </c>
      <c r="E3203" t="s">
        <v>17</v>
      </c>
      <c r="F3203">
        <v>0</v>
      </c>
      <c r="G3203" t="s">
        <v>18</v>
      </c>
      <c r="H3203">
        <v>1</v>
      </c>
      <c r="I3203" t="s">
        <v>19</v>
      </c>
      <c r="J3203">
        <v>322</v>
      </c>
      <c r="K3203" t="s">
        <v>143</v>
      </c>
      <c r="L3203" s="13">
        <v>42947</v>
      </c>
      <c r="M3203" t="s">
        <v>2213</v>
      </c>
      <c r="N3203" t="s">
        <v>2214</v>
      </c>
      <c r="O3203">
        <v>-0.24</v>
      </c>
      <c r="P3203" t="s">
        <v>146</v>
      </c>
    </row>
    <row r="3204" spans="1:16" x14ac:dyDescent="0.4">
      <c r="A3204" t="s">
        <v>15</v>
      </c>
      <c r="B3204" t="s">
        <v>16</v>
      </c>
      <c r="C3204" s="13">
        <v>42736</v>
      </c>
      <c r="D3204" s="13">
        <v>43100</v>
      </c>
      <c r="E3204" t="s">
        <v>17</v>
      </c>
      <c r="F3204">
        <v>0</v>
      </c>
      <c r="G3204" t="s">
        <v>18</v>
      </c>
      <c r="H3204">
        <v>1</v>
      </c>
      <c r="I3204" t="s">
        <v>19</v>
      </c>
      <c r="J3204">
        <v>322</v>
      </c>
      <c r="K3204" t="s">
        <v>143</v>
      </c>
      <c r="L3204" s="13">
        <v>42976</v>
      </c>
      <c r="M3204" t="s">
        <v>2215</v>
      </c>
      <c r="N3204" t="s">
        <v>2184</v>
      </c>
      <c r="O3204">
        <v>500.42</v>
      </c>
      <c r="P3204" t="s">
        <v>34</v>
      </c>
    </row>
    <row r="3205" spans="1:16" x14ac:dyDescent="0.4">
      <c r="A3205" t="s">
        <v>15</v>
      </c>
      <c r="B3205" t="s">
        <v>16</v>
      </c>
      <c r="C3205" s="13">
        <v>42736</v>
      </c>
      <c r="D3205" s="13">
        <v>43100</v>
      </c>
      <c r="E3205" t="s">
        <v>17</v>
      </c>
      <c r="F3205">
        <v>0</v>
      </c>
      <c r="G3205" t="s">
        <v>18</v>
      </c>
      <c r="H3205">
        <v>1</v>
      </c>
      <c r="I3205" t="s">
        <v>19</v>
      </c>
      <c r="J3205">
        <v>322</v>
      </c>
      <c r="K3205" t="s">
        <v>143</v>
      </c>
      <c r="L3205" s="13">
        <v>42978</v>
      </c>
      <c r="M3205" t="s">
        <v>2216</v>
      </c>
      <c r="N3205" t="s">
        <v>2217</v>
      </c>
      <c r="O3205">
        <v>-0.39</v>
      </c>
      <c r="P3205" t="s">
        <v>146</v>
      </c>
    </row>
    <row r="3206" spans="1:16" x14ac:dyDescent="0.4">
      <c r="A3206" t="s">
        <v>15</v>
      </c>
      <c r="B3206" t="s">
        <v>16</v>
      </c>
      <c r="C3206" s="13">
        <v>42736</v>
      </c>
      <c r="D3206" s="13">
        <v>43100</v>
      </c>
      <c r="E3206" t="s">
        <v>17</v>
      </c>
      <c r="F3206">
        <v>0</v>
      </c>
      <c r="G3206" t="s">
        <v>18</v>
      </c>
      <c r="H3206">
        <v>1</v>
      </c>
      <c r="I3206" t="s">
        <v>19</v>
      </c>
      <c r="J3206">
        <v>322</v>
      </c>
      <c r="K3206" t="s">
        <v>143</v>
      </c>
      <c r="L3206" s="13">
        <v>43006</v>
      </c>
      <c r="M3206" t="s">
        <v>2218</v>
      </c>
      <c r="N3206" t="s">
        <v>2186</v>
      </c>
      <c r="O3206">
        <v>534.84</v>
      </c>
      <c r="P3206" t="s">
        <v>34</v>
      </c>
    </row>
    <row r="3207" spans="1:16" x14ac:dyDescent="0.4">
      <c r="A3207" t="s">
        <v>15</v>
      </c>
      <c r="B3207" t="s">
        <v>16</v>
      </c>
      <c r="C3207" s="13">
        <v>42736</v>
      </c>
      <c r="D3207" s="13">
        <v>43100</v>
      </c>
      <c r="E3207" t="s">
        <v>17</v>
      </c>
      <c r="F3207">
        <v>0</v>
      </c>
      <c r="G3207" t="s">
        <v>18</v>
      </c>
      <c r="H3207">
        <v>1</v>
      </c>
      <c r="I3207" t="s">
        <v>19</v>
      </c>
      <c r="J3207">
        <v>322</v>
      </c>
      <c r="K3207" t="s">
        <v>143</v>
      </c>
      <c r="L3207" s="13">
        <v>43008</v>
      </c>
      <c r="M3207" t="s">
        <v>2219</v>
      </c>
      <c r="N3207" t="s">
        <v>2220</v>
      </c>
      <c r="O3207">
        <v>-0.13</v>
      </c>
      <c r="P3207" t="s">
        <v>146</v>
      </c>
    </row>
    <row r="3208" spans="1:16" x14ac:dyDescent="0.4">
      <c r="A3208" t="s">
        <v>15</v>
      </c>
      <c r="B3208" t="s">
        <v>16</v>
      </c>
      <c r="C3208" s="13">
        <v>42736</v>
      </c>
      <c r="D3208" s="13">
        <v>43100</v>
      </c>
      <c r="E3208" t="s">
        <v>17</v>
      </c>
      <c r="F3208">
        <v>0</v>
      </c>
      <c r="G3208" t="s">
        <v>18</v>
      </c>
      <c r="H3208">
        <v>1</v>
      </c>
      <c r="I3208" t="s">
        <v>19</v>
      </c>
      <c r="J3208">
        <v>322</v>
      </c>
      <c r="K3208" t="s">
        <v>143</v>
      </c>
      <c r="L3208" s="13">
        <v>43038</v>
      </c>
      <c r="M3208" t="s">
        <v>2221</v>
      </c>
      <c r="N3208" t="s">
        <v>2188</v>
      </c>
      <c r="O3208">
        <v>308.77</v>
      </c>
      <c r="P3208" t="s">
        <v>34</v>
      </c>
    </row>
    <row r="3209" spans="1:16" x14ac:dyDescent="0.4">
      <c r="A3209" t="s">
        <v>15</v>
      </c>
      <c r="B3209" t="s">
        <v>16</v>
      </c>
      <c r="C3209" s="13">
        <v>42736</v>
      </c>
      <c r="D3209" s="13">
        <v>43100</v>
      </c>
      <c r="E3209" t="s">
        <v>17</v>
      </c>
      <c r="F3209">
        <v>0</v>
      </c>
      <c r="G3209" t="s">
        <v>18</v>
      </c>
      <c r="H3209">
        <v>1</v>
      </c>
      <c r="I3209" t="s">
        <v>19</v>
      </c>
      <c r="J3209">
        <v>322</v>
      </c>
      <c r="K3209" t="s">
        <v>143</v>
      </c>
      <c r="L3209" s="13">
        <v>43039</v>
      </c>
      <c r="M3209" t="s">
        <v>2222</v>
      </c>
      <c r="N3209" t="s">
        <v>2223</v>
      </c>
      <c r="O3209">
        <v>-1.31</v>
      </c>
      <c r="P3209" t="s">
        <v>146</v>
      </c>
    </row>
    <row r="3210" spans="1:16" x14ac:dyDescent="0.4">
      <c r="A3210" t="s">
        <v>15</v>
      </c>
      <c r="B3210" t="s">
        <v>16</v>
      </c>
      <c r="C3210" s="13">
        <v>42736</v>
      </c>
      <c r="D3210" s="13">
        <v>43100</v>
      </c>
      <c r="E3210" t="s">
        <v>17</v>
      </c>
      <c r="F3210">
        <v>0</v>
      </c>
      <c r="G3210" t="s">
        <v>18</v>
      </c>
      <c r="H3210">
        <v>1</v>
      </c>
      <c r="I3210" t="s">
        <v>19</v>
      </c>
      <c r="J3210">
        <v>322</v>
      </c>
      <c r="K3210" t="s">
        <v>143</v>
      </c>
      <c r="L3210" s="13">
        <v>43068</v>
      </c>
      <c r="M3210" t="s">
        <v>2224</v>
      </c>
      <c r="N3210" t="s">
        <v>2191</v>
      </c>
      <c r="O3210">
        <v>591.33000000000004</v>
      </c>
      <c r="P3210" t="s">
        <v>34</v>
      </c>
    </row>
    <row r="3211" spans="1:16" x14ac:dyDescent="0.4">
      <c r="A3211" t="s">
        <v>15</v>
      </c>
      <c r="B3211" t="s">
        <v>16</v>
      </c>
      <c r="C3211" s="13">
        <v>42736</v>
      </c>
      <c r="D3211" s="13">
        <v>43100</v>
      </c>
      <c r="E3211" t="s">
        <v>17</v>
      </c>
      <c r="F3211">
        <v>0</v>
      </c>
      <c r="G3211" t="s">
        <v>18</v>
      </c>
      <c r="H3211">
        <v>1</v>
      </c>
      <c r="I3211" t="s">
        <v>19</v>
      </c>
      <c r="J3211">
        <v>322</v>
      </c>
      <c r="K3211" t="s">
        <v>143</v>
      </c>
      <c r="L3211" s="13">
        <v>43069</v>
      </c>
      <c r="M3211" t="s">
        <v>2225</v>
      </c>
      <c r="N3211" t="s">
        <v>2226</v>
      </c>
      <c r="O3211">
        <v>-1.82</v>
      </c>
      <c r="P3211" t="s">
        <v>146</v>
      </c>
    </row>
    <row r="3212" spans="1:16" x14ac:dyDescent="0.4">
      <c r="A3212" t="s">
        <v>15</v>
      </c>
      <c r="B3212" t="s">
        <v>16</v>
      </c>
      <c r="C3212" s="13">
        <v>42736</v>
      </c>
      <c r="D3212" s="13">
        <v>43100</v>
      </c>
      <c r="E3212" t="s">
        <v>17</v>
      </c>
      <c r="F3212">
        <v>0</v>
      </c>
      <c r="G3212" t="s">
        <v>18</v>
      </c>
      <c r="H3212">
        <v>1</v>
      </c>
      <c r="I3212" t="s">
        <v>19</v>
      </c>
      <c r="J3212">
        <v>322</v>
      </c>
      <c r="K3212" t="s">
        <v>143</v>
      </c>
      <c r="L3212" s="13">
        <v>43095</v>
      </c>
      <c r="M3212" t="s">
        <v>2227</v>
      </c>
      <c r="N3212" t="s">
        <v>2193</v>
      </c>
      <c r="O3212">
        <v>2192.85</v>
      </c>
      <c r="P3212" t="s">
        <v>34</v>
      </c>
    </row>
    <row r="3213" spans="1:16" x14ac:dyDescent="0.4">
      <c r="A3213" t="s">
        <v>15</v>
      </c>
      <c r="B3213" t="s">
        <v>16</v>
      </c>
      <c r="C3213" s="13">
        <v>42736</v>
      </c>
      <c r="D3213" s="13">
        <v>43100</v>
      </c>
      <c r="E3213" t="s">
        <v>17</v>
      </c>
      <c r="F3213">
        <v>0</v>
      </c>
      <c r="G3213" t="s">
        <v>18</v>
      </c>
      <c r="H3213">
        <v>1</v>
      </c>
      <c r="I3213" t="s">
        <v>19</v>
      </c>
      <c r="J3213">
        <v>322</v>
      </c>
      <c r="K3213" t="s">
        <v>143</v>
      </c>
      <c r="L3213" s="13">
        <v>43100</v>
      </c>
      <c r="M3213" t="s">
        <v>2228</v>
      </c>
      <c r="N3213" t="s">
        <v>2229</v>
      </c>
      <c r="O3213">
        <v>1</v>
      </c>
      <c r="P3213" t="s">
        <v>1481</v>
      </c>
    </row>
    <row r="3214" spans="1:16" x14ac:dyDescent="0.4">
      <c r="A3214" t="s">
        <v>15</v>
      </c>
      <c r="B3214" t="s">
        <v>16</v>
      </c>
      <c r="C3214" s="13">
        <v>42736</v>
      </c>
      <c r="D3214" s="13">
        <v>43100</v>
      </c>
      <c r="E3214" t="s">
        <v>17</v>
      </c>
      <c r="F3214">
        <v>0</v>
      </c>
      <c r="G3214" t="s">
        <v>18</v>
      </c>
      <c r="H3214">
        <v>1</v>
      </c>
      <c r="I3214" t="s">
        <v>19</v>
      </c>
      <c r="J3214">
        <v>323</v>
      </c>
      <c r="K3214" t="s">
        <v>181</v>
      </c>
      <c r="L3214" s="13">
        <v>42765</v>
      </c>
      <c r="M3214" t="s">
        <v>2230</v>
      </c>
      <c r="N3214" t="s">
        <v>2170</v>
      </c>
      <c r="O3214">
        <v>137.47999999999999</v>
      </c>
      <c r="P3214" t="s">
        <v>34</v>
      </c>
    </row>
    <row r="3215" spans="1:16" x14ac:dyDescent="0.4">
      <c r="A3215" t="s">
        <v>15</v>
      </c>
      <c r="B3215" t="s">
        <v>16</v>
      </c>
      <c r="C3215" s="13">
        <v>42736</v>
      </c>
      <c r="D3215" s="13">
        <v>43100</v>
      </c>
      <c r="E3215" t="s">
        <v>17</v>
      </c>
      <c r="F3215">
        <v>0</v>
      </c>
      <c r="G3215" t="s">
        <v>18</v>
      </c>
      <c r="H3215">
        <v>1</v>
      </c>
      <c r="I3215" t="s">
        <v>19</v>
      </c>
      <c r="J3215">
        <v>323</v>
      </c>
      <c r="K3215" t="s">
        <v>181</v>
      </c>
      <c r="L3215" s="13">
        <v>42793</v>
      </c>
      <c r="M3215" t="s">
        <v>2231</v>
      </c>
      <c r="N3215" t="s">
        <v>2172</v>
      </c>
      <c r="O3215">
        <v>137.47999999999999</v>
      </c>
      <c r="P3215" t="s">
        <v>34</v>
      </c>
    </row>
    <row r="3216" spans="1:16" x14ac:dyDescent="0.4">
      <c r="A3216" t="s">
        <v>15</v>
      </c>
      <c r="B3216" t="s">
        <v>16</v>
      </c>
      <c r="C3216" s="13">
        <v>42736</v>
      </c>
      <c r="D3216" s="13">
        <v>43100</v>
      </c>
      <c r="E3216" t="s">
        <v>17</v>
      </c>
      <c r="F3216">
        <v>0</v>
      </c>
      <c r="G3216" t="s">
        <v>18</v>
      </c>
      <c r="H3216">
        <v>1</v>
      </c>
      <c r="I3216" t="s">
        <v>19</v>
      </c>
      <c r="J3216">
        <v>323</v>
      </c>
      <c r="K3216" t="s">
        <v>181</v>
      </c>
      <c r="L3216" s="13">
        <v>42823</v>
      </c>
      <c r="M3216" t="s">
        <v>2232</v>
      </c>
      <c r="N3216" t="s">
        <v>2174</v>
      </c>
      <c r="O3216">
        <v>137.47999999999999</v>
      </c>
      <c r="P3216" t="s">
        <v>34</v>
      </c>
    </row>
    <row r="3217" spans="1:16" x14ac:dyDescent="0.4">
      <c r="A3217" t="s">
        <v>15</v>
      </c>
      <c r="B3217" t="s">
        <v>16</v>
      </c>
      <c r="C3217" s="13">
        <v>42736</v>
      </c>
      <c r="D3217" s="13">
        <v>43100</v>
      </c>
      <c r="E3217" t="s">
        <v>17</v>
      </c>
      <c r="F3217">
        <v>0</v>
      </c>
      <c r="G3217" t="s">
        <v>18</v>
      </c>
      <c r="H3217">
        <v>1</v>
      </c>
      <c r="I3217" t="s">
        <v>19</v>
      </c>
      <c r="J3217">
        <v>323</v>
      </c>
      <c r="K3217" t="s">
        <v>181</v>
      </c>
      <c r="L3217" s="13">
        <v>42852</v>
      </c>
      <c r="M3217" t="s">
        <v>2233</v>
      </c>
      <c r="N3217" t="s">
        <v>2176</v>
      </c>
      <c r="O3217">
        <v>137.47999999999999</v>
      </c>
      <c r="P3217" t="s">
        <v>34</v>
      </c>
    </row>
    <row r="3218" spans="1:16" x14ac:dyDescent="0.4">
      <c r="A3218" t="s">
        <v>15</v>
      </c>
      <c r="B3218" t="s">
        <v>16</v>
      </c>
      <c r="C3218" s="13">
        <v>42736</v>
      </c>
      <c r="D3218" s="13">
        <v>43100</v>
      </c>
      <c r="E3218" t="s">
        <v>17</v>
      </c>
      <c r="F3218">
        <v>0</v>
      </c>
      <c r="G3218" t="s">
        <v>18</v>
      </c>
      <c r="H3218">
        <v>1</v>
      </c>
      <c r="I3218" t="s">
        <v>19</v>
      </c>
      <c r="J3218">
        <v>323</v>
      </c>
      <c r="K3218" t="s">
        <v>181</v>
      </c>
      <c r="L3218" s="13">
        <v>42879</v>
      </c>
      <c r="M3218" t="s">
        <v>2234</v>
      </c>
      <c r="N3218" t="s">
        <v>2178</v>
      </c>
      <c r="O3218">
        <v>143.51</v>
      </c>
      <c r="P3218" t="s">
        <v>34</v>
      </c>
    </row>
    <row r="3219" spans="1:16" x14ac:dyDescent="0.4">
      <c r="A3219" t="s">
        <v>15</v>
      </c>
      <c r="B3219" t="s">
        <v>16</v>
      </c>
      <c r="C3219" s="13">
        <v>42736</v>
      </c>
      <c r="D3219" s="13">
        <v>43100</v>
      </c>
      <c r="E3219" t="s">
        <v>17</v>
      </c>
      <c r="F3219">
        <v>0</v>
      </c>
      <c r="G3219" t="s">
        <v>18</v>
      </c>
      <c r="H3219">
        <v>1</v>
      </c>
      <c r="I3219" t="s">
        <v>19</v>
      </c>
      <c r="J3219">
        <v>323</v>
      </c>
      <c r="K3219" t="s">
        <v>181</v>
      </c>
      <c r="L3219" s="13">
        <v>42915</v>
      </c>
      <c r="M3219" t="s">
        <v>2235</v>
      </c>
      <c r="N3219" t="s">
        <v>2180</v>
      </c>
      <c r="O3219">
        <v>138.43</v>
      </c>
      <c r="P3219" t="s">
        <v>34</v>
      </c>
    </row>
    <row r="3220" spans="1:16" x14ac:dyDescent="0.4">
      <c r="A3220" t="s">
        <v>15</v>
      </c>
      <c r="B3220" t="s">
        <v>16</v>
      </c>
      <c r="C3220" s="13">
        <v>42736</v>
      </c>
      <c r="D3220" s="13">
        <v>43100</v>
      </c>
      <c r="E3220" t="s">
        <v>17</v>
      </c>
      <c r="F3220">
        <v>0</v>
      </c>
      <c r="G3220" t="s">
        <v>18</v>
      </c>
      <c r="H3220">
        <v>1</v>
      </c>
      <c r="I3220" t="s">
        <v>19</v>
      </c>
      <c r="J3220">
        <v>323</v>
      </c>
      <c r="K3220" t="s">
        <v>181</v>
      </c>
      <c r="L3220" s="13">
        <v>42916</v>
      </c>
      <c r="M3220" t="s">
        <v>2236</v>
      </c>
      <c r="N3220" t="s">
        <v>731</v>
      </c>
      <c r="O3220">
        <v>-0.01</v>
      </c>
      <c r="P3220" t="s">
        <v>184</v>
      </c>
    </row>
    <row r="3221" spans="1:16" x14ac:dyDescent="0.4">
      <c r="A3221" t="s">
        <v>15</v>
      </c>
      <c r="B3221" t="s">
        <v>16</v>
      </c>
      <c r="C3221" s="13">
        <v>42736</v>
      </c>
      <c r="D3221" s="13">
        <v>43100</v>
      </c>
      <c r="E3221" t="s">
        <v>17</v>
      </c>
      <c r="F3221">
        <v>0</v>
      </c>
      <c r="G3221" t="s">
        <v>18</v>
      </c>
      <c r="H3221">
        <v>1</v>
      </c>
      <c r="I3221" t="s">
        <v>19</v>
      </c>
      <c r="J3221">
        <v>323</v>
      </c>
      <c r="K3221" t="s">
        <v>181</v>
      </c>
      <c r="L3221" s="13">
        <v>42944</v>
      </c>
      <c r="M3221" t="s">
        <v>2237</v>
      </c>
      <c r="N3221" t="s">
        <v>2182</v>
      </c>
      <c r="O3221">
        <v>124.12</v>
      </c>
      <c r="P3221" t="s">
        <v>34</v>
      </c>
    </row>
    <row r="3222" spans="1:16" x14ac:dyDescent="0.4">
      <c r="A3222" t="s">
        <v>15</v>
      </c>
      <c r="B3222" t="s">
        <v>16</v>
      </c>
      <c r="C3222" s="13">
        <v>42736</v>
      </c>
      <c r="D3222" s="13">
        <v>43100</v>
      </c>
      <c r="E3222" t="s">
        <v>17</v>
      </c>
      <c r="F3222">
        <v>0</v>
      </c>
      <c r="G3222" t="s">
        <v>18</v>
      </c>
      <c r="H3222">
        <v>1</v>
      </c>
      <c r="I3222" t="s">
        <v>19</v>
      </c>
      <c r="J3222">
        <v>323</v>
      </c>
      <c r="K3222" t="s">
        <v>181</v>
      </c>
      <c r="L3222" s="13">
        <v>42976</v>
      </c>
      <c r="M3222" t="s">
        <v>2238</v>
      </c>
      <c r="N3222" t="s">
        <v>2184</v>
      </c>
      <c r="O3222">
        <v>124.12</v>
      </c>
      <c r="P3222" t="s">
        <v>34</v>
      </c>
    </row>
    <row r="3223" spans="1:16" x14ac:dyDescent="0.4">
      <c r="A3223" t="s">
        <v>15</v>
      </c>
      <c r="B3223" t="s">
        <v>16</v>
      </c>
      <c r="C3223" s="13">
        <v>42736</v>
      </c>
      <c r="D3223" s="13">
        <v>43100</v>
      </c>
      <c r="E3223" t="s">
        <v>17</v>
      </c>
      <c r="F3223">
        <v>0</v>
      </c>
      <c r="G3223" t="s">
        <v>18</v>
      </c>
      <c r="H3223">
        <v>1</v>
      </c>
      <c r="I3223" t="s">
        <v>19</v>
      </c>
      <c r="J3223">
        <v>323</v>
      </c>
      <c r="K3223" t="s">
        <v>181</v>
      </c>
      <c r="L3223" s="13">
        <v>43006</v>
      </c>
      <c r="M3223" t="s">
        <v>2239</v>
      </c>
      <c r="N3223" t="s">
        <v>2186</v>
      </c>
      <c r="O3223">
        <v>130.81</v>
      </c>
      <c r="P3223" t="s">
        <v>34</v>
      </c>
    </row>
    <row r="3224" spans="1:16" x14ac:dyDescent="0.4">
      <c r="A3224" t="s">
        <v>15</v>
      </c>
      <c r="B3224" t="s">
        <v>16</v>
      </c>
      <c r="C3224" s="13">
        <v>42736</v>
      </c>
      <c r="D3224" s="13">
        <v>43100</v>
      </c>
      <c r="E3224" t="s">
        <v>17</v>
      </c>
      <c r="F3224">
        <v>0</v>
      </c>
      <c r="G3224" t="s">
        <v>18</v>
      </c>
      <c r="H3224">
        <v>1</v>
      </c>
      <c r="I3224" t="s">
        <v>19</v>
      </c>
      <c r="J3224">
        <v>323</v>
      </c>
      <c r="K3224" t="s">
        <v>181</v>
      </c>
      <c r="L3224" s="13">
        <v>43038</v>
      </c>
      <c r="M3224" t="s">
        <v>2240</v>
      </c>
      <c r="N3224" t="s">
        <v>2188</v>
      </c>
      <c r="O3224">
        <v>70.7</v>
      </c>
      <c r="P3224" t="s">
        <v>34</v>
      </c>
    </row>
    <row r="3225" spans="1:16" x14ac:dyDescent="0.4">
      <c r="A3225" t="s">
        <v>15</v>
      </c>
      <c r="B3225" t="s">
        <v>16</v>
      </c>
      <c r="C3225" s="13">
        <v>42736</v>
      </c>
      <c r="D3225" s="13">
        <v>43100</v>
      </c>
      <c r="E3225" t="s">
        <v>17</v>
      </c>
      <c r="F3225">
        <v>0</v>
      </c>
      <c r="G3225" t="s">
        <v>18</v>
      </c>
      <c r="H3225">
        <v>1</v>
      </c>
      <c r="I3225" t="s">
        <v>19</v>
      </c>
      <c r="J3225">
        <v>323</v>
      </c>
      <c r="K3225" t="s">
        <v>181</v>
      </c>
      <c r="L3225" s="13">
        <v>43039</v>
      </c>
      <c r="M3225" t="s">
        <v>2241</v>
      </c>
      <c r="N3225" t="s">
        <v>731</v>
      </c>
      <c r="O3225">
        <v>0.01</v>
      </c>
      <c r="P3225" t="s">
        <v>184</v>
      </c>
    </row>
    <row r="3226" spans="1:16" x14ac:dyDescent="0.4">
      <c r="A3226" t="s">
        <v>15</v>
      </c>
      <c r="B3226" t="s">
        <v>16</v>
      </c>
      <c r="C3226" s="13">
        <v>42736</v>
      </c>
      <c r="D3226" s="13">
        <v>43100</v>
      </c>
      <c r="E3226" t="s">
        <v>17</v>
      </c>
      <c r="F3226">
        <v>0</v>
      </c>
      <c r="G3226" t="s">
        <v>18</v>
      </c>
      <c r="H3226">
        <v>1</v>
      </c>
      <c r="I3226" t="s">
        <v>19</v>
      </c>
      <c r="J3226">
        <v>323</v>
      </c>
      <c r="K3226" t="s">
        <v>181</v>
      </c>
      <c r="L3226" s="13">
        <v>43068</v>
      </c>
      <c r="M3226" t="s">
        <v>2242</v>
      </c>
      <c r="N3226" t="s">
        <v>2191</v>
      </c>
      <c r="O3226">
        <v>140.72999999999999</v>
      </c>
      <c r="P3226" t="s">
        <v>34</v>
      </c>
    </row>
    <row r="3227" spans="1:16" x14ac:dyDescent="0.4">
      <c r="A3227" t="s">
        <v>15</v>
      </c>
      <c r="B3227" t="s">
        <v>16</v>
      </c>
      <c r="C3227" s="13">
        <v>42736</v>
      </c>
      <c r="D3227" s="13">
        <v>43100</v>
      </c>
      <c r="E3227" t="s">
        <v>17</v>
      </c>
      <c r="F3227">
        <v>0</v>
      </c>
      <c r="G3227" t="s">
        <v>18</v>
      </c>
      <c r="H3227">
        <v>1</v>
      </c>
      <c r="I3227" t="s">
        <v>19</v>
      </c>
      <c r="J3227">
        <v>323</v>
      </c>
      <c r="K3227" t="s">
        <v>181</v>
      </c>
      <c r="L3227" s="13">
        <v>43095</v>
      </c>
      <c r="M3227" t="s">
        <v>2243</v>
      </c>
      <c r="N3227" t="s">
        <v>2193</v>
      </c>
      <c r="O3227">
        <v>273.02999999999997</v>
      </c>
      <c r="P3227" t="s">
        <v>34</v>
      </c>
    </row>
    <row r="3228" spans="1:16" x14ac:dyDescent="0.4">
      <c r="A3228" t="s">
        <v>15</v>
      </c>
      <c r="B3228" t="s">
        <v>16</v>
      </c>
      <c r="C3228" s="13">
        <v>42736</v>
      </c>
      <c r="D3228" s="13">
        <v>43100</v>
      </c>
      <c r="E3228" t="s">
        <v>17</v>
      </c>
      <c r="F3228">
        <v>0</v>
      </c>
      <c r="G3228" t="s">
        <v>18</v>
      </c>
      <c r="H3228">
        <v>1</v>
      </c>
      <c r="I3228" t="s">
        <v>19</v>
      </c>
      <c r="J3228">
        <v>326</v>
      </c>
      <c r="K3228" t="s">
        <v>199</v>
      </c>
      <c r="L3228" s="13">
        <v>43100</v>
      </c>
      <c r="M3228" t="s">
        <v>2244</v>
      </c>
      <c r="N3228" t="s">
        <v>753</v>
      </c>
      <c r="O3228">
        <v>2406</v>
      </c>
      <c r="P3228" t="s">
        <v>202</v>
      </c>
    </row>
    <row r="3229" spans="1:16" x14ac:dyDescent="0.4">
      <c r="A3229" t="s">
        <v>15</v>
      </c>
      <c r="B3229" t="s">
        <v>16</v>
      </c>
      <c r="C3229" s="13">
        <v>42736</v>
      </c>
      <c r="D3229" s="13">
        <v>43100</v>
      </c>
      <c r="E3229" t="s">
        <v>17</v>
      </c>
      <c r="F3229">
        <v>0</v>
      </c>
      <c r="G3229" t="s">
        <v>18</v>
      </c>
      <c r="H3229">
        <v>1</v>
      </c>
      <c r="I3229" t="s">
        <v>19</v>
      </c>
      <c r="J3229">
        <v>327</v>
      </c>
      <c r="K3229" t="s">
        <v>754</v>
      </c>
      <c r="L3229" s="13">
        <v>42736</v>
      </c>
      <c r="M3229" t="s">
        <v>2245</v>
      </c>
      <c r="N3229" t="s">
        <v>106</v>
      </c>
      <c r="O3229">
        <v>146.15</v>
      </c>
      <c r="P3229" t="s">
        <v>756</v>
      </c>
    </row>
    <row r="3230" spans="1:16" x14ac:dyDescent="0.4">
      <c r="A3230" t="s">
        <v>15</v>
      </c>
      <c r="B3230" t="s">
        <v>16</v>
      </c>
      <c r="C3230" s="13">
        <v>42736</v>
      </c>
      <c r="D3230" s="13">
        <v>43100</v>
      </c>
      <c r="E3230" t="s">
        <v>17</v>
      </c>
      <c r="F3230">
        <v>0</v>
      </c>
      <c r="G3230" t="s">
        <v>18</v>
      </c>
      <c r="H3230">
        <v>1</v>
      </c>
      <c r="I3230" t="s">
        <v>19</v>
      </c>
      <c r="J3230">
        <v>335</v>
      </c>
      <c r="K3230" t="s">
        <v>1876</v>
      </c>
      <c r="L3230" s="13">
        <v>42754</v>
      </c>
      <c r="M3230" t="s">
        <v>2246</v>
      </c>
      <c r="N3230" t="s">
        <v>659</v>
      </c>
      <c r="O3230">
        <v>87.6</v>
      </c>
      <c r="P3230" t="s">
        <v>103</v>
      </c>
    </row>
    <row r="3231" spans="1:16" x14ac:dyDescent="0.4">
      <c r="A3231" t="s">
        <v>15</v>
      </c>
      <c r="B3231" t="s">
        <v>16</v>
      </c>
      <c r="C3231" s="13">
        <v>42736</v>
      </c>
      <c r="D3231" s="13">
        <v>43100</v>
      </c>
      <c r="E3231" t="s">
        <v>17</v>
      </c>
      <c r="F3231">
        <v>0</v>
      </c>
      <c r="G3231" t="s">
        <v>18</v>
      </c>
      <c r="H3231">
        <v>1</v>
      </c>
      <c r="I3231" t="s">
        <v>19</v>
      </c>
      <c r="J3231">
        <v>337</v>
      </c>
      <c r="K3231" t="s">
        <v>203</v>
      </c>
      <c r="L3231" s="13">
        <v>42765</v>
      </c>
      <c r="M3231" t="s">
        <v>2248</v>
      </c>
      <c r="N3231" t="s">
        <v>2170</v>
      </c>
      <c r="O3231">
        <v>34.229999999999997</v>
      </c>
      <c r="P3231" t="s">
        <v>34</v>
      </c>
    </row>
    <row r="3232" spans="1:16" x14ac:dyDescent="0.4">
      <c r="A3232" t="s">
        <v>15</v>
      </c>
      <c r="B3232" t="s">
        <v>16</v>
      </c>
      <c r="C3232" s="13">
        <v>42736</v>
      </c>
      <c r="D3232" s="13">
        <v>43100</v>
      </c>
      <c r="E3232" t="s">
        <v>17</v>
      </c>
      <c r="F3232">
        <v>0</v>
      </c>
      <c r="G3232" t="s">
        <v>18</v>
      </c>
      <c r="H3232">
        <v>1</v>
      </c>
      <c r="I3232" t="s">
        <v>19</v>
      </c>
      <c r="J3232">
        <v>337</v>
      </c>
      <c r="K3232" t="s">
        <v>203</v>
      </c>
      <c r="L3232" s="13">
        <v>42765</v>
      </c>
      <c r="M3232" t="s">
        <v>2247</v>
      </c>
      <c r="N3232" t="s">
        <v>2170</v>
      </c>
      <c r="O3232">
        <v>14.26</v>
      </c>
      <c r="P3232" t="s">
        <v>34</v>
      </c>
    </row>
    <row r="3233" spans="1:16" x14ac:dyDescent="0.4">
      <c r="A3233" t="s">
        <v>15</v>
      </c>
      <c r="B3233" t="s">
        <v>16</v>
      </c>
      <c r="C3233" s="13">
        <v>42736</v>
      </c>
      <c r="D3233" s="13">
        <v>43100</v>
      </c>
      <c r="E3233" t="s">
        <v>17</v>
      </c>
      <c r="F3233">
        <v>0</v>
      </c>
      <c r="G3233" t="s">
        <v>18</v>
      </c>
      <c r="H3233">
        <v>1</v>
      </c>
      <c r="I3233" t="s">
        <v>19</v>
      </c>
      <c r="J3233">
        <v>337</v>
      </c>
      <c r="K3233" t="s">
        <v>203</v>
      </c>
      <c r="L3233" s="13">
        <v>42766</v>
      </c>
      <c r="M3233" t="s">
        <v>2249</v>
      </c>
      <c r="N3233" t="s">
        <v>1542</v>
      </c>
      <c r="O3233">
        <v>-0.01</v>
      </c>
      <c r="P3233" t="s">
        <v>205</v>
      </c>
    </row>
    <row r="3234" spans="1:16" x14ac:dyDescent="0.4">
      <c r="A3234" t="s">
        <v>15</v>
      </c>
      <c r="B3234" t="s">
        <v>16</v>
      </c>
      <c r="C3234" s="13">
        <v>42736</v>
      </c>
      <c r="D3234" s="13">
        <v>43100</v>
      </c>
      <c r="E3234" t="s">
        <v>17</v>
      </c>
      <c r="F3234">
        <v>0</v>
      </c>
      <c r="G3234" t="s">
        <v>18</v>
      </c>
      <c r="H3234">
        <v>1</v>
      </c>
      <c r="I3234" t="s">
        <v>19</v>
      </c>
      <c r="J3234">
        <v>337</v>
      </c>
      <c r="K3234" t="s">
        <v>203</v>
      </c>
      <c r="L3234" s="13">
        <v>42793</v>
      </c>
      <c r="M3234" t="s">
        <v>2250</v>
      </c>
      <c r="N3234" t="s">
        <v>2172</v>
      </c>
      <c r="O3234">
        <v>14.26</v>
      </c>
      <c r="P3234" t="s">
        <v>34</v>
      </c>
    </row>
    <row r="3235" spans="1:16" x14ac:dyDescent="0.4">
      <c r="A3235" t="s">
        <v>15</v>
      </c>
      <c r="B3235" t="s">
        <v>16</v>
      </c>
      <c r="C3235" s="13">
        <v>42736</v>
      </c>
      <c r="D3235" s="13">
        <v>43100</v>
      </c>
      <c r="E3235" t="s">
        <v>17</v>
      </c>
      <c r="F3235">
        <v>0</v>
      </c>
      <c r="G3235" t="s">
        <v>18</v>
      </c>
      <c r="H3235">
        <v>1</v>
      </c>
      <c r="I3235" t="s">
        <v>19</v>
      </c>
      <c r="J3235">
        <v>337</v>
      </c>
      <c r="K3235" t="s">
        <v>203</v>
      </c>
      <c r="L3235" s="13">
        <v>42793</v>
      </c>
      <c r="M3235" t="s">
        <v>2251</v>
      </c>
      <c r="N3235" t="s">
        <v>2172</v>
      </c>
      <c r="O3235">
        <v>34.229999999999997</v>
      </c>
      <c r="P3235" t="s">
        <v>34</v>
      </c>
    </row>
    <row r="3236" spans="1:16" x14ac:dyDescent="0.4">
      <c r="A3236" t="s">
        <v>15</v>
      </c>
      <c r="B3236" t="s">
        <v>16</v>
      </c>
      <c r="C3236" s="13">
        <v>42736</v>
      </c>
      <c r="D3236" s="13">
        <v>43100</v>
      </c>
      <c r="E3236" t="s">
        <v>17</v>
      </c>
      <c r="F3236">
        <v>0</v>
      </c>
      <c r="G3236" t="s">
        <v>18</v>
      </c>
      <c r="H3236">
        <v>1</v>
      </c>
      <c r="I3236" t="s">
        <v>19</v>
      </c>
      <c r="J3236">
        <v>337</v>
      </c>
      <c r="K3236" t="s">
        <v>203</v>
      </c>
      <c r="L3236" s="13">
        <v>42794</v>
      </c>
      <c r="M3236" t="s">
        <v>2252</v>
      </c>
      <c r="N3236" t="s">
        <v>1542</v>
      </c>
      <c r="O3236">
        <v>-0.01</v>
      </c>
      <c r="P3236" t="s">
        <v>205</v>
      </c>
    </row>
    <row r="3237" spans="1:16" x14ac:dyDescent="0.4">
      <c r="A3237" t="s">
        <v>15</v>
      </c>
      <c r="B3237" t="s">
        <v>16</v>
      </c>
      <c r="C3237" s="13">
        <v>42736</v>
      </c>
      <c r="D3237" s="13">
        <v>43100</v>
      </c>
      <c r="E3237" t="s">
        <v>17</v>
      </c>
      <c r="F3237">
        <v>0</v>
      </c>
      <c r="G3237" t="s">
        <v>18</v>
      </c>
      <c r="H3237">
        <v>1</v>
      </c>
      <c r="I3237" t="s">
        <v>19</v>
      </c>
      <c r="J3237">
        <v>337</v>
      </c>
      <c r="K3237" t="s">
        <v>203</v>
      </c>
      <c r="L3237" s="13">
        <v>42823</v>
      </c>
      <c r="M3237" t="s">
        <v>2253</v>
      </c>
      <c r="N3237" t="s">
        <v>2174</v>
      </c>
      <c r="O3237">
        <v>34.229999999999997</v>
      </c>
      <c r="P3237" t="s">
        <v>34</v>
      </c>
    </row>
    <row r="3238" spans="1:16" x14ac:dyDescent="0.4">
      <c r="A3238" t="s">
        <v>15</v>
      </c>
      <c r="B3238" t="s">
        <v>16</v>
      </c>
      <c r="C3238" s="13">
        <v>42736</v>
      </c>
      <c r="D3238" s="13">
        <v>43100</v>
      </c>
      <c r="E3238" t="s">
        <v>17</v>
      </c>
      <c r="F3238">
        <v>0</v>
      </c>
      <c r="G3238" t="s">
        <v>18</v>
      </c>
      <c r="H3238">
        <v>1</v>
      </c>
      <c r="I3238" t="s">
        <v>19</v>
      </c>
      <c r="J3238">
        <v>337</v>
      </c>
      <c r="K3238" t="s">
        <v>203</v>
      </c>
      <c r="L3238" s="13">
        <v>42823</v>
      </c>
      <c r="M3238" t="s">
        <v>2254</v>
      </c>
      <c r="N3238" t="s">
        <v>2174</v>
      </c>
      <c r="O3238">
        <v>14.26</v>
      </c>
      <c r="P3238" t="s">
        <v>34</v>
      </c>
    </row>
    <row r="3239" spans="1:16" x14ac:dyDescent="0.4">
      <c r="A3239" t="s">
        <v>15</v>
      </c>
      <c r="B3239" t="s">
        <v>16</v>
      </c>
      <c r="C3239" s="13">
        <v>42736</v>
      </c>
      <c r="D3239" s="13">
        <v>43100</v>
      </c>
      <c r="E3239" t="s">
        <v>17</v>
      </c>
      <c r="F3239">
        <v>0</v>
      </c>
      <c r="G3239" t="s">
        <v>18</v>
      </c>
      <c r="H3239">
        <v>1</v>
      </c>
      <c r="I3239" t="s">
        <v>19</v>
      </c>
      <c r="J3239">
        <v>337</v>
      </c>
      <c r="K3239" t="s">
        <v>203</v>
      </c>
      <c r="L3239" s="13">
        <v>42825</v>
      </c>
      <c r="M3239" t="s">
        <v>2255</v>
      </c>
      <c r="N3239" t="s">
        <v>1542</v>
      </c>
      <c r="O3239">
        <v>-0.01</v>
      </c>
      <c r="P3239" t="s">
        <v>205</v>
      </c>
    </row>
    <row r="3240" spans="1:16" x14ac:dyDescent="0.4">
      <c r="A3240" t="s">
        <v>15</v>
      </c>
      <c r="B3240" t="s">
        <v>16</v>
      </c>
      <c r="C3240" s="13">
        <v>42736</v>
      </c>
      <c r="D3240" s="13">
        <v>43100</v>
      </c>
      <c r="E3240" t="s">
        <v>17</v>
      </c>
      <c r="F3240">
        <v>0</v>
      </c>
      <c r="G3240" t="s">
        <v>18</v>
      </c>
      <c r="H3240">
        <v>1</v>
      </c>
      <c r="I3240" t="s">
        <v>19</v>
      </c>
      <c r="J3240">
        <v>337</v>
      </c>
      <c r="K3240" t="s">
        <v>203</v>
      </c>
      <c r="L3240" s="13">
        <v>42852</v>
      </c>
      <c r="M3240" t="s">
        <v>2256</v>
      </c>
      <c r="N3240" t="s">
        <v>2176</v>
      </c>
      <c r="O3240">
        <v>14.26</v>
      </c>
      <c r="P3240" t="s">
        <v>34</v>
      </c>
    </row>
    <row r="3241" spans="1:16" x14ac:dyDescent="0.4">
      <c r="A3241" t="s">
        <v>15</v>
      </c>
      <c r="B3241" t="s">
        <v>16</v>
      </c>
      <c r="C3241" s="13">
        <v>42736</v>
      </c>
      <c r="D3241" s="13">
        <v>43100</v>
      </c>
      <c r="E3241" t="s">
        <v>17</v>
      </c>
      <c r="F3241">
        <v>0</v>
      </c>
      <c r="G3241" t="s">
        <v>18</v>
      </c>
      <c r="H3241">
        <v>1</v>
      </c>
      <c r="I3241" t="s">
        <v>19</v>
      </c>
      <c r="J3241">
        <v>337</v>
      </c>
      <c r="K3241" t="s">
        <v>203</v>
      </c>
      <c r="L3241" s="13">
        <v>42852</v>
      </c>
      <c r="M3241" t="s">
        <v>2257</v>
      </c>
      <c r="N3241" t="s">
        <v>2176</v>
      </c>
      <c r="O3241">
        <v>34.229999999999997</v>
      </c>
      <c r="P3241" t="s">
        <v>34</v>
      </c>
    </row>
    <row r="3242" spans="1:16" x14ac:dyDescent="0.4">
      <c r="A3242" t="s">
        <v>15</v>
      </c>
      <c r="B3242" t="s">
        <v>16</v>
      </c>
      <c r="C3242" s="13">
        <v>42736</v>
      </c>
      <c r="D3242" s="13">
        <v>43100</v>
      </c>
      <c r="E3242" t="s">
        <v>17</v>
      </c>
      <c r="F3242">
        <v>0</v>
      </c>
      <c r="G3242" t="s">
        <v>18</v>
      </c>
      <c r="H3242">
        <v>1</v>
      </c>
      <c r="I3242" t="s">
        <v>19</v>
      </c>
      <c r="J3242">
        <v>337</v>
      </c>
      <c r="K3242" t="s">
        <v>203</v>
      </c>
      <c r="L3242" s="13">
        <v>42855</v>
      </c>
      <c r="M3242" t="s">
        <v>2258</v>
      </c>
      <c r="N3242" t="s">
        <v>1542</v>
      </c>
      <c r="O3242">
        <v>-0.01</v>
      </c>
      <c r="P3242" t="s">
        <v>205</v>
      </c>
    </row>
    <row r="3243" spans="1:16" x14ac:dyDescent="0.4">
      <c r="A3243" t="s">
        <v>15</v>
      </c>
      <c r="B3243" t="s">
        <v>16</v>
      </c>
      <c r="C3243" s="13">
        <v>42736</v>
      </c>
      <c r="D3243" s="13">
        <v>43100</v>
      </c>
      <c r="E3243" t="s">
        <v>17</v>
      </c>
      <c r="F3243">
        <v>0</v>
      </c>
      <c r="G3243" t="s">
        <v>18</v>
      </c>
      <c r="H3243">
        <v>1</v>
      </c>
      <c r="I3243" t="s">
        <v>19</v>
      </c>
      <c r="J3243">
        <v>337</v>
      </c>
      <c r="K3243" t="s">
        <v>203</v>
      </c>
      <c r="L3243" s="13">
        <v>42879</v>
      </c>
      <c r="M3243" t="s">
        <v>2260</v>
      </c>
      <c r="N3243" t="s">
        <v>2178</v>
      </c>
      <c r="O3243">
        <v>14.89</v>
      </c>
      <c r="P3243" t="s">
        <v>34</v>
      </c>
    </row>
    <row r="3244" spans="1:16" x14ac:dyDescent="0.4">
      <c r="A3244" t="s">
        <v>15</v>
      </c>
      <c r="B3244" t="s">
        <v>16</v>
      </c>
      <c r="C3244" s="13">
        <v>42736</v>
      </c>
      <c r="D3244" s="13">
        <v>43100</v>
      </c>
      <c r="E3244" t="s">
        <v>17</v>
      </c>
      <c r="F3244">
        <v>0</v>
      </c>
      <c r="G3244" t="s">
        <v>18</v>
      </c>
      <c r="H3244">
        <v>1</v>
      </c>
      <c r="I3244" t="s">
        <v>19</v>
      </c>
      <c r="J3244">
        <v>337</v>
      </c>
      <c r="K3244" t="s">
        <v>203</v>
      </c>
      <c r="L3244" s="13">
        <v>42879</v>
      </c>
      <c r="M3244" t="s">
        <v>2259</v>
      </c>
      <c r="N3244" t="s">
        <v>2178</v>
      </c>
      <c r="O3244">
        <v>34.229999999999997</v>
      </c>
      <c r="P3244" t="s">
        <v>34</v>
      </c>
    </row>
    <row r="3245" spans="1:16" x14ac:dyDescent="0.4">
      <c r="A3245" t="s">
        <v>15</v>
      </c>
      <c r="B3245" t="s">
        <v>16</v>
      </c>
      <c r="C3245" s="13">
        <v>42736</v>
      </c>
      <c r="D3245" s="13">
        <v>43100</v>
      </c>
      <c r="E3245" t="s">
        <v>17</v>
      </c>
      <c r="F3245">
        <v>0</v>
      </c>
      <c r="G3245" t="s">
        <v>18</v>
      </c>
      <c r="H3245">
        <v>1</v>
      </c>
      <c r="I3245" t="s">
        <v>19</v>
      </c>
      <c r="J3245">
        <v>337</v>
      </c>
      <c r="K3245" t="s">
        <v>203</v>
      </c>
      <c r="L3245" s="13">
        <v>42886</v>
      </c>
      <c r="M3245" t="s">
        <v>2261</v>
      </c>
      <c r="N3245" t="s">
        <v>1542</v>
      </c>
      <c r="O3245">
        <v>-0.01</v>
      </c>
      <c r="P3245" t="s">
        <v>205</v>
      </c>
    </row>
    <row r="3246" spans="1:16" x14ac:dyDescent="0.4">
      <c r="A3246" t="s">
        <v>15</v>
      </c>
      <c r="B3246" t="s">
        <v>16</v>
      </c>
      <c r="C3246" s="13">
        <v>42736</v>
      </c>
      <c r="D3246" s="13">
        <v>43100</v>
      </c>
      <c r="E3246" t="s">
        <v>17</v>
      </c>
      <c r="F3246">
        <v>0</v>
      </c>
      <c r="G3246" t="s">
        <v>18</v>
      </c>
      <c r="H3246">
        <v>1</v>
      </c>
      <c r="I3246" t="s">
        <v>19</v>
      </c>
      <c r="J3246">
        <v>337</v>
      </c>
      <c r="K3246" t="s">
        <v>203</v>
      </c>
      <c r="L3246" s="13">
        <v>42886</v>
      </c>
      <c r="M3246" t="s">
        <v>2262</v>
      </c>
      <c r="N3246" t="s">
        <v>1547</v>
      </c>
      <c r="O3246">
        <v>-0.01</v>
      </c>
      <c r="P3246" t="s">
        <v>205</v>
      </c>
    </row>
    <row r="3247" spans="1:16" x14ac:dyDescent="0.4">
      <c r="A3247" t="s">
        <v>15</v>
      </c>
      <c r="B3247" t="s">
        <v>16</v>
      </c>
      <c r="C3247" s="13">
        <v>42736</v>
      </c>
      <c r="D3247" s="13">
        <v>43100</v>
      </c>
      <c r="E3247" t="s">
        <v>17</v>
      </c>
      <c r="F3247">
        <v>0</v>
      </c>
      <c r="G3247" t="s">
        <v>18</v>
      </c>
      <c r="H3247">
        <v>1</v>
      </c>
      <c r="I3247" t="s">
        <v>19</v>
      </c>
      <c r="J3247">
        <v>337</v>
      </c>
      <c r="K3247" t="s">
        <v>203</v>
      </c>
      <c r="L3247" s="13">
        <v>42915</v>
      </c>
      <c r="M3247" t="s">
        <v>2263</v>
      </c>
      <c r="N3247" t="s">
        <v>2180</v>
      </c>
      <c r="O3247">
        <v>14.36</v>
      </c>
      <c r="P3247" t="s">
        <v>34</v>
      </c>
    </row>
    <row r="3248" spans="1:16" x14ac:dyDescent="0.4">
      <c r="A3248" t="s">
        <v>15</v>
      </c>
      <c r="B3248" t="s">
        <v>16</v>
      </c>
      <c r="C3248" s="13">
        <v>42736</v>
      </c>
      <c r="D3248" s="13">
        <v>43100</v>
      </c>
      <c r="E3248" t="s">
        <v>17</v>
      </c>
      <c r="F3248">
        <v>0</v>
      </c>
      <c r="G3248" t="s">
        <v>18</v>
      </c>
      <c r="H3248">
        <v>1</v>
      </c>
      <c r="I3248" t="s">
        <v>19</v>
      </c>
      <c r="J3248">
        <v>337</v>
      </c>
      <c r="K3248" t="s">
        <v>203</v>
      </c>
      <c r="L3248" s="13">
        <v>42915</v>
      </c>
      <c r="M3248" t="s">
        <v>2264</v>
      </c>
      <c r="N3248" t="s">
        <v>2180</v>
      </c>
      <c r="O3248">
        <v>34.229999999999997</v>
      </c>
      <c r="P3248" t="s">
        <v>34</v>
      </c>
    </row>
    <row r="3249" spans="1:16" x14ac:dyDescent="0.4">
      <c r="A3249" t="s">
        <v>15</v>
      </c>
      <c r="B3249" t="s">
        <v>16</v>
      </c>
      <c r="C3249" s="13">
        <v>42736</v>
      </c>
      <c r="D3249" s="13">
        <v>43100</v>
      </c>
      <c r="E3249" t="s">
        <v>17</v>
      </c>
      <c r="F3249">
        <v>0</v>
      </c>
      <c r="G3249" t="s">
        <v>18</v>
      </c>
      <c r="H3249">
        <v>1</v>
      </c>
      <c r="I3249" t="s">
        <v>19</v>
      </c>
      <c r="J3249">
        <v>337</v>
      </c>
      <c r="K3249" t="s">
        <v>203</v>
      </c>
      <c r="L3249" s="13">
        <v>42916</v>
      </c>
      <c r="M3249" t="s">
        <v>2265</v>
      </c>
      <c r="N3249" t="s">
        <v>1542</v>
      </c>
      <c r="O3249">
        <v>-0.01</v>
      </c>
      <c r="P3249" t="s">
        <v>205</v>
      </c>
    </row>
    <row r="3250" spans="1:16" x14ac:dyDescent="0.4">
      <c r="A3250" t="s">
        <v>15</v>
      </c>
      <c r="B3250" t="s">
        <v>16</v>
      </c>
      <c r="C3250" s="13">
        <v>42736</v>
      </c>
      <c r="D3250" s="13">
        <v>43100</v>
      </c>
      <c r="E3250" t="s">
        <v>17</v>
      </c>
      <c r="F3250">
        <v>0</v>
      </c>
      <c r="G3250" t="s">
        <v>18</v>
      </c>
      <c r="H3250">
        <v>1</v>
      </c>
      <c r="I3250" t="s">
        <v>19</v>
      </c>
      <c r="J3250">
        <v>337</v>
      </c>
      <c r="K3250" t="s">
        <v>203</v>
      </c>
      <c r="L3250" s="13">
        <v>42944</v>
      </c>
      <c r="M3250" t="s">
        <v>2267</v>
      </c>
      <c r="N3250" t="s">
        <v>2182</v>
      </c>
      <c r="O3250">
        <v>34.229999999999997</v>
      </c>
      <c r="P3250" t="s">
        <v>34</v>
      </c>
    </row>
    <row r="3251" spans="1:16" x14ac:dyDescent="0.4">
      <c r="A3251" t="s">
        <v>15</v>
      </c>
      <c r="B3251" t="s">
        <v>16</v>
      </c>
      <c r="C3251" s="13">
        <v>42736</v>
      </c>
      <c r="D3251" s="13">
        <v>43100</v>
      </c>
      <c r="E3251" t="s">
        <v>17</v>
      </c>
      <c r="F3251">
        <v>0</v>
      </c>
      <c r="G3251" t="s">
        <v>18</v>
      </c>
      <c r="H3251">
        <v>1</v>
      </c>
      <c r="I3251" t="s">
        <v>19</v>
      </c>
      <c r="J3251">
        <v>337</v>
      </c>
      <c r="K3251" t="s">
        <v>203</v>
      </c>
      <c r="L3251" s="13">
        <v>42944</v>
      </c>
      <c r="M3251" t="s">
        <v>2266</v>
      </c>
      <c r="N3251" t="s">
        <v>2182</v>
      </c>
      <c r="O3251">
        <v>12.88</v>
      </c>
      <c r="P3251" t="s">
        <v>34</v>
      </c>
    </row>
    <row r="3252" spans="1:16" x14ac:dyDescent="0.4">
      <c r="A3252" t="s">
        <v>15</v>
      </c>
      <c r="B3252" t="s">
        <v>16</v>
      </c>
      <c r="C3252" s="13">
        <v>42736</v>
      </c>
      <c r="D3252" s="13">
        <v>43100</v>
      </c>
      <c r="E3252" t="s">
        <v>17</v>
      </c>
      <c r="F3252">
        <v>0</v>
      </c>
      <c r="G3252" t="s">
        <v>18</v>
      </c>
      <c r="H3252">
        <v>1</v>
      </c>
      <c r="I3252" t="s">
        <v>19</v>
      </c>
      <c r="J3252">
        <v>337</v>
      </c>
      <c r="K3252" t="s">
        <v>203</v>
      </c>
      <c r="L3252" s="13">
        <v>42947</v>
      </c>
      <c r="M3252" t="s">
        <v>2269</v>
      </c>
      <c r="N3252" t="s">
        <v>1547</v>
      </c>
      <c r="O3252">
        <v>-0.01</v>
      </c>
      <c r="P3252" t="s">
        <v>205</v>
      </c>
    </row>
    <row r="3253" spans="1:16" x14ac:dyDescent="0.4">
      <c r="A3253" t="s">
        <v>15</v>
      </c>
      <c r="B3253" t="s">
        <v>16</v>
      </c>
      <c r="C3253" s="13">
        <v>42736</v>
      </c>
      <c r="D3253" s="13">
        <v>43100</v>
      </c>
      <c r="E3253" t="s">
        <v>17</v>
      </c>
      <c r="F3253">
        <v>0</v>
      </c>
      <c r="G3253" t="s">
        <v>18</v>
      </c>
      <c r="H3253">
        <v>1</v>
      </c>
      <c r="I3253" t="s">
        <v>19</v>
      </c>
      <c r="J3253">
        <v>337</v>
      </c>
      <c r="K3253" t="s">
        <v>203</v>
      </c>
      <c r="L3253" s="13">
        <v>42947</v>
      </c>
      <c r="M3253" t="s">
        <v>2268</v>
      </c>
      <c r="N3253" t="s">
        <v>1542</v>
      </c>
      <c r="O3253">
        <v>-0.01</v>
      </c>
      <c r="P3253" t="s">
        <v>205</v>
      </c>
    </row>
    <row r="3254" spans="1:16" x14ac:dyDescent="0.4">
      <c r="A3254" t="s">
        <v>15</v>
      </c>
      <c r="B3254" t="s">
        <v>16</v>
      </c>
      <c r="C3254" s="13">
        <v>42736</v>
      </c>
      <c r="D3254" s="13">
        <v>43100</v>
      </c>
      <c r="E3254" t="s">
        <v>17</v>
      </c>
      <c r="F3254">
        <v>0</v>
      </c>
      <c r="G3254" t="s">
        <v>18</v>
      </c>
      <c r="H3254">
        <v>1</v>
      </c>
      <c r="I3254" t="s">
        <v>19</v>
      </c>
      <c r="J3254">
        <v>337</v>
      </c>
      <c r="K3254" t="s">
        <v>203</v>
      </c>
      <c r="L3254" s="13">
        <v>42976</v>
      </c>
      <c r="M3254" t="s">
        <v>2270</v>
      </c>
      <c r="N3254" t="s">
        <v>2184</v>
      </c>
      <c r="O3254">
        <v>34.229999999999997</v>
      </c>
      <c r="P3254" t="s">
        <v>34</v>
      </c>
    </row>
    <row r="3255" spans="1:16" x14ac:dyDescent="0.4">
      <c r="A3255" t="s">
        <v>15</v>
      </c>
      <c r="B3255" t="s">
        <v>16</v>
      </c>
      <c r="C3255" s="13">
        <v>42736</v>
      </c>
      <c r="D3255" s="13">
        <v>43100</v>
      </c>
      <c r="E3255" t="s">
        <v>17</v>
      </c>
      <c r="F3255">
        <v>0</v>
      </c>
      <c r="G3255" t="s">
        <v>18</v>
      </c>
      <c r="H3255">
        <v>1</v>
      </c>
      <c r="I3255" t="s">
        <v>19</v>
      </c>
      <c r="J3255">
        <v>337</v>
      </c>
      <c r="K3255" t="s">
        <v>203</v>
      </c>
      <c r="L3255" s="13">
        <v>42976</v>
      </c>
      <c r="M3255" t="s">
        <v>2271</v>
      </c>
      <c r="N3255" t="s">
        <v>2184</v>
      </c>
      <c r="O3255">
        <v>12.88</v>
      </c>
      <c r="P3255" t="s">
        <v>34</v>
      </c>
    </row>
    <row r="3256" spans="1:16" x14ac:dyDescent="0.4">
      <c r="A3256" t="s">
        <v>15</v>
      </c>
      <c r="B3256" t="s">
        <v>16</v>
      </c>
      <c r="C3256" s="13">
        <v>42736</v>
      </c>
      <c r="D3256" s="13">
        <v>43100</v>
      </c>
      <c r="E3256" t="s">
        <v>17</v>
      </c>
      <c r="F3256">
        <v>0</v>
      </c>
      <c r="G3256" t="s">
        <v>18</v>
      </c>
      <c r="H3256">
        <v>1</v>
      </c>
      <c r="I3256" t="s">
        <v>19</v>
      </c>
      <c r="J3256">
        <v>337</v>
      </c>
      <c r="K3256" t="s">
        <v>203</v>
      </c>
      <c r="L3256" s="13">
        <v>42978</v>
      </c>
      <c r="M3256" t="s">
        <v>2272</v>
      </c>
      <c r="N3256" t="s">
        <v>1542</v>
      </c>
      <c r="O3256">
        <v>-0.01</v>
      </c>
      <c r="P3256" t="s">
        <v>205</v>
      </c>
    </row>
    <row r="3257" spans="1:16" x14ac:dyDescent="0.4">
      <c r="A3257" t="s">
        <v>15</v>
      </c>
      <c r="B3257" t="s">
        <v>16</v>
      </c>
      <c r="C3257" s="13">
        <v>42736</v>
      </c>
      <c r="D3257" s="13">
        <v>43100</v>
      </c>
      <c r="E3257" t="s">
        <v>17</v>
      </c>
      <c r="F3257">
        <v>0</v>
      </c>
      <c r="G3257" t="s">
        <v>18</v>
      </c>
      <c r="H3257">
        <v>1</v>
      </c>
      <c r="I3257" t="s">
        <v>19</v>
      </c>
      <c r="J3257">
        <v>337</v>
      </c>
      <c r="K3257" t="s">
        <v>203</v>
      </c>
      <c r="L3257" s="13">
        <v>42978</v>
      </c>
      <c r="M3257" t="s">
        <v>2273</v>
      </c>
      <c r="N3257" t="s">
        <v>1547</v>
      </c>
      <c r="O3257">
        <v>-0.01</v>
      </c>
      <c r="P3257" t="s">
        <v>205</v>
      </c>
    </row>
    <row r="3258" spans="1:16" x14ac:dyDescent="0.4">
      <c r="A3258" t="s">
        <v>15</v>
      </c>
      <c r="B3258" t="s">
        <v>16</v>
      </c>
      <c r="C3258" s="13">
        <v>42736</v>
      </c>
      <c r="D3258" s="13">
        <v>43100</v>
      </c>
      <c r="E3258" t="s">
        <v>17</v>
      </c>
      <c r="F3258">
        <v>0</v>
      </c>
      <c r="G3258" t="s">
        <v>18</v>
      </c>
      <c r="H3258">
        <v>1</v>
      </c>
      <c r="I3258" t="s">
        <v>19</v>
      </c>
      <c r="J3258">
        <v>337</v>
      </c>
      <c r="K3258" t="s">
        <v>203</v>
      </c>
      <c r="L3258" s="13">
        <v>43006</v>
      </c>
      <c r="M3258" t="s">
        <v>2274</v>
      </c>
      <c r="N3258" t="s">
        <v>2186</v>
      </c>
      <c r="O3258">
        <v>13.57</v>
      </c>
      <c r="P3258" t="s">
        <v>34</v>
      </c>
    </row>
    <row r="3259" spans="1:16" x14ac:dyDescent="0.4">
      <c r="A3259" t="s">
        <v>15</v>
      </c>
      <c r="B3259" t="s">
        <v>16</v>
      </c>
      <c r="C3259" s="13">
        <v>42736</v>
      </c>
      <c r="D3259" s="13">
        <v>43100</v>
      </c>
      <c r="E3259" t="s">
        <v>17</v>
      </c>
      <c r="F3259">
        <v>0</v>
      </c>
      <c r="G3259" t="s">
        <v>18</v>
      </c>
      <c r="H3259">
        <v>1</v>
      </c>
      <c r="I3259" t="s">
        <v>19</v>
      </c>
      <c r="J3259">
        <v>337</v>
      </c>
      <c r="K3259" t="s">
        <v>203</v>
      </c>
      <c r="L3259" s="13">
        <v>43006</v>
      </c>
      <c r="M3259" t="s">
        <v>2275</v>
      </c>
      <c r="N3259" t="s">
        <v>2186</v>
      </c>
      <c r="O3259">
        <v>34.229999999999997</v>
      </c>
      <c r="P3259" t="s">
        <v>34</v>
      </c>
    </row>
    <row r="3260" spans="1:16" x14ac:dyDescent="0.4">
      <c r="A3260" t="s">
        <v>15</v>
      </c>
      <c r="B3260" t="s">
        <v>16</v>
      </c>
      <c r="C3260" s="13">
        <v>42736</v>
      </c>
      <c r="D3260" s="13">
        <v>43100</v>
      </c>
      <c r="E3260" t="s">
        <v>17</v>
      </c>
      <c r="F3260">
        <v>0</v>
      </c>
      <c r="G3260" t="s">
        <v>18</v>
      </c>
      <c r="H3260">
        <v>1</v>
      </c>
      <c r="I3260" t="s">
        <v>19</v>
      </c>
      <c r="J3260">
        <v>337</v>
      </c>
      <c r="K3260" t="s">
        <v>203</v>
      </c>
      <c r="L3260" s="13">
        <v>43008</v>
      </c>
      <c r="M3260" t="s">
        <v>2276</v>
      </c>
      <c r="N3260" t="s">
        <v>1542</v>
      </c>
      <c r="O3260">
        <v>-0.01</v>
      </c>
      <c r="P3260" t="s">
        <v>205</v>
      </c>
    </row>
    <row r="3261" spans="1:16" x14ac:dyDescent="0.4">
      <c r="A3261" t="s">
        <v>15</v>
      </c>
      <c r="B3261" t="s">
        <v>16</v>
      </c>
      <c r="C3261" s="13">
        <v>42736</v>
      </c>
      <c r="D3261" s="13">
        <v>43100</v>
      </c>
      <c r="E3261" t="s">
        <v>17</v>
      </c>
      <c r="F3261">
        <v>0</v>
      </c>
      <c r="G3261" t="s">
        <v>18</v>
      </c>
      <c r="H3261">
        <v>1</v>
      </c>
      <c r="I3261" t="s">
        <v>19</v>
      </c>
      <c r="J3261">
        <v>337</v>
      </c>
      <c r="K3261" t="s">
        <v>203</v>
      </c>
      <c r="L3261" s="13">
        <v>43038</v>
      </c>
      <c r="M3261" t="s">
        <v>2278</v>
      </c>
      <c r="N3261" t="s">
        <v>2188</v>
      </c>
      <c r="O3261">
        <v>34.229999999999997</v>
      </c>
      <c r="P3261" t="s">
        <v>34</v>
      </c>
    </row>
    <row r="3262" spans="1:16" x14ac:dyDescent="0.4">
      <c r="A3262" t="s">
        <v>15</v>
      </c>
      <c r="B3262" t="s">
        <v>16</v>
      </c>
      <c r="C3262" s="13">
        <v>42736</v>
      </c>
      <c r="D3262" s="13">
        <v>43100</v>
      </c>
      <c r="E3262" t="s">
        <v>17</v>
      </c>
      <c r="F3262">
        <v>0</v>
      </c>
      <c r="G3262" t="s">
        <v>18</v>
      </c>
      <c r="H3262">
        <v>1</v>
      </c>
      <c r="I3262" t="s">
        <v>19</v>
      </c>
      <c r="J3262">
        <v>337</v>
      </c>
      <c r="K3262" t="s">
        <v>203</v>
      </c>
      <c r="L3262" s="13">
        <v>43038</v>
      </c>
      <c r="M3262" t="s">
        <v>2277</v>
      </c>
      <c r="N3262" t="s">
        <v>2188</v>
      </c>
      <c r="O3262">
        <v>7.33</v>
      </c>
      <c r="P3262" t="s">
        <v>34</v>
      </c>
    </row>
    <row r="3263" spans="1:16" x14ac:dyDescent="0.4">
      <c r="A3263" t="s">
        <v>15</v>
      </c>
      <c r="B3263" t="s">
        <v>16</v>
      </c>
      <c r="C3263" s="13">
        <v>42736</v>
      </c>
      <c r="D3263" s="13">
        <v>43100</v>
      </c>
      <c r="E3263" t="s">
        <v>17</v>
      </c>
      <c r="F3263">
        <v>0</v>
      </c>
      <c r="G3263" t="s">
        <v>18</v>
      </c>
      <c r="H3263">
        <v>1</v>
      </c>
      <c r="I3263" t="s">
        <v>19</v>
      </c>
      <c r="J3263">
        <v>337</v>
      </c>
      <c r="K3263" t="s">
        <v>203</v>
      </c>
      <c r="L3263" s="13">
        <v>43039</v>
      </c>
      <c r="M3263" t="s">
        <v>2279</v>
      </c>
      <c r="N3263" t="s">
        <v>1542</v>
      </c>
      <c r="O3263">
        <v>-0.01</v>
      </c>
      <c r="P3263" t="s">
        <v>205</v>
      </c>
    </row>
    <row r="3264" spans="1:16" x14ac:dyDescent="0.4">
      <c r="A3264" t="s">
        <v>15</v>
      </c>
      <c r="B3264" t="s">
        <v>16</v>
      </c>
      <c r="C3264" s="13">
        <v>42736</v>
      </c>
      <c r="D3264" s="13">
        <v>43100</v>
      </c>
      <c r="E3264" t="s">
        <v>17</v>
      </c>
      <c r="F3264">
        <v>0</v>
      </c>
      <c r="G3264" t="s">
        <v>18</v>
      </c>
      <c r="H3264">
        <v>1</v>
      </c>
      <c r="I3264" t="s">
        <v>19</v>
      </c>
      <c r="J3264">
        <v>337</v>
      </c>
      <c r="K3264" t="s">
        <v>203</v>
      </c>
      <c r="L3264" s="13">
        <v>43039</v>
      </c>
      <c r="M3264" t="s">
        <v>2280</v>
      </c>
      <c r="N3264" t="s">
        <v>1547</v>
      </c>
      <c r="O3264">
        <v>0.01</v>
      </c>
      <c r="P3264" t="s">
        <v>205</v>
      </c>
    </row>
    <row r="3265" spans="1:16" x14ac:dyDescent="0.4">
      <c r="A3265" t="s">
        <v>15</v>
      </c>
      <c r="B3265" t="s">
        <v>16</v>
      </c>
      <c r="C3265" s="13">
        <v>42736</v>
      </c>
      <c r="D3265" s="13">
        <v>43100</v>
      </c>
      <c r="E3265" t="s">
        <v>17</v>
      </c>
      <c r="F3265">
        <v>0</v>
      </c>
      <c r="G3265" t="s">
        <v>18</v>
      </c>
      <c r="H3265">
        <v>1</v>
      </c>
      <c r="I3265" t="s">
        <v>19</v>
      </c>
      <c r="J3265">
        <v>337</v>
      </c>
      <c r="K3265" t="s">
        <v>203</v>
      </c>
      <c r="L3265" s="13">
        <v>43068</v>
      </c>
      <c r="M3265" t="s">
        <v>2281</v>
      </c>
      <c r="N3265" t="s">
        <v>2191</v>
      </c>
      <c r="O3265">
        <v>14.6</v>
      </c>
      <c r="P3265" t="s">
        <v>34</v>
      </c>
    </row>
    <row r="3266" spans="1:16" x14ac:dyDescent="0.4">
      <c r="A3266" t="s">
        <v>15</v>
      </c>
      <c r="B3266" t="s">
        <v>16</v>
      </c>
      <c r="C3266" s="13">
        <v>42736</v>
      </c>
      <c r="D3266" s="13">
        <v>43100</v>
      </c>
      <c r="E3266" t="s">
        <v>17</v>
      </c>
      <c r="F3266">
        <v>0</v>
      </c>
      <c r="G3266" t="s">
        <v>18</v>
      </c>
      <c r="H3266">
        <v>1</v>
      </c>
      <c r="I3266" t="s">
        <v>19</v>
      </c>
      <c r="J3266">
        <v>337</v>
      </c>
      <c r="K3266" t="s">
        <v>203</v>
      </c>
      <c r="L3266" s="13">
        <v>43068</v>
      </c>
      <c r="M3266" t="s">
        <v>2282</v>
      </c>
      <c r="N3266" t="s">
        <v>2191</v>
      </c>
      <c r="O3266">
        <v>34.229999999999997</v>
      </c>
      <c r="P3266" t="s">
        <v>34</v>
      </c>
    </row>
    <row r="3267" spans="1:16" x14ac:dyDescent="0.4">
      <c r="A3267" t="s">
        <v>15</v>
      </c>
      <c r="B3267" t="s">
        <v>16</v>
      </c>
      <c r="C3267" s="13">
        <v>42736</v>
      </c>
      <c r="D3267" s="13">
        <v>43100</v>
      </c>
      <c r="E3267" t="s">
        <v>17</v>
      </c>
      <c r="F3267">
        <v>0</v>
      </c>
      <c r="G3267" t="s">
        <v>18</v>
      </c>
      <c r="H3267">
        <v>1</v>
      </c>
      <c r="I3267" t="s">
        <v>19</v>
      </c>
      <c r="J3267">
        <v>337</v>
      </c>
      <c r="K3267" t="s">
        <v>203</v>
      </c>
      <c r="L3267" s="13">
        <v>43069</v>
      </c>
      <c r="M3267" t="s">
        <v>2283</v>
      </c>
      <c r="N3267" t="s">
        <v>1542</v>
      </c>
      <c r="O3267">
        <v>-0.01</v>
      </c>
      <c r="P3267" t="s">
        <v>205</v>
      </c>
    </row>
    <row r="3268" spans="1:16" x14ac:dyDescent="0.4">
      <c r="A3268" t="s">
        <v>15</v>
      </c>
      <c r="B3268" t="s">
        <v>16</v>
      </c>
      <c r="C3268" s="13">
        <v>42736</v>
      </c>
      <c r="D3268" s="13">
        <v>43100</v>
      </c>
      <c r="E3268" t="s">
        <v>17</v>
      </c>
      <c r="F3268">
        <v>0</v>
      </c>
      <c r="G3268" t="s">
        <v>18</v>
      </c>
      <c r="H3268">
        <v>1</v>
      </c>
      <c r="I3268" t="s">
        <v>19</v>
      </c>
      <c r="J3268">
        <v>337</v>
      </c>
      <c r="K3268" t="s">
        <v>203</v>
      </c>
      <c r="L3268" s="13">
        <v>43095</v>
      </c>
      <c r="M3268" t="s">
        <v>2284</v>
      </c>
      <c r="N3268" t="s">
        <v>2193</v>
      </c>
      <c r="O3268">
        <v>34.229999999999997</v>
      </c>
      <c r="P3268" t="s">
        <v>34</v>
      </c>
    </row>
    <row r="3269" spans="1:16" x14ac:dyDescent="0.4">
      <c r="A3269" t="s">
        <v>15</v>
      </c>
      <c r="B3269" t="s">
        <v>16</v>
      </c>
      <c r="C3269" s="13">
        <v>42736</v>
      </c>
      <c r="D3269" s="13">
        <v>43100</v>
      </c>
      <c r="E3269" t="s">
        <v>17</v>
      </c>
      <c r="F3269">
        <v>0</v>
      </c>
      <c r="G3269" t="s">
        <v>18</v>
      </c>
      <c r="H3269">
        <v>1</v>
      </c>
      <c r="I3269" t="s">
        <v>19</v>
      </c>
      <c r="J3269">
        <v>337</v>
      </c>
      <c r="K3269" t="s">
        <v>203</v>
      </c>
      <c r="L3269" s="13">
        <v>43095</v>
      </c>
      <c r="M3269" t="s">
        <v>2285</v>
      </c>
      <c r="N3269" t="s">
        <v>2193</v>
      </c>
      <c r="O3269">
        <v>28.32</v>
      </c>
      <c r="P3269" t="s">
        <v>34</v>
      </c>
    </row>
    <row r="3270" spans="1:16" x14ac:dyDescent="0.4">
      <c r="A3270" t="s">
        <v>15</v>
      </c>
      <c r="B3270" t="s">
        <v>16</v>
      </c>
      <c r="C3270" s="13">
        <v>42736</v>
      </c>
      <c r="D3270" s="13">
        <v>43100</v>
      </c>
      <c r="E3270" t="s">
        <v>17</v>
      </c>
      <c r="F3270">
        <v>0</v>
      </c>
      <c r="G3270" t="s">
        <v>18</v>
      </c>
      <c r="H3270">
        <v>1</v>
      </c>
      <c r="I3270" t="s">
        <v>19</v>
      </c>
      <c r="J3270">
        <v>337</v>
      </c>
      <c r="K3270" t="s">
        <v>203</v>
      </c>
      <c r="L3270" s="13">
        <v>43100</v>
      </c>
      <c r="M3270" t="s">
        <v>2286</v>
      </c>
      <c r="N3270" t="s">
        <v>1542</v>
      </c>
      <c r="O3270">
        <v>68.45</v>
      </c>
      <c r="P3270" t="s">
        <v>205</v>
      </c>
    </row>
    <row r="3271" spans="1:16" x14ac:dyDescent="0.4">
      <c r="A3271" t="s">
        <v>15</v>
      </c>
      <c r="B3271" t="s">
        <v>16</v>
      </c>
      <c r="C3271" s="13">
        <v>42736</v>
      </c>
      <c r="D3271" s="13">
        <v>43100</v>
      </c>
      <c r="E3271" t="s">
        <v>17</v>
      </c>
      <c r="F3271">
        <v>0</v>
      </c>
      <c r="G3271" t="s">
        <v>18</v>
      </c>
      <c r="H3271">
        <v>1</v>
      </c>
      <c r="I3271" t="s">
        <v>19</v>
      </c>
      <c r="J3271">
        <v>337</v>
      </c>
      <c r="K3271" t="s">
        <v>203</v>
      </c>
      <c r="L3271" s="13">
        <v>43100</v>
      </c>
      <c r="M3271" t="s">
        <v>2287</v>
      </c>
      <c r="N3271" t="s">
        <v>1547</v>
      </c>
      <c r="O3271">
        <v>56.64</v>
      </c>
      <c r="P3271" t="s">
        <v>205</v>
      </c>
    </row>
    <row r="3272" spans="1:16" x14ac:dyDescent="0.4">
      <c r="A3272" t="s">
        <v>15</v>
      </c>
      <c r="B3272" t="s">
        <v>16</v>
      </c>
      <c r="C3272" s="13">
        <v>42736</v>
      </c>
      <c r="D3272" s="13">
        <v>43100</v>
      </c>
      <c r="E3272" t="s">
        <v>17</v>
      </c>
      <c r="F3272">
        <v>0</v>
      </c>
      <c r="G3272" t="s">
        <v>18</v>
      </c>
      <c r="H3272">
        <v>1</v>
      </c>
      <c r="I3272" t="s">
        <v>19</v>
      </c>
      <c r="J3272">
        <v>349</v>
      </c>
      <c r="K3272" t="s">
        <v>236</v>
      </c>
      <c r="L3272" s="13">
        <v>42757</v>
      </c>
      <c r="M3272" t="s">
        <v>2288</v>
      </c>
      <c r="N3272" t="s">
        <v>1923</v>
      </c>
      <c r="O3272">
        <v>28.23</v>
      </c>
      <c r="P3272" t="s">
        <v>239</v>
      </c>
    </row>
    <row r="3273" spans="1:16" x14ac:dyDescent="0.4">
      <c r="A3273" t="s">
        <v>15</v>
      </c>
      <c r="B3273" t="s">
        <v>16</v>
      </c>
      <c r="C3273" s="13">
        <v>42736</v>
      </c>
      <c r="D3273" s="13">
        <v>43100</v>
      </c>
      <c r="E3273" t="s">
        <v>17</v>
      </c>
      <c r="F3273">
        <v>0</v>
      </c>
      <c r="G3273" t="s">
        <v>18</v>
      </c>
      <c r="H3273">
        <v>1</v>
      </c>
      <c r="I3273" t="s">
        <v>19</v>
      </c>
      <c r="J3273">
        <v>349</v>
      </c>
      <c r="K3273" t="s">
        <v>236</v>
      </c>
      <c r="L3273" s="13">
        <v>42816</v>
      </c>
      <c r="M3273" t="s">
        <v>2288</v>
      </c>
      <c r="N3273" t="s">
        <v>2289</v>
      </c>
      <c r="O3273">
        <v>22.84</v>
      </c>
      <c r="P3273" t="s">
        <v>239</v>
      </c>
    </row>
    <row r="3274" spans="1:16" x14ac:dyDescent="0.4">
      <c r="A3274" t="s">
        <v>15</v>
      </c>
      <c r="B3274" t="s">
        <v>16</v>
      </c>
      <c r="C3274" s="13">
        <v>42736</v>
      </c>
      <c r="D3274" s="13">
        <v>43100</v>
      </c>
      <c r="E3274" t="s">
        <v>17</v>
      </c>
      <c r="F3274">
        <v>0</v>
      </c>
      <c r="G3274" t="s">
        <v>18</v>
      </c>
      <c r="H3274">
        <v>1</v>
      </c>
      <c r="I3274" t="s">
        <v>19</v>
      </c>
      <c r="J3274">
        <v>349</v>
      </c>
      <c r="K3274" t="s">
        <v>236</v>
      </c>
      <c r="L3274" s="13">
        <v>42877</v>
      </c>
      <c r="M3274" t="s">
        <v>2288</v>
      </c>
      <c r="N3274" t="s">
        <v>1923</v>
      </c>
      <c r="O3274">
        <v>10.130000000000001</v>
      </c>
      <c r="P3274" t="s">
        <v>239</v>
      </c>
    </row>
    <row r="3275" spans="1:16" x14ac:dyDescent="0.4">
      <c r="A3275" t="s">
        <v>15</v>
      </c>
      <c r="B3275" t="s">
        <v>16</v>
      </c>
      <c r="C3275" s="13">
        <v>42736</v>
      </c>
      <c r="D3275" s="13">
        <v>43100</v>
      </c>
      <c r="E3275" t="s">
        <v>17</v>
      </c>
      <c r="F3275">
        <v>0</v>
      </c>
      <c r="G3275" t="s">
        <v>18</v>
      </c>
      <c r="H3275">
        <v>1</v>
      </c>
      <c r="I3275" t="s">
        <v>19</v>
      </c>
      <c r="J3275">
        <v>349</v>
      </c>
      <c r="K3275" t="s">
        <v>236</v>
      </c>
      <c r="L3275" s="13">
        <v>42939</v>
      </c>
      <c r="M3275" t="s">
        <v>2288</v>
      </c>
      <c r="N3275" t="s">
        <v>2290</v>
      </c>
      <c r="O3275">
        <v>28.8</v>
      </c>
      <c r="P3275" t="s">
        <v>239</v>
      </c>
    </row>
    <row r="3276" spans="1:16" x14ac:dyDescent="0.4">
      <c r="A3276" t="s">
        <v>15</v>
      </c>
      <c r="B3276" t="s">
        <v>16</v>
      </c>
      <c r="C3276" s="13">
        <v>42736</v>
      </c>
      <c r="D3276" s="13">
        <v>43100</v>
      </c>
      <c r="E3276" t="s">
        <v>17</v>
      </c>
      <c r="F3276">
        <v>0</v>
      </c>
      <c r="G3276" t="s">
        <v>18</v>
      </c>
      <c r="H3276">
        <v>1</v>
      </c>
      <c r="I3276" t="s">
        <v>19</v>
      </c>
      <c r="J3276">
        <v>349</v>
      </c>
      <c r="K3276" t="s">
        <v>236</v>
      </c>
      <c r="L3276" s="13">
        <v>43000</v>
      </c>
      <c r="M3276" t="s">
        <v>2288</v>
      </c>
      <c r="N3276" t="s">
        <v>2291</v>
      </c>
      <c r="O3276">
        <v>32.15</v>
      </c>
      <c r="P3276" t="s">
        <v>239</v>
      </c>
    </row>
    <row r="3277" spans="1:16" x14ac:dyDescent="0.4">
      <c r="A3277" t="s">
        <v>15</v>
      </c>
      <c r="B3277" t="s">
        <v>16</v>
      </c>
      <c r="C3277" s="13">
        <v>42736</v>
      </c>
      <c r="D3277" s="13">
        <v>43100</v>
      </c>
      <c r="E3277" t="s">
        <v>17</v>
      </c>
      <c r="F3277">
        <v>0</v>
      </c>
      <c r="G3277" t="s">
        <v>18</v>
      </c>
      <c r="H3277">
        <v>1</v>
      </c>
      <c r="I3277" t="s">
        <v>19</v>
      </c>
      <c r="J3277">
        <v>349</v>
      </c>
      <c r="K3277" t="s">
        <v>236</v>
      </c>
      <c r="L3277" s="13">
        <v>43061</v>
      </c>
      <c r="M3277" t="s">
        <v>2288</v>
      </c>
      <c r="N3277" t="s">
        <v>1923</v>
      </c>
      <c r="O3277">
        <v>32.71</v>
      </c>
      <c r="P3277" t="s">
        <v>239</v>
      </c>
    </row>
    <row r="3278" spans="1:16" x14ac:dyDescent="0.4">
      <c r="A3278" t="s">
        <v>15</v>
      </c>
      <c r="B3278" t="s">
        <v>16</v>
      </c>
      <c r="C3278" s="13">
        <v>42736</v>
      </c>
      <c r="D3278" s="13">
        <v>43100</v>
      </c>
      <c r="E3278" t="s">
        <v>17</v>
      </c>
      <c r="F3278">
        <v>0</v>
      </c>
      <c r="G3278" t="s">
        <v>18</v>
      </c>
      <c r="H3278">
        <v>1</v>
      </c>
      <c r="I3278" t="s">
        <v>19</v>
      </c>
      <c r="J3278">
        <v>382</v>
      </c>
      <c r="K3278" t="s">
        <v>253</v>
      </c>
      <c r="L3278" s="13">
        <v>42900</v>
      </c>
      <c r="M3278" t="s">
        <v>2292</v>
      </c>
      <c r="N3278" t="s">
        <v>2293</v>
      </c>
      <c r="O3278">
        <v>672</v>
      </c>
      <c r="P3278" t="s">
        <v>2294</v>
      </c>
    </row>
    <row r="3279" spans="1:16" x14ac:dyDescent="0.4">
      <c r="A3279" t="s">
        <v>15</v>
      </c>
      <c r="B3279" t="s">
        <v>16</v>
      </c>
      <c r="C3279" s="13">
        <v>42736</v>
      </c>
      <c r="D3279" s="13">
        <v>43100</v>
      </c>
      <c r="E3279" t="s">
        <v>17</v>
      </c>
      <c r="F3279">
        <v>0</v>
      </c>
      <c r="G3279" t="s">
        <v>18</v>
      </c>
      <c r="H3279">
        <v>1</v>
      </c>
      <c r="I3279" t="s">
        <v>19</v>
      </c>
      <c r="J3279">
        <v>409</v>
      </c>
      <c r="K3279" t="s">
        <v>1600</v>
      </c>
      <c r="L3279" s="13">
        <v>42825</v>
      </c>
      <c r="M3279" t="s">
        <v>251</v>
      </c>
      <c r="N3279" t="s">
        <v>46</v>
      </c>
      <c r="O3279">
        <v>20.28</v>
      </c>
      <c r="P3279" t="s">
        <v>46</v>
      </c>
    </row>
    <row r="3280" spans="1:16" x14ac:dyDescent="0.4">
      <c r="A3280" t="s">
        <v>15</v>
      </c>
      <c r="B3280" t="s">
        <v>16</v>
      </c>
      <c r="C3280" s="13">
        <v>42736</v>
      </c>
      <c r="D3280" s="13">
        <v>43100</v>
      </c>
      <c r="E3280" t="s">
        <v>17</v>
      </c>
      <c r="F3280">
        <v>0</v>
      </c>
      <c r="G3280" t="s">
        <v>18</v>
      </c>
      <c r="H3280">
        <v>1</v>
      </c>
      <c r="I3280" t="s">
        <v>19</v>
      </c>
      <c r="J3280">
        <v>409</v>
      </c>
      <c r="K3280" t="s">
        <v>1600</v>
      </c>
      <c r="L3280" s="13">
        <v>42916</v>
      </c>
      <c r="M3280" t="s">
        <v>251</v>
      </c>
      <c r="N3280" t="s">
        <v>46</v>
      </c>
      <c r="O3280">
        <v>20.28</v>
      </c>
      <c r="P3280" t="s">
        <v>46</v>
      </c>
    </row>
    <row r="3281" spans="1:16" x14ac:dyDescent="0.4">
      <c r="A3281" t="s">
        <v>15</v>
      </c>
      <c r="B3281" t="s">
        <v>16</v>
      </c>
      <c r="C3281" s="13">
        <v>42736</v>
      </c>
      <c r="D3281" s="13">
        <v>43100</v>
      </c>
      <c r="E3281" t="s">
        <v>17</v>
      </c>
      <c r="F3281">
        <v>0</v>
      </c>
      <c r="G3281" t="s">
        <v>18</v>
      </c>
      <c r="H3281">
        <v>1</v>
      </c>
      <c r="I3281" t="s">
        <v>19</v>
      </c>
      <c r="J3281">
        <v>409</v>
      </c>
      <c r="K3281" t="s">
        <v>1600</v>
      </c>
      <c r="L3281" s="13">
        <v>43010</v>
      </c>
      <c r="M3281" t="s">
        <v>251</v>
      </c>
      <c r="N3281" t="s">
        <v>46</v>
      </c>
      <c r="O3281">
        <v>20.28</v>
      </c>
      <c r="P3281" t="s">
        <v>46</v>
      </c>
    </row>
    <row r="3282" spans="1:16" x14ac:dyDescent="0.4">
      <c r="A3282" t="s">
        <v>15</v>
      </c>
      <c r="B3282" t="s">
        <v>16</v>
      </c>
      <c r="C3282" s="13">
        <v>42736</v>
      </c>
      <c r="D3282" s="13">
        <v>43100</v>
      </c>
      <c r="E3282" t="s">
        <v>17</v>
      </c>
      <c r="F3282">
        <v>0</v>
      </c>
      <c r="G3282" t="s">
        <v>18</v>
      </c>
      <c r="H3282">
        <v>1</v>
      </c>
      <c r="I3282" t="s">
        <v>19</v>
      </c>
      <c r="J3282">
        <v>525</v>
      </c>
      <c r="K3282" t="s">
        <v>2295</v>
      </c>
      <c r="L3282" s="13">
        <v>43035</v>
      </c>
      <c r="M3282" t="s">
        <v>2296</v>
      </c>
      <c r="N3282" t="s">
        <v>2297</v>
      </c>
      <c r="O3282">
        <v>374</v>
      </c>
      <c r="P3282" t="s">
        <v>2041</v>
      </c>
    </row>
    <row r="3283" spans="1:16" x14ac:dyDescent="0.4">
      <c r="A3283" t="s">
        <v>15</v>
      </c>
      <c r="B3283" t="s">
        <v>16</v>
      </c>
      <c r="C3283" s="13">
        <v>42736</v>
      </c>
      <c r="D3283" s="13">
        <v>43100</v>
      </c>
      <c r="E3283" t="s">
        <v>17</v>
      </c>
      <c r="F3283">
        <v>0</v>
      </c>
      <c r="G3283" t="s">
        <v>18</v>
      </c>
      <c r="H3283">
        <v>1</v>
      </c>
      <c r="I3283" t="s">
        <v>19</v>
      </c>
      <c r="J3283">
        <v>702</v>
      </c>
      <c r="K3283" t="s">
        <v>275</v>
      </c>
      <c r="L3283" s="13">
        <v>43100</v>
      </c>
      <c r="M3283" t="s">
        <v>2298</v>
      </c>
      <c r="N3283" t="s">
        <v>46</v>
      </c>
      <c r="O3283">
        <v>45.31</v>
      </c>
      <c r="P3283" t="s">
        <v>46</v>
      </c>
    </row>
    <row r="3284" spans="1:16" x14ac:dyDescent="0.4">
      <c r="A3284" t="s">
        <v>15</v>
      </c>
      <c r="B3284" t="s">
        <v>16</v>
      </c>
      <c r="C3284" s="13">
        <v>42736</v>
      </c>
      <c r="D3284" s="13">
        <v>43100</v>
      </c>
      <c r="E3284" t="s">
        <v>17</v>
      </c>
      <c r="F3284">
        <v>0</v>
      </c>
      <c r="G3284" t="s">
        <v>18</v>
      </c>
      <c r="H3284">
        <v>1</v>
      </c>
      <c r="I3284" t="s">
        <v>19</v>
      </c>
      <c r="J3284">
        <v>706</v>
      </c>
      <c r="K3284" t="s">
        <v>365</v>
      </c>
      <c r="L3284" s="13">
        <v>42886</v>
      </c>
      <c r="M3284" t="s">
        <v>2023</v>
      </c>
      <c r="N3284" t="s">
        <v>2299</v>
      </c>
      <c r="O3284">
        <v>51.05</v>
      </c>
      <c r="P3284" t="s">
        <v>368</v>
      </c>
    </row>
    <row r="3285" spans="1:16" x14ac:dyDescent="0.4">
      <c r="A3285" t="s">
        <v>15</v>
      </c>
      <c r="B3285" t="s">
        <v>16</v>
      </c>
      <c r="C3285" s="13">
        <v>42736</v>
      </c>
      <c r="D3285" s="13">
        <v>43100</v>
      </c>
      <c r="E3285" t="s">
        <v>17</v>
      </c>
      <c r="F3285">
        <v>0</v>
      </c>
      <c r="G3285" t="s">
        <v>18</v>
      </c>
      <c r="H3285">
        <v>1</v>
      </c>
      <c r="I3285" t="s">
        <v>19</v>
      </c>
      <c r="J3285">
        <v>706</v>
      </c>
      <c r="K3285" t="s">
        <v>365</v>
      </c>
      <c r="L3285" s="13">
        <v>42978</v>
      </c>
      <c r="M3285" t="s">
        <v>2300</v>
      </c>
      <c r="N3285" t="s">
        <v>2301</v>
      </c>
      <c r="O3285">
        <v>118.8</v>
      </c>
      <c r="P3285" t="s">
        <v>368</v>
      </c>
    </row>
    <row r="3286" spans="1:16" x14ac:dyDescent="0.4">
      <c r="A3286" t="s">
        <v>15</v>
      </c>
      <c r="B3286" t="s">
        <v>16</v>
      </c>
      <c r="C3286" s="13">
        <v>42736</v>
      </c>
      <c r="D3286" s="13">
        <v>43100</v>
      </c>
      <c r="E3286" t="s">
        <v>17</v>
      </c>
      <c r="F3286">
        <v>0</v>
      </c>
      <c r="G3286" t="s">
        <v>18</v>
      </c>
      <c r="H3286">
        <v>1</v>
      </c>
      <c r="I3286" t="s">
        <v>19</v>
      </c>
      <c r="J3286">
        <v>791</v>
      </c>
      <c r="K3286" t="s">
        <v>277</v>
      </c>
      <c r="L3286" s="13">
        <v>42736</v>
      </c>
      <c r="M3286" t="s">
        <v>2302</v>
      </c>
      <c r="N3286" t="s">
        <v>2303</v>
      </c>
      <c r="O3286">
        <v>286.11</v>
      </c>
      <c r="P3286" t="s">
        <v>280</v>
      </c>
    </row>
    <row r="3287" spans="1:16" x14ac:dyDescent="0.4">
      <c r="A3287" t="s">
        <v>15</v>
      </c>
      <c r="B3287" t="s">
        <v>16</v>
      </c>
      <c r="C3287" s="13">
        <v>42736</v>
      </c>
      <c r="D3287" s="13">
        <v>43100</v>
      </c>
      <c r="E3287" t="s">
        <v>17</v>
      </c>
      <c r="F3287">
        <v>0</v>
      </c>
      <c r="G3287" t="s">
        <v>18</v>
      </c>
      <c r="H3287">
        <v>1</v>
      </c>
      <c r="I3287" t="s">
        <v>19</v>
      </c>
      <c r="J3287">
        <v>791</v>
      </c>
      <c r="K3287" t="s">
        <v>277</v>
      </c>
      <c r="L3287" s="13">
        <v>42826</v>
      </c>
      <c r="M3287" t="s">
        <v>2304</v>
      </c>
      <c r="N3287" t="s">
        <v>2305</v>
      </c>
      <c r="O3287">
        <v>286.11</v>
      </c>
      <c r="P3287" t="s">
        <v>280</v>
      </c>
    </row>
    <row r="3288" spans="1:16" x14ac:dyDescent="0.4">
      <c r="A3288" t="s">
        <v>15</v>
      </c>
      <c r="B3288" t="s">
        <v>16</v>
      </c>
      <c r="C3288" s="13">
        <v>42736</v>
      </c>
      <c r="D3288" s="13">
        <v>43100</v>
      </c>
      <c r="E3288" t="s">
        <v>17</v>
      </c>
      <c r="F3288">
        <v>0</v>
      </c>
      <c r="G3288" t="s">
        <v>18</v>
      </c>
      <c r="H3288">
        <v>1</v>
      </c>
      <c r="I3288" t="s">
        <v>19</v>
      </c>
      <c r="J3288">
        <v>791</v>
      </c>
      <c r="K3288" t="s">
        <v>277</v>
      </c>
      <c r="L3288" s="13">
        <v>42917</v>
      </c>
      <c r="M3288" t="s">
        <v>2306</v>
      </c>
      <c r="N3288" t="s">
        <v>2307</v>
      </c>
      <c r="O3288">
        <v>286.11</v>
      </c>
      <c r="P3288" t="s">
        <v>280</v>
      </c>
    </row>
    <row r="3289" spans="1:16" x14ac:dyDescent="0.4">
      <c r="A3289" t="s">
        <v>15</v>
      </c>
      <c r="B3289" t="s">
        <v>16</v>
      </c>
      <c r="C3289" s="13">
        <v>42736</v>
      </c>
      <c r="D3289" s="13">
        <v>43100</v>
      </c>
      <c r="E3289" t="s">
        <v>17</v>
      </c>
      <c r="F3289">
        <v>0</v>
      </c>
      <c r="G3289" t="s">
        <v>18</v>
      </c>
      <c r="H3289">
        <v>1</v>
      </c>
      <c r="I3289" t="s">
        <v>19</v>
      </c>
      <c r="J3289">
        <v>791</v>
      </c>
      <c r="K3289" t="s">
        <v>277</v>
      </c>
      <c r="L3289" s="13">
        <v>43009</v>
      </c>
      <c r="M3289" t="s">
        <v>2308</v>
      </c>
      <c r="N3289" t="s">
        <v>2309</v>
      </c>
      <c r="O3289">
        <v>286.11</v>
      </c>
      <c r="P3289" t="s">
        <v>280</v>
      </c>
    </row>
    <row r="3290" spans="1:16" x14ac:dyDescent="0.4">
      <c r="A3290" t="s">
        <v>15</v>
      </c>
      <c r="B3290" t="s">
        <v>16</v>
      </c>
      <c r="C3290" s="13">
        <v>42736</v>
      </c>
      <c r="D3290" s="13">
        <v>43100</v>
      </c>
      <c r="E3290" t="s">
        <v>17</v>
      </c>
      <c r="F3290">
        <v>0</v>
      </c>
      <c r="G3290" t="s">
        <v>18</v>
      </c>
      <c r="H3290">
        <v>1</v>
      </c>
      <c r="I3290" t="s">
        <v>19</v>
      </c>
      <c r="J3290">
        <v>791</v>
      </c>
      <c r="K3290" t="s">
        <v>277</v>
      </c>
      <c r="L3290" s="13">
        <v>43100</v>
      </c>
      <c r="M3290" t="s">
        <v>287</v>
      </c>
      <c r="N3290" t="s">
        <v>288</v>
      </c>
      <c r="O3290">
        <v>-381.44</v>
      </c>
      <c r="P3290" t="s">
        <v>46</v>
      </c>
    </row>
    <row r="3291" spans="1:16" x14ac:dyDescent="0.4">
      <c r="A3291" t="s">
        <v>15</v>
      </c>
      <c r="B3291" t="s">
        <v>16</v>
      </c>
      <c r="C3291" s="13">
        <v>42736</v>
      </c>
      <c r="D3291" s="13">
        <v>43100</v>
      </c>
      <c r="E3291" t="s">
        <v>17</v>
      </c>
      <c r="F3291">
        <v>0</v>
      </c>
      <c r="G3291" t="s">
        <v>18</v>
      </c>
      <c r="H3291">
        <v>1</v>
      </c>
      <c r="I3291" t="s">
        <v>19</v>
      </c>
      <c r="J3291">
        <v>845</v>
      </c>
      <c r="K3291" t="s">
        <v>315</v>
      </c>
      <c r="L3291" s="13">
        <v>43100</v>
      </c>
      <c r="M3291" t="s">
        <v>2310</v>
      </c>
      <c r="N3291" t="s">
        <v>2151</v>
      </c>
      <c r="O3291">
        <v>108</v>
      </c>
      <c r="P3291" t="s">
        <v>1444</v>
      </c>
    </row>
    <row r="3292" spans="1:16" x14ac:dyDescent="0.4">
      <c r="A3292" t="s">
        <v>15</v>
      </c>
      <c r="B3292" t="s">
        <v>16</v>
      </c>
      <c r="C3292" s="13">
        <v>42736</v>
      </c>
      <c r="D3292" s="13">
        <v>43100</v>
      </c>
      <c r="E3292" t="s">
        <v>17</v>
      </c>
      <c r="F3292">
        <v>0</v>
      </c>
      <c r="G3292" t="s">
        <v>18</v>
      </c>
      <c r="H3292">
        <v>1</v>
      </c>
      <c r="I3292" t="s">
        <v>19</v>
      </c>
      <c r="J3292">
        <v>861</v>
      </c>
      <c r="K3292" t="s">
        <v>2311</v>
      </c>
      <c r="L3292" s="13">
        <v>43069</v>
      </c>
      <c r="M3292" t="s">
        <v>2312</v>
      </c>
      <c r="N3292" t="s">
        <v>2313</v>
      </c>
      <c r="O3292">
        <v>284.52</v>
      </c>
      <c r="P3292" t="s">
        <v>2050</v>
      </c>
    </row>
    <row r="3293" spans="1:16" x14ac:dyDescent="0.4">
      <c r="A3293" t="s">
        <v>15</v>
      </c>
      <c r="B3293" t="s">
        <v>16</v>
      </c>
      <c r="C3293" s="13">
        <v>42736</v>
      </c>
      <c r="D3293" s="13">
        <v>43100</v>
      </c>
      <c r="E3293" t="s">
        <v>17</v>
      </c>
      <c r="F3293">
        <v>0</v>
      </c>
      <c r="G3293" t="s">
        <v>18</v>
      </c>
      <c r="H3293">
        <v>1</v>
      </c>
      <c r="I3293" t="s">
        <v>19</v>
      </c>
      <c r="J3293">
        <v>881</v>
      </c>
      <c r="K3293" t="s">
        <v>327</v>
      </c>
      <c r="L3293" s="13">
        <v>43100</v>
      </c>
      <c r="M3293" t="s">
        <v>328</v>
      </c>
      <c r="N3293" t="s">
        <v>329</v>
      </c>
      <c r="O3293">
        <v>27.5</v>
      </c>
      <c r="P3293" t="s">
        <v>46</v>
      </c>
    </row>
    <row r="3294" spans="1:16" x14ac:dyDescent="0.4">
      <c r="A3294" t="s">
        <v>15</v>
      </c>
      <c r="B3294" t="s">
        <v>16</v>
      </c>
      <c r="C3294" s="13">
        <v>42736</v>
      </c>
      <c r="D3294" s="13">
        <v>43100</v>
      </c>
      <c r="E3294" t="s">
        <v>17</v>
      </c>
      <c r="F3294">
        <v>0</v>
      </c>
      <c r="G3294" t="s">
        <v>18</v>
      </c>
      <c r="H3294">
        <v>1</v>
      </c>
      <c r="I3294" t="s">
        <v>19</v>
      </c>
      <c r="J3294">
        <v>883</v>
      </c>
      <c r="K3294" t="s">
        <v>330</v>
      </c>
      <c r="L3294" s="13">
        <v>43100</v>
      </c>
      <c r="M3294" t="s">
        <v>2314</v>
      </c>
      <c r="N3294" t="s">
        <v>2151</v>
      </c>
      <c r="O3294">
        <v>112.18</v>
      </c>
      <c r="P3294" t="s">
        <v>1444</v>
      </c>
    </row>
    <row r="3295" spans="1:16" x14ac:dyDescent="0.4">
      <c r="A3295" t="s">
        <v>15</v>
      </c>
      <c r="B3295" t="s">
        <v>16</v>
      </c>
      <c r="C3295" s="13">
        <v>42736</v>
      </c>
      <c r="D3295" s="13">
        <v>43100</v>
      </c>
      <c r="E3295" t="s">
        <v>17</v>
      </c>
      <c r="F3295">
        <v>0</v>
      </c>
      <c r="G3295" t="s">
        <v>18</v>
      </c>
      <c r="H3295">
        <v>1</v>
      </c>
      <c r="I3295" t="s">
        <v>19</v>
      </c>
      <c r="J3295">
        <v>909</v>
      </c>
      <c r="K3295" t="s">
        <v>334</v>
      </c>
      <c r="L3295" s="13">
        <v>43100</v>
      </c>
      <c r="M3295" t="s">
        <v>2315</v>
      </c>
      <c r="N3295" t="s">
        <v>2316</v>
      </c>
      <c r="O3295">
        <v>-45519.89</v>
      </c>
      <c r="P3295" t="s">
        <v>1444</v>
      </c>
    </row>
    <row r="3296" spans="1:16" x14ac:dyDescent="0.4">
      <c r="A3296" t="s">
        <v>15</v>
      </c>
      <c r="B3296" t="s">
        <v>16</v>
      </c>
      <c r="C3296" s="13">
        <v>42736</v>
      </c>
      <c r="D3296" s="13">
        <v>43100</v>
      </c>
      <c r="E3296" t="s">
        <v>17</v>
      </c>
      <c r="F3296">
        <v>0</v>
      </c>
      <c r="G3296" t="s">
        <v>18</v>
      </c>
      <c r="H3296">
        <v>1</v>
      </c>
      <c r="I3296" t="s">
        <v>19</v>
      </c>
      <c r="J3296">
        <v>988</v>
      </c>
      <c r="K3296" t="s">
        <v>339</v>
      </c>
      <c r="L3296" s="13">
        <v>42736</v>
      </c>
      <c r="M3296" t="s">
        <v>2317</v>
      </c>
      <c r="N3296" t="s">
        <v>341</v>
      </c>
      <c r="O3296">
        <v>0.4</v>
      </c>
      <c r="P3296" t="s">
        <v>46</v>
      </c>
    </row>
    <row r="3297" spans="1:16" x14ac:dyDescent="0.4">
      <c r="A3297" t="s">
        <v>15</v>
      </c>
      <c r="B3297" t="s">
        <v>16</v>
      </c>
      <c r="C3297" s="13">
        <v>42736</v>
      </c>
      <c r="D3297" s="13">
        <v>43100</v>
      </c>
      <c r="E3297" t="s">
        <v>30</v>
      </c>
      <c r="F3297">
        <v>0</v>
      </c>
      <c r="G3297" t="s">
        <v>342</v>
      </c>
      <c r="H3297">
        <v>2</v>
      </c>
      <c r="I3297" t="s">
        <v>343</v>
      </c>
      <c r="J3297">
        <v>236</v>
      </c>
      <c r="K3297" t="s">
        <v>950</v>
      </c>
      <c r="L3297" s="13">
        <v>42773</v>
      </c>
      <c r="M3297" t="s">
        <v>2318</v>
      </c>
      <c r="N3297" t="s">
        <v>2319</v>
      </c>
      <c r="O3297">
        <v>418</v>
      </c>
      <c r="P3297" t="s">
        <v>2320</v>
      </c>
    </row>
    <row r="3298" spans="1:16" x14ac:dyDescent="0.4">
      <c r="A3298" t="s">
        <v>15</v>
      </c>
      <c r="B3298" t="s">
        <v>16</v>
      </c>
      <c r="C3298" s="13">
        <v>42736</v>
      </c>
      <c r="D3298" s="13">
        <v>43100</v>
      </c>
      <c r="E3298" t="s">
        <v>17</v>
      </c>
      <c r="F3298">
        <v>0</v>
      </c>
      <c r="G3298" t="s">
        <v>342</v>
      </c>
      <c r="H3298">
        <v>2</v>
      </c>
      <c r="I3298" t="s">
        <v>343</v>
      </c>
      <c r="J3298">
        <v>242</v>
      </c>
      <c r="K3298" t="s">
        <v>348</v>
      </c>
      <c r="L3298" s="13">
        <v>43100</v>
      </c>
      <c r="M3298" t="s">
        <v>2321</v>
      </c>
      <c r="N3298" t="s">
        <v>45</v>
      </c>
      <c r="O3298">
        <v>435.07</v>
      </c>
      <c r="P3298" t="s">
        <v>46</v>
      </c>
    </row>
    <row r="3299" spans="1:16" x14ac:dyDescent="0.4">
      <c r="A3299" t="s">
        <v>15</v>
      </c>
      <c r="B3299" t="s">
        <v>16</v>
      </c>
      <c r="C3299" s="13">
        <v>42736</v>
      </c>
      <c r="D3299" s="13">
        <v>43100</v>
      </c>
      <c r="E3299" t="s">
        <v>17</v>
      </c>
      <c r="F3299">
        <v>0</v>
      </c>
      <c r="G3299" t="s">
        <v>342</v>
      </c>
      <c r="H3299">
        <v>2</v>
      </c>
      <c r="I3299" t="s">
        <v>343</v>
      </c>
      <c r="J3299">
        <v>269</v>
      </c>
      <c r="K3299" t="s">
        <v>350</v>
      </c>
      <c r="L3299" s="13">
        <v>42759</v>
      </c>
      <c r="M3299" t="s">
        <v>76</v>
      </c>
      <c r="N3299" t="s">
        <v>2322</v>
      </c>
      <c r="O3299">
        <v>33.159999999999997</v>
      </c>
      <c r="P3299" t="s">
        <v>52</v>
      </c>
    </row>
    <row r="3300" spans="1:16" x14ac:dyDescent="0.4">
      <c r="A3300" t="s">
        <v>15</v>
      </c>
      <c r="B3300" t="s">
        <v>16</v>
      </c>
      <c r="C3300" s="13">
        <v>42736</v>
      </c>
      <c r="D3300" s="13">
        <v>43100</v>
      </c>
      <c r="E3300" t="s">
        <v>17</v>
      </c>
      <c r="F3300">
        <v>0</v>
      </c>
      <c r="G3300" t="s">
        <v>342</v>
      </c>
      <c r="H3300">
        <v>2</v>
      </c>
      <c r="I3300" t="s">
        <v>343</v>
      </c>
      <c r="J3300">
        <v>269</v>
      </c>
      <c r="K3300" t="s">
        <v>350</v>
      </c>
      <c r="L3300" s="13">
        <v>42822</v>
      </c>
      <c r="M3300" t="s">
        <v>76</v>
      </c>
      <c r="N3300" t="s">
        <v>2323</v>
      </c>
      <c r="O3300">
        <v>17.71</v>
      </c>
      <c r="P3300" t="s">
        <v>52</v>
      </c>
    </row>
    <row r="3301" spans="1:16" x14ac:dyDescent="0.4">
      <c r="A3301" t="s">
        <v>15</v>
      </c>
      <c r="B3301" t="s">
        <v>16</v>
      </c>
      <c r="C3301" s="13">
        <v>42736</v>
      </c>
      <c r="D3301" s="13">
        <v>43100</v>
      </c>
      <c r="E3301" t="s">
        <v>17</v>
      </c>
      <c r="F3301">
        <v>0</v>
      </c>
      <c r="G3301" t="s">
        <v>342</v>
      </c>
      <c r="H3301">
        <v>2</v>
      </c>
      <c r="I3301" t="s">
        <v>343</v>
      </c>
      <c r="J3301">
        <v>269</v>
      </c>
      <c r="K3301" t="s">
        <v>350</v>
      </c>
      <c r="L3301" s="13">
        <v>42878</v>
      </c>
      <c r="M3301" t="s">
        <v>76</v>
      </c>
      <c r="N3301" t="s">
        <v>2324</v>
      </c>
      <c r="O3301">
        <v>27.06</v>
      </c>
      <c r="P3301" t="s">
        <v>52</v>
      </c>
    </row>
    <row r="3302" spans="1:16" x14ac:dyDescent="0.4">
      <c r="A3302" t="s">
        <v>15</v>
      </c>
      <c r="B3302" t="s">
        <v>16</v>
      </c>
      <c r="C3302" s="13">
        <v>42736</v>
      </c>
      <c r="D3302" s="13">
        <v>43100</v>
      </c>
      <c r="E3302" t="s">
        <v>17</v>
      </c>
      <c r="F3302">
        <v>0</v>
      </c>
      <c r="G3302" t="s">
        <v>342</v>
      </c>
      <c r="H3302">
        <v>2</v>
      </c>
      <c r="I3302" t="s">
        <v>343</v>
      </c>
      <c r="J3302">
        <v>269</v>
      </c>
      <c r="K3302" t="s">
        <v>350</v>
      </c>
      <c r="L3302" s="13">
        <v>42938</v>
      </c>
      <c r="M3302" t="s">
        <v>76</v>
      </c>
      <c r="N3302" t="s">
        <v>2325</v>
      </c>
      <c r="O3302">
        <v>25.29</v>
      </c>
      <c r="P3302" t="s">
        <v>52</v>
      </c>
    </row>
    <row r="3303" spans="1:16" x14ac:dyDescent="0.4">
      <c r="A3303" t="s">
        <v>15</v>
      </c>
      <c r="B3303" t="s">
        <v>16</v>
      </c>
      <c r="C3303" s="13">
        <v>42736</v>
      </c>
      <c r="D3303" s="13">
        <v>43100</v>
      </c>
      <c r="E3303" t="s">
        <v>17</v>
      </c>
      <c r="F3303">
        <v>0</v>
      </c>
      <c r="G3303" t="s">
        <v>342</v>
      </c>
      <c r="H3303">
        <v>2</v>
      </c>
      <c r="I3303" t="s">
        <v>343</v>
      </c>
      <c r="J3303">
        <v>269</v>
      </c>
      <c r="K3303" t="s">
        <v>350</v>
      </c>
      <c r="L3303" s="13">
        <v>43006</v>
      </c>
      <c r="M3303" t="s">
        <v>76</v>
      </c>
      <c r="N3303" t="s">
        <v>2162</v>
      </c>
      <c r="O3303">
        <v>24.75</v>
      </c>
      <c r="P3303" t="s">
        <v>52</v>
      </c>
    </row>
    <row r="3304" spans="1:16" x14ac:dyDescent="0.4">
      <c r="A3304" t="s">
        <v>15</v>
      </c>
      <c r="B3304" t="s">
        <v>16</v>
      </c>
      <c r="C3304" s="13">
        <v>42736</v>
      </c>
      <c r="D3304" s="13">
        <v>43100</v>
      </c>
      <c r="E3304" t="s">
        <v>17</v>
      </c>
      <c r="F3304">
        <v>0</v>
      </c>
      <c r="G3304" t="s">
        <v>342</v>
      </c>
      <c r="H3304">
        <v>2</v>
      </c>
      <c r="I3304" t="s">
        <v>343</v>
      </c>
      <c r="J3304">
        <v>269</v>
      </c>
      <c r="K3304" t="s">
        <v>350</v>
      </c>
      <c r="L3304" s="13">
        <v>43062</v>
      </c>
      <c r="M3304" t="s">
        <v>76</v>
      </c>
      <c r="N3304" t="s">
        <v>2162</v>
      </c>
      <c r="O3304">
        <v>22.76</v>
      </c>
      <c r="P3304" t="s">
        <v>52</v>
      </c>
    </row>
    <row r="3305" spans="1:16" x14ac:dyDescent="0.4">
      <c r="A3305" t="s">
        <v>15</v>
      </c>
      <c r="B3305" t="s">
        <v>16</v>
      </c>
      <c r="C3305" s="13">
        <v>42736</v>
      </c>
      <c r="D3305" s="13">
        <v>43100</v>
      </c>
      <c r="E3305" t="s">
        <v>17</v>
      </c>
      <c r="F3305">
        <v>0</v>
      </c>
      <c r="G3305" t="s">
        <v>342</v>
      </c>
      <c r="H3305">
        <v>2</v>
      </c>
      <c r="I3305" t="s">
        <v>343</v>
      </c>
      <c r="J3305">
        <v>702</v>
      </c>
      <c r="K3305" t="s">
        <v>275</v>
      </c>
      <c r="L3305" s="13">
        <v>43100</v>
      </c>
      <c r="M3305" t="s">
        <v>2326</v>
      </c>
      <c r="N3305" t="s">
        <v>46</v>
      </c>
      <c r="O3305">
        <v>135.93</v>
      </c>
      <c r="P3305" t="s">
        <v>46</v>
      </c>
    </row>
    <row r="3306" spans="1:16" x14ac:dyDescent="0.4">
      <c r="A3306" t="s">
        <v>15</v>
      </c>
      <c r="B3306" t="s">
        <v>16</v>
      </c>
      <c r="C3306" s="13">
        <v>42736</v>
      </c>
      <c r="D3306" s="13">
        <v>43100</v>
      </c>
      <c r="E3306" t="s">
        <v>17</v>
      </c>
      <c r="F3306">
        <v>0</v>
      </c>
      <c r="G3306" t="s">
        <v>342</v>
      </c>
      <c r="H3306">
        <v>2</v>
      </c>
      <c r="I3306" t="s">
        <v>343</v>
      </c>
      <c r="J3306">
        <v>791</v>
      </c>
      <c r="K3306" t="s">
        <v>369</v>
      </c>
      <c r="L3306" s="13">
        <v>43100</v>
      </c>
      <c r="M3306" t="s">
        <v>370</v>
      </c>
      <c r="N3306" t="s">
        <v>288</v>
      </c>
      <c r="O3306">
        <v>381.44</v>
      </c>
      <c r="P3306" t="s">
        <v>46</v>
      </c>
    </row>
    <row r="3307" spans="1:16" x14ac:dyDescent="0.4">
      <c r="A3307" t="s">
        <v>15</v>
      </c>
      <c r="B3307" t="s">
        <v>16</v>
      </c>
      <c r="C3307" s="13">
        <v>42736</v>
      </c>
      <c r="D3307" s="13">
        <v>43100</v>
      </c>
      <c r="E3307" t="s">
        <v>17</v>
      </c>
      <c r="F3307">
        <v>0</v>
      </c>
      <c r="G3307" t="s">
        <v>342</v>
      </c>
      <c r="H3307">
        <v>2</v>
      </c>
      <c r="I3307" t="s">
        <v>343</v>
      </c>
      <c r="J3307">
        <v>883</v>
      </c>
      <c r="K3307" t="s">
        <v>371</v>
      </c>
      <c r="L3307" s="13">
        <v>42736</v>
      </c>
      <c r="M3307" t="s">
        <v>2327</v>
      </c>
      <c r="N3307" t="s">
        <v>2328</v>
      </c>
      <c r="O3307">
        <v>147.62</v>
      </c>
      <c r="P3307" t="s">
        <v>374</v>
      </c>
    </row>
    <row r="3308" spans="1:16" x14ac:dyDescent="0.4">
      <c r="A3308" t="s">
        <v>15</v>
      </c>
      <c r="B3308" t="s">
        <v>16</v>
      </c>
      <c r="C3308" s="13">
        <v>42736</v>
      </c>
      <c r="D3308" s="13">
        <v>43100</v>
      </c>
      <c r="E3308" t="s">
        <v>17</v>
      </c>
      <c r="F3308">
        <v>0</v>
      </c>
      <c r="G3308" t="s">
        <v>342</v>
      </c>
      <c r="H3308">
        <v>2</v>
      </c>
      <c r="I3308" t="s">
        <v>343</v>
      </c>
      <c r="J3308">
        <v>883</v>
      </c>
      <c r="K3308" t="s">
        <v>371</v>
      </c>
      <c r="L3308" s="13">
        <v>43100</v>
      </c>
      <c r="M3308" t="s">
        <v>375</v>
      </c>
      <c r="N3308" t="s">
        <v>376</v>
      </c>
      <c r="O3308">
        <v>-49.2</v>
      </c>
      <c r="P3308" t="s">
        <v>46</v>
      </c>
    </row>
    <row r="3309" spans="1:16" x14ac:dyDescent="0.4">
      <c r="A3309" t="s">
        <v>15</v>
      </c>
      <c r="B3309" t="s">
        <v>16</v>
      </c>
      <c r="C3309" s="13">
        <v>42736</v>
      </c>
      <c r="D3309" s="13">
        <v>43100</v>
      </c>
      <c r="E3309" t="s">
        <v>17</v>
      </c>
      <c r="F3309">
        <v>0</v>
      </c>
      <c r="G3309" t="s">
        <v>342</v>
      </c>
      <c r="H3309">
        <v>2</v>
      </c>
      <c r="I3309" t="s">
        <v>343</v>
      </c>
      <c r="J3309">
        <v>891</v>
      </c>
      <c r="K3309" t="s">
        <v>377</v>
      </c>
      <c r="L3309" s="13">
        <v>43100</v>
      </c>
      <c r="M3309" t="s">
        <v>2329</v>
      </c>
      <c r="N3309" t="s">
        <v>2330</v>
      </c>
      <c r="O3309">
        <v>18692.310000000001</v>
      </c>
      <c r="P3309" t="s">
        <v>1444</v>
      </c>
    </row>
    <row r="3310" spans="1:16" x14ac:dyDescent="0.4">
      <c r="A3310" t="s">
        <v>15</v>
      </c>
      <c r="B3310" t="s">
        <v>16</v>
      </c>
      <c r="C3310" s="13">
        <v>42736</v>
      </c>
      <c r="D3310" s="13">
        <v>43100</v>
      </c>
      <c r="E3310" t="s">
        <v>17</v>
      </c>
      <c r="F3310">
        <v>0</v>
      </c>
      <c r="G3310" t="s">
        <v>467</v>
      </c>
      <c r="H3310">
        <v>17</v>
      </c>
      <c r="I3310" t="s">
        <v>468</v>
      </c>
      <c r="J3310">
        <v>177</v>
      </c>
      <c r="K3310" t="s">
        <v>2331</v>
      </c>
      <c r="L3310" s="13">
        <v>42766</v>
      </c>
      <c r="M3310" t="s">
        <v>2332</v>
      </c>
      <c r="N3310" t="s">
        <v>2333</v>
      </c>
      <c r="O3310">
        <v>224.47</v>
      </c>
      <c r="P3310" t="s">
        <v>2334</v>
      </c>
    </row>
    <row r="3311" spans="1:16" x14ac:dyDescent="0.4">
      <c r="A3311" t="s">
        <v>15</v>
      </c>
      <c r="B3311" t="s">
        <v>16</v>
      </c>
      <c r="C3311" s="13">
        <v>42736</v>
      </c>
      <c r="D3311" s="13">
        <v>43100</v>
      </c>
      <c r="E3311" t="s">
        <v>17</v>
      </c>
      <c r="F3311">
        <v>0</v>
      </c>
      <c r="G3311" t="s">
        <v>467</v>
      </c>
      <c r="H3311">
        <v>17</v>
      </c>
      <c r="I3311" t="s">
        <v>468</v>
      </c>
      <c r="J3311">
        <v>401</v>
      </c>
      <c r="K3311" t="s">
        <v>476</v>
      </c>
      <c r="L3311" s="13">
        <v>43100</v>
      </c>
      <c r="M3311" t="s">
        <v>2335</v>
      </c>
      <c r="N3311" t="s">
        <v>46</v>
      </c>
      <c r="O3311">
        <v>7602.97</v>
      </c>
      <c r="P3311" t="s">
        <v>1444</v>
      </c>
    </row>
    <row r="3312" spans="1:16" x14ac:dyDescent="0.4">
      <c r="A3312" t="s">
        <v>15</v>
      </c>
      <c r="B3312" t="s">
        <v>16</v>
      </c>
      <c r="C3312" s="13">
        <v>42736</v>
      </c>
      <c r="D3312" s="13">
        <v>43100</v>
      </c>
      <c r="E3312" t="s">
        <v>17</v>
      </c>
      <c r="F3312">
        <v>0</v>
      </c>
      <c r="G3312" t="s">
        <v>478</v>
      </c>
      <c r="H3312">
        <v>55</v>
      </c>
      <c r="I3312" t="s">
        <v>479</v>
      </c>
      <c r="J3312">
        <v>282</v>
      </c>
      <c r="K3312" t="s">
        <v>480</v>
      </c>
      <c r="L3312" s="13">
        <v>43100</v>
      </c>
      <c r="M3312" t="s">
        <v>2336</v>
      </c>
      <c r="N3312" t="s">
        <v>86</v>
      </c>
      <c r="O3312">
        <v>7800.85</v>
      </c>
      <c r="P3312" t="s">
        <v>46</v>
      </c>
    </row>
    <row r="3313" spans="1:16" x14ac:dyDescent="0.4">
      <c r="A3313" t="s">
        <v>15</v>
      </c>
      <c r="B3313" t="s">
        <v>16</v>
      </c>
      <c r="C3313" s="13">
        <v>42736</v>
      </c>
      <c r="D3313" s="13">
        <v>43100</v>
      </c>
      <c r="E3313" t="s">
        <v>17</v>
      </c>
      <c r="F3313">
        <v>0</v>
      </c>
      <c r="G3313" t="s">
        <v>482</v>
      </c>
      <c r="H3313">
        <v>60</v>
      </c>
      <c r="I3313" t="s">
        <v>483</v>
      </c>
      <c r="J3313">
        <v>881</v>
      </c>
      <c r="K3313" t="s">
        <v>327</v>
      </c>
      <c r="L3313" s="13">
        <v>42887</v>
      </c>
      <c r="M3313" t="s">
        <v>2337</v>
      </c>
      <c r="N3313" t="s">
        <v>2338</v>
      </c>
      <c r="O3313">
        <v>1182.8499999999999</v>
      </c>
      <c r="P3313" t="s">
        <v>374</v>
      </c>
    </row>
    <row r="3314" spans="1:16" x14ac:dyDescent="0.4">
      <c r="A3314" t="s">
        <v>15</v>
      </c>
      <c r="B3314" t="s">
        <v>16</v>
      </c>
      <c r="C3314" s="13">
        <v>42736</v>
      </c>
      <c r="D3314" s="13">
        <v>43100</v>
      </c>
      <c r="E3314" t="s">
        <v>17</v>
      </c>
      <c r="F3314">
        <v>0</v>
      </c>
      <c r="G3314" t="s">
        <v>482</v>
      </c>
      <c r="H3314">
        <v>60</v>
      </c>
      <c r="I3314" t="s">
        <v>483</v>
      </c>
      <c r="J3314">
        <v>881</v>
      </c>
      <c r="K3314" t="s">
        <v>327</v>
      </c>
      <c r="L3314" s="13">
        <v>43100</v>
      </c>
      <c r="M3314" t="s">
        <v>486</v>
      </c>
      <c r="N3314" t="s">
        <v>329</v>
      </c>
      <c r="O3314">
        <v>-27.5</v>
      </c>
      <c r="P3314" t="s">
        <v>46</v>
      </c>
    </row>
    <row r="3315" spans="1:16" x14ac:dyDescent="0.4">
      <c r="A3315" t="s">
        <v>15</v>
      </c>
      <c r="B3315" t="s">
        <v>16</v>
      </c>
      <c r="C3315" s="13">
        <v>42736</v>
      </c>
      <c r="D3315" s="13">
        <v>43100</v>
      </c>
      <c r="E3315" t="s">
        <v>17</v>
      </c>
      <c r="F3315">
        <v>1</v>
      </c>
      <c r="G3315" t="s">
        <v>18</v>
      </c>
      <c r="H3315">
        <v>1</v>
      </c>
      <c r="I3315" t="s">
        <v>19</v>
      </c>
      <c r="J3315">
        <v>205</v>
      </c>
      <c r="K3315" t="s">
        <v>344</v>
      </c>
      <c r="L3315" s="13">
        <v>42736</v>
      </c>
      <c r="M3315" t="s">
        <v>2142</v>
      </c>
      <c r="N3315" t="s">
        <v>46</v>
      </c>
      <c r="O3315">
        <v>358.47</v>
      </c>
      <c r="P3315" t="s">
        <v>46</v>
      </c>
    </row>
    <row r="3316" spans="1:16" x14ac:dyDescent="0.4">
      <c r="A3316" t="s">
        <v>15</v>
      </c>
      <c r="B3316" t="s">
        <v>16</v>
      </c>
      <c r="C3316" s="13">
        <v>42736</v>
      </c>
      <c r="D3316" s="13">
        <v>43100</v>
      </c>
      <c r="E3316" t="s">
        <v>17</v>
      </c>
      <c r="F3316">
        <v>1</v>
      </c>
      <c r="G3316" t="s">
        <v>18</v>
      </c>
      <c r="H3316">
        <v>1</v>
      </c>
      <c r="I3316" t="s">
        <v>19</v>
      </c>
      <c r="J3316">
        <v>205</v>
      </c>
      <c r="K3316" t="s">
        <v>344</v>
      </c>
      <c r="L3316" s="13">
        <v>42736</v>
      </c>
      <c r="M3316" t="s">
        <v>2141</v>
      </c>
      <c r="N3316" t="s">
        <v>46</v>
      </c>
      <c r="O3316">
        <v>242</v>
      </c>
      <c r="P3316" t="s">
        <v>46</v>
      </c>
    </row>
    <row r="3317" spans="1:16" x14ac:dyDescent="0.4">
      <c r="A3317" t="s">
        <v>15</v>
      </c>
      <c r="B3317" t="s">
        <v>16</v>
      </c>
      <c r="C3317" s="13">
        <v>42736</v>
      </c>
      <c r="D3317" s="13">
        <v>43100</v>
      </c>
      <c r="E3317" t="s">
        <v>30</v>
      </c>
      <c r="F3317">
        <v>1</v>
      </c>
      <c r="G3317" t="s">
        <v>18</v>
      </c>
      <c r="H3317">
        <v>1</v>
      </c>
      <c r="I3317" t="s">
        <v>19</v>
      </c>
      <c r="J3317">
        <v>236</v>
      </c>
      <c r="K3317" t="s">
        <v>950</v>
      </c>
      <c r="L3317" s="13">
        <v>42736</v>
      </c>
      <c r="M3317" t="s">
        <v>2339</v>
      </c>
      <c r="N3317" t="s">
        <v>46</v>
      </c>
      <c r="O3317">
        <v>-1039.5</v>
      </c>
      <c r="P3317" t="s">
        <v>46</v>
      </c>
    </row>
    <row r="3318" spans="1:16" x14ac:dyDescent="0.4">
      <c r="A3318" t="s">
        <v>15</v>
      </c>
      <c r="B3318" t="s">
        <v>16</v>
      </c>
      <c r="C3318" s="13">
        <v>42736</v>
      </c>
      <c r="D3318" s="13">
        <v>43100</v>
      </c>
      <c r="E3318" t="s">
        <v>17</v>
      </c>
      <c r="F3318">
        <v>1</v>
      </c>
      <c r="G3318" t="s">
        <v>18</v>
      </c>
      <c r="H3318">
        <v>1</v>
      </c>
      <c r="I3318" t="s">
        <v>19</v>
      </c>
      <c r="J3318">
        <v>242</v>
      </c>
      <c r="K3318" t="s">
        <v>487</v>
      </c>
      <c r="L3318" s="13">
        <v>43100</v>
      </c>
      <c r="M3318" t="s">
        <v>2321</v>
      </c>
      <c r="N3318" t="s">
        <v>45</v>
      </c>
      <c r="O3318">
        <v>326.3</v>
      </c>
      <c r="P3318" t="s">
        <v>46</v>
      </c>
    </row>
    <row r="3319" spans="1:16" x14ac:dyDescent="0.4">
      <c r="A3319" t="s">
        <v>15</v>
      </c>
      <c r="B3319" t="s">
        <v>16</v>
      </c>
      <c r="C3319" s="13">
        <v>42736</v>
      </c>
      <c r="D3319" s="13">
        <v>43100</v>
      </c>
      <c r="E3319" t="s">
        <v>17</v>
      </c>
      <c r="F3319">
        <v>1</v>
      </c>
      <c r="G3319" t="s">
        <v>18</v>
      </c>
      <c r="H3319">
        <v>1</v>
      </c>
      <c r="I3319" t="s">
        <v>19</v>
      </c>
      <c r="J3319">
        <v>269</v>
      </c>
      <c r="K3319" t="s">
        <v>75</v>
      </c>
      <c r="L3319" s="13">
        <v>42759</v>
      </c>
      <c r="M3319" t="s">
        <v>76</v>
      </c>
      <c r="N3319" t="s">
        <v>2157</v>
      </c>
      <c r="O3319">
        <v>27.9</v>
      </c>
      <c r="P3319" t="s">
        <v>52</v>
      </c>
    </row>
    <row r="3320" spans="1:16" x14ac:dyDescent="0.4">
      <c r="A3320" t="s">
        <v>15</v>
      </c>
      <c r="B3320" t="s">
        <v>16</v>
      </c>
      <c r="C3320" s="13">
        <v>42736</v>
      </c>
      <c r="D3320" s="13">
        <v>43100</v>
      </c>
      <c r="E3320" t="s">
        <v>17</v>
      </c>
      <c r="F3320">
        <v>1</v>
      </c>
      <c r="G3320" t="s">
        <v>18</v>
      </c>
      <c r="H3320">
        <v>1</v>
      </c>
      <c r="I3320" t="s">
        <v>19</v>
      </c>
      <c r="J3320">
        <v>269</v>
      </c>
      <c r="K3320" t="s">
        <v>75</v>
      </c>
      <c r="L3320" s="13">
        <v>42826</v>
      </c>
      <c r="M3320" t="s">
        <v>76</v>
      </c>
      <c r="N3320" t="s">
        <v>2158</v>
      </c>
      <c r="O3320">
        <v>-8.7100000000000009</v>
      </c>
      <c r="P3320" t="s">
        <v>52</v>
      </c>
    </row>
    <row r="3321" spans="1:16" x14ac:dyDescent="0.4">
      <c r="A3321" t="s">
        <v>15</v>
      </c>
      <c r="B3321" t="s">
        <v>16</v>
      </c>
      <c r="C3321" s="13">
        <v>42736</v>
      </c>
      <c r="D3321" s="13">
        <v>43100</v>
      </c>
      <c r="E3321" t="s">
        <v>17</v>
      </c>
      <c r="F3321">
        <v>1</v>
      </c>
      <c r="G3321" t="s">
        <v>18</v>
      </c>
      <c r="H3321">
        <v>1</v>
      </c>
      <c r="I3321" t="s">
        <v>19</v>
      </c>
      <c r="J3321">
        <v>269</v>
      </c>
      <c r="K3321" t="s">
        <v>75</v>
      </c>
      <c r="L3321" s="13">
        <v>42878</v>
      </c>
      <c r="M3321" t="s">
        <v>76</v>
      </c>
      <c r="N3321" t="s">
        <v>2159</v>
      </c>
      <c r="O3321">
        <v>15.85</v>
      </c>
      <c r="P3321" t="s">
        <v>52</v>
      </c>
    </row>
    <row r="3322" spans="1:16" x14ac:dyDescent="0.4">
      <c r="A3322" t="s">
        <v>15</v>
      </c>
      <c r="B3322" t="s">
        <v>16</v>
      </c>
      <c r="C3322" s="13">
        <v>42736</v>
      </c>
      <c r="D3322" s="13">
        <v>43100</v>
      </c>
      <c r="E3322" t="s">
        <v>17</v>
      </c>
      <c r="F3322">
        <v>1</v>
      </c>
      <c r="G3322" t="s">
        <v>18</v>
      </c>
      <c r="H3322">
        <v>1</v>
      </c>
      <c r="I3322" t="s">
        <v>19</v>
      </c>
      <c r="J3322">
        <v>269</v>
      </c>
      <c r="K3322" t="s">
        <v>75</v>
      </c>
      <c r="L3322" s="13">
        <v>42938</v>
      </c>
      <c r="M3322" t="s">
        <v>76</v>
      </c>
      <c r="N3322" t="s">
        <v>2160</v>
      </c>
      <c r="O3322">
        <v>14.48</v>
      </c>
      <c r="P3322" t="s">
        <v>52</v>
      </c>
    </row>
    <row r="3323" spans="1:16" x14ac:dyDescent="0.4">
      <c r="A3323" t="s">
        <v>15</v>
      </c>
      <c r="B3323" t="s">
        <v>16</v>
      </c>
      <c r="C3323" s="13">
        <v>42736</v>
      </c>
      <c r="D3323" s="13">
        <v>43100</v>
      </c>
      <c r="E3323" t="s">
        <v>17</v>
      </c>
      <c r="F3323">
        <v>1</v>
      </c>
      <c r="G3323" t="s">
        <v>18</v>
      </c>
      <c r="H3323">
        <v>1</v>
      </c>
      <c r="I3323" t="s">
        <v>19</v>
      </c>
      <c r="J3323">
        <v>269</v>
      </c>
      <c r="K3323" t="s">
        <v>75</v>
      </c>
      <c r="L3323" s="13">
        <v>43006</v>
      </c>
      <c r="M3323" t="s">
        <v>76</v>
      </c>
      <c r="N3323" t="s">
        <v>2161</v>
      </c>
      <c r="O3323">
        <v>46.18</v>
      </c>
      <c r="P3323" t="s">
        <v>52</v>
      </c>
    </row>
    <row r="3324" spans="1:16" x14ac:dyDescent="0.4">
      <c r="A3324" t="s">
        <v>15</v>
      </c>
      <c r="B3324" t="s">
        <v>16</v>
      </c>
      <c r="C3324" s="13">
        <v>42736</v>
      </c>
      <c r="D3324" s="13">
        <v>43100</v>
      </c>
      <c r="E3324" t="s">
        <v>17</v>
      </c>
      <c r="F3324">
        <v>1</v>
      </c>
      <c r="G3324" t="s">
        <v>18</v>
      </c>
      <c r="H3324">
        <v>1</v>
      </c>
      <c r="I3324" t="s">
        <v>19</v>
      </c>
      <c r="J3324">
        <v>269</v>
      </c>
      <c r="K3324" t="s">
        <v>75</v>
      </c>
      <c r="L3324" s="13">
        <v>43062</v>
      </c>
      <c r="M3324" t="s">
        <v>76</v>
      </c>
      <c r="N3324" t="s">
        <v>2162</v>
      </c>
      <c r="O3324">
        <v>24.15</v>
      </c>
      <c r="P3324" t="s">
        <v>52</v>
      </c>
    </row>
    <row r="3325" spans="1:16" x14ac:dyDescent="0.4">
      <c r="A3325" t="s">
        <v>15</v>
      </c>
      <c r="B3325" t="s">
        <v>16</v>
      </c>
      <c r="C3325" s="13">
        <v>42736</v>
      </c>
      <c r="D3325" s="13">
        <v>43100</v>
      </c>
      <c r="E3325" t="s">
        <v>17</v>
      </c>
      <c r="F3325">
        <v>1</v>
      </c>
      <c r="G3325" t="s">
        <v>18</v>
      </c>
      <c r="H3325">
        <v>1</v>
      </c>
      <c r="I3325" t="s">
        <v>19</v>
      </c>
      <c r="J3325">
        <v>401</v>
      </c>
      <c r="K3325" t="s">
        <v>476</v>
      </c>
      <c r="L3325" s="13">
        <v>43100</v>
      </c>
      <c r="M3325" t="s">
        <v>2340</v>
      </c>
      <c r="N3325" t="s">
        <v>2341</v>
      </c>
      <c r="O3325">
        <v>1356.09</v>
      </c>
      <c r="P3325" t="s">
        <v>1444</v>
      </c>
    </row>
    <row r="3326" spans="1:16" x14ac:dyDescent="0.4">
      <c r="A3326" t="s">
        <v>15</v>
      </c>
      <c r="B3326" t="s">
        <v>16</v>
      </c>
      <c r="C3326" s="13">
        <v>42736</v>
      </c>
      <c r="D3326" s="13">
        <v>43100</v>
      </c>
      <c r="E3326" t="s">
        <v>17</v>
      </c>
      <c r="F3326">
        <v>1</v>
      </c>
      <c r="G3326" t="s">
        <v>18</v>
      </c>
      <c r="H3326">
        <v>1</v>
      </c>
      <c r="I3326" t="s">
        <v>19</v>
      </c>
      <c r="J3326">
        <v>441</v>
      </c>
      <c r="K3326" t="s">
        <v>268</v>
      </c>
      <c r="L3326" s="13">
        <v>42736</v>
      </c>
      <c r="M3326" t="s">
        <v>2342</v>
      </c>
      <c r="N3326" t="s">
        <v>2343</v>
      </c>
      <c r="O3326">
        <v>3581.22</v>
      </c>
      <c r="P3326" t="s">
        <v>494</v>
      </c>
    </row>
    <row r="3327" spans="1:16" x14ac:dyDescent="0.4">
      <c r="A3327" t="s">
        <v>15</v>
      </c>
      <c r="B3327" t="s">
        <v>16</v>
      </c>
      <c r="C3327" s="13">
        <v>42736</v>
      </c>
      <c r="D3327" s="13">
        <v>43100</v>
      </c>
      <c r="E3327" t="s">
        <v>17</v>
      </c>
      <c r="F3327">
        <v>1</v>
      </c>
      <c r="G3327" t="s">
        <v>18</v>
      </c>
      <c r="H3327">
        <v>1</v>
      </c>
      <c r="I3327" t="s">
        <v>19</v>
      </c>
      <c r="J3327">
        <v>525</v>
      </c>
      <c r="K3327" t="s">
        <v>2295</v>
      </c>
      <c r="L3327" s="13">
        <v>42919</v>
      </c>
      <c r="M3327" t="s">
        <v>2344</v>
      </c>
      <c r="N3327" t="s">
        <v>2345</v>
      </c>
      <c r="O3327">
        <v>232.44</v>
      </c>
      <c r="P3327" t="s">
        <v>1997</v>
      </c>
    </row>
    <row r="3328" spans="1:16" x14ac:dyDescent="0.4">
      <c r="A3328" t="s">
        <v>15</v>
      </c>
      <c r="B3328" t="s">
        <v>16</v>
      </c>
      <c r="C3328" s="13">
        <v>42736</v>
      </c>
      <c r="D3328" s="13">
        <v>43100</v>
      </c>
      <c r="E3328" t="s">
        <v>17</v>
      </c>
      <c r="F3328">
        <v>1</v>
      </c>
      <c r="G3328" t="s">
        <v>18</v>
      </c>
      <c r="H3328">
        <v>1</v>
      </c>
      <c r="I3328" t="s">
        <v>19</v>
      </c>
      <c r="J3328">
        <v>702</v>
      </c>
      <c r="K3328" t="s">
        <v>275</v>
      </c>
      <c r="L3328" s="13">
        <v>43100</v>
      </c>
      <c r="M3328" t="s">
        <v>2346</v>
      </c>
      <c r="N3328" t="s">
        <v>46</v>
      </c>
      <c r="O3328">
        <v>45.31</v>
      </c>
      <c r="P3328" t="s">
        <v>46</v>
      </c>
    </row>
    <row r="3329" spans="1:16" x14ac:dyDescent="0.4">
      <c r="A3329" t="s">
        <v>15</v>
      </c>
      <c r="B3329" t="s">
        <v>16</v>
      </c>
      <c r="C3329" s="13">
        <v>42736</v>
      </c>
      <c r="D3329" s="13">
        <v>43100</v>
      </c>
      <c r="E3329" t="s">
        <v>17</v>
      </c>
      <c r="F3329">
        <v>1</v>
      </c>
      <c r="G3329" t="s">
        <v>18</v>
      </c>
      <c r="H3329">
        <v>1</v>
      </c>
      <c r="I3329" t="s">
        <v>19</v>
      </c>
      <c r="J3329">
        <v>891</v>
      </c>
      <c r="K3329" t="s">
        <v>377</v>
      </c>
      <c r="L3329" s="13">
        <v>43100</v>
      </c>
      <c r="M3329" t="s">
        <v>2329</v>
      </c>
      <c r="N3329" t="s">
        <v>2347</v>
      </c>
      <c r="O3329">
        <v>11443.91</v>
      </c>
      <c r="P3329" t="s">
        <v>1444</v>
      </c>
    </row>
    <row r="3330" spans="1:16" x14ac:dyDescent="0.4">
      <c r="A3330" t="s">
        <v>15</v>
      </c>
      <c r="B3330" t="s">
        <v>16</v>
      </c>
      <c r="C3330" s="13">
        <v>42736</v>
      </c>
      <c r="D3330" s="13">
        <v>43100</v>
      </c>
      <c r="E3330" t="s">
        <v>30</v>
      </c>
      <c r="F3330">
        <v>3</v>
      </c>
      <c r="G3330" t="s">
        <v>18</v>
      </c>
      <c r="H3330">
        <v>1</v>
      </c>
      <c r="I3330" t="s">
        <v>19</v>
      </c>
      <c r="J3330">
        <v>233</v>
      </c>
      <c r="K3330" t="s">
        <v>473</v>
      </c>
      <c r="L3330" s="13">
        <v>42786</v>
      </c>
      <c r="M3330" t="s">
        <v>2145</v>
      </c>
      <c r="N3330" t="s">
        <v>46</v>
      </c>
      <c r="O3330">
        <v>162</v>
      </c>
      <c r="P3330" t="s">
        <v>46</v>
      </c>
    </row>
    <row r="3331" spans="1:16" x14ac:dyDescent="0.4">
      <c r="A3331" t="s">
        <v>15</v>
      </c>
      <c r="B3331" t="s">
        <v>16</v>
      </c>
      <c r="C3331" s="13">
        <v>42736</v>
      </c>
      <c r="D3331" s="13">
        <v>43100</v>
      </c>
      <c r="E3331" t="s">
        <v>30</v>
      </c>
      <c r="F3331">
        <v>3</v>
      </c>
      <c r="G3331" t="s">
        <v>18</v>
      </c>
      <c r="H3331">
        <v>1</v>
      </c>
      <c r="I3331" t="s">
        <v>19</v>
      </c>
      <c r="J3331">
        <v>236</v>
      </c>
      <c r="K3331" t="s">
        <v>950</v>
      </c>
      <c r="L3331" s="13">
        <v>42818</v>
      </c>
      <c r="M3331" t="s">
        <v>2348</v>
      </c>
      <c r="N3331" t="s">
        <v>2349</v>
      </c>
      <c r="O3331">
        <v>660</v>
      </c>
      <c r="P3331" t="s">
        <v>2320</v>
      </c>
    </row>
    <row r="3332" spans="1:16" x14ac:dyDescent="0.4">
      <c r="A3332" t="s">
        <v>15</v>
      </c>
      <c r="B3332" t="s">
        <v>16</v>
      </c>
      <c r="C3332" s="13">
        <v>42736</v>
      </c>
      <c r="D3332" s="13">
        <v>43100</v>
      </c>
      <c r="E3332" t="s">
        <v>17</v>
      </c>
      <c r="F3332">
        <v>3</v>
      </c>
      <c r="G3332" t="s">
        <v>18</v>
      </c>
      <c r="H3332">
        <v>1</v>
      </c>
      <c r="I3332" t="s">
        <v>19</v>
      </c>
      <c r="J3332">
        <v>242</v>
      </c>
      <c r="K3332" t="s">
        <v>348</v>
      </c>
      <c r="L3332" s="13">
        <v>43100</v>
      </c>
      <c r="M3332" t="s">
        <v>2321</v>
      </c>
      <c r="N3332" t="s">
        <v>45</v>
      </c>
      <c r="O3332">
        <v>108.77</v>
      </c>
      <c r="P3332" t="s">
        <v>46</v>
      </c>
    </row>
    <row r="3333" spans="1:16" x14ac:dyDescent="0.4">
      <c r="A3333" t="s">
        <v>15</v>
      </c>
      <c r="B3333" t="s">
        <v>16</v>
      </c>
      <c r="C3333" s="13">
        <v>42736</v>
      </c>
      <c r="D3333" s="13">
        <v>43100</v>
      </c>
      <c r="E3333" t="s">
        <v>17</v>
      </c>
      <c r="F3333">
        <v>3</v>
      </c>
      <c r="G3333" t="s">
        <v>18</v>
      </c>
      <c r="H3333">
        <v>1</v>
      </c>
      <c r="I3333" t="s">
        <v>19</v>
      </c>
      <c r="J3333">
        <v>269</v>
      </c>
      <c r="K3333" t="s">
        <v>75</v>
      </c>
      <c r="L3333" s="13">
        <v>42759</v>
      </c>
      <c r="M3333" t="s">
        <v>76</v>
      </c>
      <c r="N3333" t="s">
        <v>2157</v>
      </c>
      <c r="O3333">
        <v>27.34</v>
      </c>
      <c r="P3333" t="s">
        <v>52</v>
      </c>
    </row>
    <row r="3334" spans="1:16" x14ac:dyDescent="0.4">
      <c r="A3334" t="s">
        <v>15</v>
      </c>
      <c r="B3334" t="s">
        <v>16</v>
      </c>
      <c r="C3334" s="13">
        <v>42736</v>
      </c>
      <c r="D3334" s="13">
        <v>43100</v>
      </c>
      <c r="E3334" t="s">
        <v>17</v>
      </c>
      <c r="F3334">
        <v>3</v>
      </c>
      <c r="G3334" t="s">
        <v>18</v>
      </c>
      <c r="H3334">
        <v>1</v>
      </c>
      <c r="I3334" t="s">
        <v>19</v>
      </c>
      <c r="J3334">
        <v>269</v>
      </c>
      <c r="K3334" t="s">
        <v>75</v>
      </c>
      <c r="L3334" s="13">
        <v>42826</v>
      </c>
      <c r="M3334" t="s">
        <v>76</v>
      </c>
      <c r="N3334" t="s">
        <v>2158</v>
      </c>
      <c r="O3334">
        <v>-8.5399999999999991</v>
      </c>
      <c r="P3334" t="s">
        <v>52</v>
      </c>
    </row>
    <row r="3335" spans="1:16" x14ac:dyDescent="0.4">
      <c r="A3335" t="s">
        <v>15</v>
      </c>
      <c r="B3335" t="s">
        <v>16</v>
      </c>
      <c r="C3335" s="13">
        <v>42736</v>
      </c>
      <c r="D3335" s="13">
        <v>43100</v>
      </c>
      <c r="E3335" t="s">
        <v>17</v>
      </c>
      <c r="F3335">
        <v>3</v>
      </c>
      <c r="G3335" t="s">
        <v>18</v>
      </c>
      <c r="H3335">
        <v>1</v>
      </c>
      <c r="I3335" t="s">
        <v>19</v>
      </c>
      <c r="J3335">
        <v>269</v>
      </c>
      <c r="K3335" t="s">
        <v>75</v>
      </c>
      <c r="L3335" s="13">
        <v>42878</v>
      </c>
      <c r="M3335" t="s">
        <v>76</v>
      </c>
      <c r="N3335" t="s">
        <v>2159</v>
      </c>
      <c r="O3335">
        <v>15.54</v>
      </c>
      <c r="P3335" t="s">
        <v>52</v>
      </c>
    </row>
    <row r="3336" spans="1:16" x14ac:dyDescent="0.4">
      <c r="A3336" t="s">
        <v>15</v>
      </c>
      <c r="B3336" t="s">
        <v>16</v>
      </c>
      <c r="C3336" s="13">
        <v>42736</v>
      </c>
      <c r="D3336" s="13">
        <v>43100</v>
      </c>
      <c r="E3336" t="s">
        <v>17</v>
      </c>
      <c r="F3336">
        <v>3</v>
      </c>
      <c r="G3336" t="s">
        <v>18</v>
      </c>
      <c r="H3336">
        <v>1</v>
      </c>
      <c r="I3336" t="s">
        <v>19</v>
      </c>
      <c r="J3336">
        <v>269</v>
      </c>
      <c r="K3336" t="s">
        <v>75</v>
      </c>
      <c r="L3336" s="13">
        <v>42938</v>
      </c>
      <c r="M3336" t="s">
        <v>76</v>
      </c>
      <c r="N3336" t="s">
        <v>2160</v>
      </c>
      <c r="O3336">
        <v>14.19</v>
      </c>
      <c r="P3336" t="s">
        <v>52</v>
      </c>
    </row>
    <row r="3337" spans="1:16" x14ac:dyDescent="0.4">
      <c r="A3337" t="s">
        <v>15</v>
      </c>
      <c r="B3337" t="s">
        <v>16</v>
      </c>
      <c r="C3337" s="13">
        <v>42736</v>
      </c>
      <c r="D3337" s="13">
        <v>43100</v>
      </c>
      <c r="E3337" t="s">
        <v>17</v>
      </c>
      <c r="F3337">
        <v>3</v>
      </c>
      <c r="G3337" t="s">
        <v>18</v>
      </c>
      <c r="H3337">
        <v>1</v>
      </c>
      <c r="I3337" t="s">
        <v>19</v>
      </c>
      <c r="J3337">
        <v>269</v>
      </c>
      <c r="K3337" t="s">
        <v>75</v>
      </c>
      <c r="L3337" s="13">
        <v>43006</v>
      </c>
      <c r="M3337" t="s">
        <v>76</v>
      </c>
      <c r="N3337" t="s">
        <v>2161</v>
      </c>
      <c r="O3337">
        <v>45.25</v>
      </c>
      <c r="P3337" t="s">
        <v>52</v>
      </c>
    </row>
    <row r="3338" spans="1:16" x14ac:dyDescent="0.4">
      <c r="A3338" t="s">
        <v>15</v>
      </c>
      <c r="B3338" t="s">
        <v>16</v>
      </c>
      <c r="C3338" s="13">
        <v>42736</v>
      </c>
      <c r="D3338" s="13">
        <v>43100</v>
      </c>
      <c r="E3338" t="s">
        <v>17</v>
      </c>
      <c r="F3338">
        <v>3</v>
      </c>
      <c r="G3338" t="s">
        <v>18</v>
      </c>
      <c r="H3338">
        <v>1</v>
      </c>
      <c r="I3338" t="s">
        <v>19</v>
      </c>
      <c r="J3338">
        <v>269</v>
      </c>
      <c r="K3338" t="s">
        <v>75</v>
      </c>
      <c r="L3338" s="13">
        <v>43062</v>
      </c>
      <c r="M3338" t="s">
        <v>76</v>
      </c>
      <c r="N3338" t="s">
        <v>2162</v>
      </c>
      <c r="O3338">
        <v>23.67</v>
      </c>
      <c r="P3338" t="s">
        <v>52</v>
      </c>
    </row>
    <row r="3339" spans="1:16" x14ac:dyDescent="0.4">
      <c r="A3339" t="s">
        <v>15</v>
      </c>
      <c r="B3339" t="s">
        <v>16</v>
      </c>
      <c r="C3339" s="13">
        <v>42736</v>
      </c>
      <c r="D3339" s="13">
        <v>43100</v>
      </c>
      <c r="E3339" t="s">
        <v>17</v>
      </c>
      <c r="F3339">
        <v>3</v>
      </c>
      <c r="G3339" t="s">
        <v>18</v>
      </c>
      <c r="H3339">
        <v>1</v>
      </c>
      <c r="I3339" t="s">
        <v>19</v>
      </c>
      <c r="J3339">
        <v>441</v>
      </c>
      <c r="K3339" t="s">
        <v>268</v>
      </c>
      <c r="L3339" s="13">
        <v>42736</v>
      </c>
      <c r="M3339" t="s">
        <v>2342</v>
      </c>
      <c r="N3339" t="s">
        <v>2350</v>
      </c>
      <c r="O3339">
        <v>4171.08</v>
      </c>
      <c r="P3339" t="s">
        <v>494</v>
      </c>
    </row>
    <row r="3340" spans="1:16" x14ac:dyDescent="0.4">
      <c r="A3340" t="s">
        <v>15</v>
      </c>
      <c r="B3340" t="s">
        <v>16</v>
      </c>
      <c r="C3340" s="13">
        <v>42736</v>
      </c>
      <c r="D3340" s="13">
        <v>43100</v>
      </c>
      <c r="E3340" t="s">
        <v>17</v>
      </c>
      <c r="F3340">
        <v>3</v>
      </c>
      <c r="G3340" t="s">
        <v>18</v>
      </c>
      <c r="H3340">
        <v>1</v>
      </c>
      <c r="I3340" t="s">
        <v>19</v>
      </c>
      <c r="J3340">
        <v>441</v>
      </c>
      <c r="K3340" t="s">
        <v>268</v>
      </c>
      <c r="L3340" s="13">
        <v>42856</v>
      </c>
      <c r="M3340" t="s">
        <v>2351</v>
      </c>
      <c r="N3340" t="s">
        <v>2352</v>
      </c>
      <c r="O3340">
        <v>50.23</v>
      </c>
      <c r="P3340" t="s">
        <v>494</v>
      </c>
    </row>
    <row r="3341" spans="1:16" x14ac:dyDescent="0.4">
      <c r="A3341" t="s">
        <v>15</v>
      </c>
      <c r="B3341" t="s">
        <v>16</v>
      </c>
      <c r="C3341" s="13">
        <v>42736</v>
      </c>
      <c r="D3341" s="13">
        <v>43100</v>
      </c>
      <c r="E3341" t="s">
        <v>17</v>
      </c>
      <c r="F3341">
        <v>3</v>
      </c>
      <c r="G3341" t="s">
        <v>18</v>
      </c>
      <c r="H3341">
        <v>1</v>
      </c>
      <c r="I3341" t="s">
        <v>19</v>
      </c>
      <c r="J3341">
        <v>525</v>
      </c>
      <c r="K3341" t="s">
        <v>2295</v>
      </c>
      <c r="L3341" s="13">
        <v>43042</v>
      </c>
      <c r="M3341" t="s">
        <v>2353</v>
      </c>
      <c r="N3341" t="s">
        <v>2354</v>
      </c>
      <c r="O3341">
        <v>374</v>
      </c>
      <c r="P3341" t="s">
        <v>2041</v>
      </c>
    </row>
    <row r="3342" spans="1:16" x14ac:dyDescent="0.4">
      <c r="A3342" t="s">
        <v>15</v>
      </c>
      <c r="B3342" t="s">
        <v>16</v>
      </c>
      <c r="C3342" s="13">
        <v>42736</v>
      </c>
      <c r="D3342" s="13">
        <v>43100</v>
      </c>
      <c r="E3342" t="s">
        <v>17</v>
      </c>
      <c r="F3342">
        <v>3</v>
      </c>
      <c r="G3342" t="s">
        <v>18</v>
      </c>
      <c r="H3342">
        <v>1</v>
      </c>
      <c r="I3342" t="s">
        <v>19</v>
      </c>
      <c r="J3342">
        <v>605</v>
      </c>
      <c r="K3342" t="s">
        <v>495</v>
      </c>
      <c r="L3342" s="13">
        <v>43052</v>
      </c>
      <c r="M3342" t="s">
        <v>2355</v>
      </c>
      <c r="N3342" t="s">
        <v>2356</v>
      </c>
      <c r="O3342">
        <v>237.6</v>
      </c>
      <c r="P3342" t="s">
        <v>472</v>
      </c>
    </row>
    <row r="3343" spans="1:16" x14ac:dyDescent="0.4">
      <c r="A3343" t="s">
        <v>15</v>
      </c>
      <c r="B3343" t="s">
        <v>16</v>
      </c>
      <c r="C3343" s="13">
        <v>42736</v>
      </c>
      <c r="D3343" s="13">
        <v>43100</v>
      </c>
      <c r="E3343" t="s">
        <v>17</v>
      </c>
      <c r="F3343">
        <v>3</v>
      </c>
      <c r="G3343" t="s">
        <v>18</v>
      </c>
      <c r="H3343">
        <v>1</v>
      </c>
      <c r="I3343" t="s">
        <v>19</v>
      </c>
      <c r="J3343">
        <v>702</v>
      </c>
      <c r="K3343" t="s">
        <v>275</v>
      </c>
      <c r="L3343" s="13">
        <v>43100</v>
      </c>
      <c r="M3343" t="s">
        <v>2346</v>
      </c>
      <c r="N3343" t="s">
        <v>46</v>
      </c>
      <c r="O3343">
        <v>45.31</v>
      </c>
      <c r="P3343" t="s">
        <v>46</v>
      </c>
    </row>
    <row r="3344" spans="1:16" x14ac:dyDescent="0.4">
      <c r="A3344" t="s">
        <v>15</v>
      </c>
      <c r="B3344" t="s">
        <v>16</v>
      </c>
      <c r="C3344" s="13">
        <v>42736</v>
      </c>
      <c r="D3344" s="13">
        <v>43100</v>
      </c>
      <c r="E3344" t="s">
        <v>17</v>
      </c>
      <c r="F3344">
        <v>3</v>
      </c>
      <c r="G3344" t="s">
        <v>18</v>
      </c>
      <c r="H3344">
        <v>1</v>
      </c>
      <c r="I3344" t="s">
        <v>19</v>
      </c>
      <c r="J3344">
        <v>883</v>
      </c>
      <c r="K3344" t="s">
        <v>371</v>
      </c>
      <c r="L3344" s="13">
        <v>43100</v>
      </c>
      <c r="M3344" t="s">
        <v>2357</v>
      </c>
      <c r="N3344" t="s">
        <v>376</v>
      </c>
      <c r="O3344">
        <v>49.2</v>
      </c>
      <c r="P3344" t="s">
        <v>46</v>
      </c>
    </row>
    <row r="3345" spans="1:16" x14ac:dyDescent="0.4">
      <c r="A3345" t="s">
        <v>15</v>
      </c>
      <c r="B3345" t="s">
        <v>16</v>
      </c>
      <c r="C3345" s="13">
        <v>42736</v>
      </c>
      <c r="D3345" s="13">
        <v>43100</v>
      </c>
      <c r="E3345" t="s">
        <v>17</v>
      </c>
      <c r="F3345">
        <v>3</v>
      </c>
      <c r="G3345" t="s">
        <v>18</v>
      </c>
      <c r="H3345">
        <v>1</v>
      </c>
      <c r="I3345" t="s">
        <v>19</v>
      </c>
      <c r="J3345">
        <v>891</v>
      </c>
      <c r="K3345" t="s">
        <v>377</v>
      </c>
      <c r="L3345" s="13">
        <v>43100</v>
      </c>
      <c r="M3345" t="s">
        <v>2329</v>
      </c>
      <c r="N3345" t="s">
        <v>2358</v>
      </c>
      <c r="O3345">
        <v>9554.23</v>
      </c>
      <c r="P3345" t="s">
        <v>1444</v>
      </c>
    </row>
    <row r="3346" spans="1:16" x14ac:dyDescent="0.4">
      <c r="A3346" t="s">
        <v>15</v>
      </c>
      <c r="B3346" t="s">
        <v>16</v>
      </c>
      <c r="C3346" s="13">
        <v>42736</v>
      </c>
      <c r="D3346" s="13">
        <v>43100</v>
      </c>
      <c r="E3346" t="s">
        <v>17</v>
      </c>
      <c r="F3346">
        <v>5</v>
      </c>
      <c r="G3346" t="s">
        <v>501</v>
      </c>
      <c r="H3346">
        <v>40</v>
      </c>
      <c r="I3346" t="s">
        <v>501</v>
      </c>
      <c r="J3346">
        <v>264</v>
      </c>
      <c r="K3346" t="s">
        <v>502</v>
      </c>
      <c r="L3346" s="13">
        <v>42759</v>
      </c>
      <c r="M3346" t="s">
        <v>76</v>
      </c>
      <c r="N3346" t="s">
        <v>2157</v>
      </c>
      <c r="O3346">
        <v>28.47</v>
      </c>
      <c r="P3346" t="s">
        <v>52</v>
      </c>
    </row>
    <row r="3347" spans="1:16" x14ac:dyDescent="0.4">
      <c r="A3347" t="s">
        <v>15</v>
      </c>
      <c r="B3347" t="s">
        <v>16</v>
      </c>
      <c r="C3347" s="13">
        <v>42736</v>
      </c>
      <c r="D3347" s="13">
        <v>43100</v>
      </c>
      <c r="E3347" t="s">
        <v>17</v>
      </c>
      <c r="F3347">
        <v>5</v>
      </c>
      <c r="G3347" t="s">
        <v>501</v>
      </c>
      <c r="H3347">
        <v>40</v>
      </c>
      <c r="I3347" t="s">
        <v>501</v>
      </c>
      <c r="J3347">
        <v>264</v>
      </c>
      <c r="K3347" t="s">
        <v>502</v>
      </c>
      <c r="L3347" s="13">
        <v>42826</v>
      </c>
      <c r="M3347" t="s">
        <v>76</v>
      </c>
      <c r="N3347" t="s">
        <v>2158</v>
      </c>
      <c r="O3347">
        <v>-8.89</v>
      </c>
      <c r="P3347" t="s">
        <v>52</v>
      </c>
    </row>
    <row r="3348" spans="1:16" x14ac:dyDescent="0.4">
      <c r="A3348" t="s">
        <v>15</v>
      </c>
      <c r="B3348" t="s">
        <v>16</v>
      </c>
      <c r="C3348" s="13">
        <v>42736</v>
      </c>
      <c r="D3348" s="13">
        <v>43100</v>
      </c>
      <c r="E3348" t="s">
        <v>17</v>
      </c>
      <c r="F3348">
        <v>5</v>
      </c>
      <c r="G3348" t="s">
        <v>501</v>
      </c>
      <c r="H3348">
        <v>40</v>
      </c>
      <c r="I3348" t="s">
        <v>501</v>
      </c>
      <c r="J3348">
        <v>264</v>
      </c>
      <c r="K3348" t="s">
        <v>502</v>
      </c>
      <c r="L3348" s="13">
        <v>42878</v>
      </c>
      <c r="M3348" t="s">
        <v>76</v>
      </c>
      <c r="N3348" t="s">
        <v>2159</v>
      </c>
      <c r="O3348">
        <v>16.170000000000002</v>
      </c>
      <c r="P3348" t="s">
        <v>52</v>
      </c>
    </row>
    <row r="3349" spans="1:16" x14ac:dyDescent="0.4">
      <c r="A3349" t="s">
        <v>15</v>
      </c>
      <c r="B3349" t="s">
        <v>16</v>
      </c>
      <c r="C3349" s="13">
        <v>42736</v>
      </c>
      <c r="D3349" s="13">
        <v>43100</v>
      </c>
      <c r="E3349" t="s">
        <v>17</v>
      </c>
      <c r="F3349">
        <v>5</v>
      </c>
      <c r="G3349" t="s">
        <v>501</v>
      </c>
      <c r="H3349">
        <v>40</v>
      </c>
      <c r="I3349" t="s">
        <v>501</v>
      </c>
      <c r="J3349">
        <v>264</v>
      </c>
      <c r="K3349" t="s">
        <v>502</v>
      </c>
      <c r="L3349" s="13">
        <v>42938</v>
      </c>
      <c r="M3349" t="s">
        <v>76</v>
      </c>
      <c r="N3349" t="s">
        <v>2160</v>
      </c>
      <c r="O3349">
        <v>14.76</v>
      </c>
      <c r="P3349" t="s">
        <v>52</v>
      </c>
    </row>
    <row r="3350" spans="1:16" x14ac:dyDescent="0.4">
      <c r="A3350" t="s">
        <v>15</v>
      </c>
      <c r="B3350" t="s">
        <v>16</v>
      </c>
      <c r="C3350" s="13">
        <v>42736</v>
      </c>
      <c r="D3350" s="13">
        <v>43100</v>
      </c>
      <c r="E3350" t="s">
        <v>17</v>
      </c>
      <c r="F3350">
        <v>5</v>
      </c>
      <c r="G3350" t="s">
        <v>501</v>
      </c>
      <c r="H3350">
        <v>40</v>
      </c>
      <c r="I3350" t="s">
        <v>501</v>
      </c>
      <c r="J3350">
        <v>264</v>
      </c>
      <c r="K3350" t="s">
        <v>502</v>
      </c>
      <c r="L3350" s="13">
        <v>43006</v>
      </c>
      <c r="M3350" t="s">
        <v>76</v>
      </c>
      <c r="N3350" t="s">
        <v>2161</v>
      </c>
      <c r="O3350">
        <v>47.1</v>
      </c>
      <c r="P3350" t="s">
        <v>52</v>
      </c>
    </row>
    <row r="3351" spans="1:16" x14ac:dyDescent="0.4">
      <c r="A3351" t="s">
        <v>15</v>
      </c>
      <c r="B3351" t="s">
        <v>16</v>
      </c>
      <c r="C3351" s="13">
        <v>42736</v>
      </c>
      <c r="D3351" s="13">
        <v>43100</v>
      </c>
      <c r="E3351" t="s">
        <v>17</v>
      </c>
      <c r="F3351">
        <v>5</v>
      </c>
      <c r="G3351" t="s">
        <v>501</v>
      </c>
      <c r="H3351">
        <v>40</v>
      </c>
      <c r="I3351" t="s">
        <v>501</v>
      </c>
      <c r="J3351">
        <v>264</v>
      </c>
      <c r="K3351" t="s">
        <v>502</v>
      </c>
      <c r="L3351" s="13">
        <v>43062</v>
      </c>
      <c r="M3351" t="s">
        <v>76</v>
      </c>
      <c r="N3351" t="s">
        <v>2162</v>
      </c>
      <c r="O3351">
        <v>24.63</v>
      </c>
      <c r="P3351" t="s">
        <v>52</v>
      </c>
    </row>
    <row r="3352" spans="1:16" x14ac:dyDescent="0.4">
      <c r="A3352" t="s">
        <v>15</v>
      </c>
      <c r="B3352" t="s">
        <v>16</v>
      </c>
      <c r="C3352" s="13">
        <v>42736</v>
      </c>
      <c r="D3352" s="13">
        <v>43100</v>
      </c>
      <c r="E3352" t="s">
        <v>17</v>
      </c>
      <c r="F3352">
        <v>5</v>
      </c>
      <c r="G3352" t="s">
        <v>501</v>
      </c>
      <c r="H3352">
        <v>40</v>
      </c>
      <c r="I3352" t="s">
        <v>501</v>
      </c>
      <c r="J3352">
        <v>741</v>
      </c>
      <c r="K3352" t="s">
        <v>505</v>
      </c>
      <c r="L3352" s="13">
        <v>42976</v>
      </c>
      <c r="M3352" t="s">
        <v>2359</v>
      </c>
      <c r="N3352" t="s">
        <v>2360</v>
      </c>
      <c r="O3352">
        <v>41.1</v>
      </c>
      <c r="P3352" t="s">
        <v>508</v>
      </c>
    </row>
    <row r="3353" spans="1:16" x14ac:dyDescent="0.4">
      <c r="A3353" t="s">
        <v>15</v>
      </c>
      <c r="B3353" t="s">
        <v>16</v>
      </c>
      <c r="C3353" s="13">
        <v>42736</v>
      </c>
      <c r="D3353" s="13">
        <v>43100</v>
      </c>
      <c r="E3353" t="s">
        <v>17</v>
      </c>
      <c r="F3353">
        <v>5</v>
      </c>
      <c r="G3353" t="s">
        <v>501</v>
      </c>
      <c r="H3353">
        <v>40</v>
      </c>
      <c r="I3353" t="s">
        <v>501</v>
      </c>
      <c r="J3353">
        <v>801</v>
      </c>
      <c r="K3353" t="s">
        <v>511</v>
      </c>
      <c r="L3353" s="13">
        <v>42736</v>
      </c>
      <c r="M3353" t="s">
        <v>2361</v>
      </c>
      <c r="N3353" t="s">
        <v>2362</v>
      </c>
      <c r="O3353">
        <v>247.48</v>
      </c>
      <c r="P3353" t="s">
        <v>508</v>
      </c>
    </row>
    <row r="3354" spans="1:16" x14ac:dyDescent="0.4">
      <c r="A3354" t="s">
        <v>15</v>
      </c>
      <c r="B3354" t="s">
        <v>16</v>
      </c>
      <c r="C3354" s="13">
        <v>42736</v>
      </c>
      <c r="D3354" s="13">
        <v>43100</v>
      </c>
      <c r="E3354" t="s">
        <v>17</v>
      </c>
      <c r="F3354">
        <v>5</v>
      </c>
      <c r="G3354" t="s">
        <v>501</v>
      </c>
      <c r="H3354">
        <v>40</v>
      </c>
      <c r="I3354" t="s">
        <v>501</v>
      </c>
      <c r="J3354">
        <v>801</v>
      </c>
      <c r="K3354" t="s">
        <v>511</v>
      </c>
      <c r="L3354" s="13">
        <v>42826</v>
      </c>
      <c r="M3354" t="s">
        <v>2363</v>
      </c>
      <c r="N3354" t="s">
        <v>2364</v>
      </c>
      <c r="O3354">
        <v>247.48</v>
      </c>
      <c r="P3354" t="s">
        <v>508</v>
      </c>
    </row>
    <row r="3355" spans="1:16" x14ac:dyDescent="0.4">
      <c r="A3355" t="s">
        <v>15</v>
      </c>
      <c r="B3355" t="s">
        <v>16</v>
      </c>
      <c r="C3355" s="13">
        <v>42736</v>
      </c>
      <c r="D3355" s="13">
        <v>43100</v>
      </c>
      <c r="E3355" t="s">
        <v>17</v>
      </c>
      <c r="F3355">
        <v>5</v>
      </c>
      <c r="G3355" t="s">
        <v>501</v>
      </c>
      <c r="H3355">
        <v>40</v>
      </c>
      <c r="I3355" t="s">
        <v>501</v>
      </c>
      <c r="J3355">
        <v>801</v>
      </c>
      <c r="K3355" t="s">
        <v>511</v>
      </c>
      <c r="L3355" s="13">
        <v>42917</v>
      </c>
      <c r="M3355" t="s">
        <v>2365</v>
      </c>
      <c r="N3355" t="s">
        <v>2366</v>
      </c>
      <c r="O3355">
        <v>247.48</v>
      </c>
      <c r="P3355" t="s">
        <v>508</v>
      </c>
    </row>
    <row r="3356" spans="1:16" x14ac:dyDescent="0.4">
      <c r="A3356" t="s">
        <v>15</v>
      </c>
      <c r="B3356" t="s">
        <v>16</v>
      </c>
      <c r="C3356" s="13">
        <v>42736</v>
      </c>
      <c r="D3356" s="13">
        <v>43100</v>
      </c>
      <c r="E3356" t="s">
        <v>17</v>
      </c>
      <c r="F3356">
        <v>5</v>
      </c>
      <c r="G3356" t="s">
        <v>501</v>
      </c>
      <c r="H3356">
        <v>40</v>
      </c>
      <c r="I3356" t="s">
        <v>501</v>
      </c>
      <c r="J3356">
        <v>801</v>
      </c>
      <c r="K3356" t="s">
        <v>511</v>
      </c>
      <c r="L3356" s="13">
        <v>43009</v>
      </c>
      <c r="M3356" t="s">
        <v>2367</v>
      </c>
      <c r="N3356" t="s">
        <v>2368</v>
      </c>
      <c r="O3356">
        <v>247.47</v>
      </c>
      <c r="P3356" t="s">
        <v>508</v>
      </c>
    </row>
    <row r="3357" spans="1:16" x14ac:dyDescent="0.4">
      <c r="A3357" t="s">
        <v>15</v>
      </c>
      <c r="B3357" t="s">
        <v>16</v>
      </c>
      <c r="C3357" s="13">
        <v>42736</v>
      </c>
      <c r="D3357" s="13">
        <v>43100</v>
      </c>
      <c r="E3357" t="s">
        <v>17</v>
      </c>
      <c r="F3357">
        <v>5</v>
      </c>
      <c r="G3357" t="s">
        <v>501</v>
      </c>
      <c r="H3357">
        <v>40</v>
      </c>
      <c r="I3357" t="s">
        <v>501</v>
      </c>
      <c r="J3357">
        <v>805</v>
      </c>
      <c r="K3357" t="s">
        <v>520</v>
      </c>
      <c r="L3357" s="13">
        <v>42936</v>
      </c>
      <c r="M3357" t="s">
        <v>2369</v>
      </c>
      <c r="N3357" t="s">
        <v>2370</v>
      </c>
      <c r="O3357">
        <v>612.70000000000005</v>
      </c>
      <c r="P3357" t="s">
        <v>508</v>
      </c>
    </row>
    <row r="3358" spans="1:16" x14ac:dyDescent="0.4">
      <c r="A3358" t="s">
        <v>15</v>
      </c>
      <c r="B3358" t="s">
        <v>16</v>
      </c>
      <c r="C3358" s="13">
        <v>42736</v>
      </c>
      <c r="D3358" s="13">
        <v>43100</v>
      </c>
      <c r="E3358" t="s">
        <v>17</v>
      </c>
      <c r="F3358">
        <v>8</v>
      </c>
      <c r="G3358" t="s">
        <v>501</v>
      </c>
      <c r="H3358">
        <v>40</v>
      </c>
      <c r="I3358" t="s">
        <v>501</v>
      </c>
      <c r="J3358">
        <v>264</v>
      </c>
      <c r="K3358" t="s">
        <v>502</v>
      </c>
      <c r="L3358" s="13">
        <v>42759</v>
      </c>
      <c r="M3358" t="s">
        <v>76</v>
      </c>
      <c r="N3358" t="s">
        <v>2322</v>
      </c>
      <c r="O3358">
        <v>26.53</v>
      </c>
      <c r="P3358" t="s">
        <v>52</v>
      </c>
    </row>
    <row r="3359" spans="1:16" x14ac:dyDescent="0.4">
      <c r="A3359" t="s">
        <v>15</v>
      </c>
      <c r="B3359" t="s">
        <v>16</v>
      </c>
      <c r="C3359" s="13">
        <v>42736</v>
      </c>
      <c r="D3359" s="13">
        <v>43100</v>
      </c>
      <c r="E3359" t="s">
        <v>17</v>
      </c>
      <c r="F3359">
        <v>8</v>
      </c>
      <c r="G3359" t="s">
        <v>501</v>
      </c>
      <c r="H3359">
        <v>40</v>
      </c>
      <c r="I3359" t="s">
        <v>501</v>
      </c>
      <c r="J3359">
        <v>264</v>
      </c>
      <c r="K3359" t="s">
        <v>502</v>
      </c>
      <c r="L3359" s="13">
        <v>42822</v>
      </c>
      <c r="M3359" t="s">
        <v>76</v>
      </c>
      <c r="N3359" t="s">
        <v>2323</v>
      </c>
      <c r="O3359">
        <v>14.17</v>
      </c>
      <c r="P3359" t="s">
        <v>52</v>
      </c>
    </row>
    <row r="3360" spans="1:16" x14ac:dyDescent="0.4">
      <c r="A3360" t="s">
        <v>15</v>
      </c>
      <c r="B3360" t="s">
        <v>16</v>
      </c>
      <c r="C3360" s="13">
        <v>42736</v>
      </c>
      <c r="D3360" s="13">
        <v>43100</v>
      </c>
      <c r="E3360" t="s">
        <v>17</v>
      </c>
      <c r="F3360">
        <v>8</v>
      </c>
      <c r="G3360" t="s">
        <v>501</v>
      </c>
      <c r="H3360">
        <v>40</v>
      </c>
      <c r="I3360" t="s">
        <v>501</v>
      </c>
      <c r="J3360">
        <v>264</v>
      </c>
      <c r="K3360" t="s">
        <v>502</v>
      </c>
      <c r="L3360" s="13">
        <v>42878</v>
      </c>
      <c r="M3360" t="s">
        <v>76</v>
      </c>
      <c r="N3360" t="s">
        <v>2324</v>
      </c>
      <c r="O3360">
        <v>21.65</v>
      </c>
      <c r="P3360" t="s">
        <v>52</v>
      </c>
    </row>
    <row r="3361" spans="1:16" x14ac:dyDescent="0.4">
      <c r="A3361" t="s">
        <v>15</v>
      </c>
      <c r="B3361" t="s">
        <v>16</v>
      </c>
      <c r="C3361" s="13">
        <v>42736</v>
      </c>
      <c r="D3361" s="13">
        <v>43100</v>
      </c>
      <c r="E3361" t="s">
        <v>17</v>
      </c>
      <c r="F3361">
        <v>8</v>
      </c>
      <c r="G3361" t="s">
        <v>501</v>
      </c>
      <c r="H3361">
        <v>40</v>
      </c>
      <c r="I3361" t="s">
        <v>501</v>
      </c>
      <c r="J3361">
        <v>264</v>
      </c>
      <c r="K3361" t="s">
        <v>502</v>
      </c>
      <c r="L3361" s="13">
        <v>42938</v>
      </c>
      <c r="M3361" t="s">
        <v>76</v>
      </c>
      <c r="N3361" t="s">
        <v>2325</v>
      </c>
      <c r="O3361">
        <v>20.22</v>
      </c>
      <c r="P3361" t="s">
        <v>52</v>
      </c>
    </row>
    <row r="3362" spans="1:16" x14ac:dyDescent="0.4">
      <c r="A3362" t="s">
        <v>15</v>
      </c>
      <c r="B3362" t="s">
        <v>16</v>
      </c>
      <c r="C3362" s="13">
        <v>42736</v>
      </c>
      <c r="D3362" s="13">
        <v>43100</v>
      </c>
      <c r="E3362" t="s">
        <v>17</v>
      </c>
      <c r="F3362">
        <v>8</v>
      </c>
      <c r="G3362" t="s">
        <v>501</v>
      </c>
      <c r="H3362">
        <v>40</v>
      </c>
      <c r="I3362" t="s">
        <v>501</v>
      </c>
      <c r="J3362">
        <v>264</v>
      </c>
      <c r="K3362" t="s">
        <v>502</v>
      </c>
      <c r="L3362" s="13">
        <v>43006</v>
      </c>
      <c r="M3362" t="s">
        <v>76</v>
      </c>
      <c r="N3362" t="s">
        <v>2162</v>
      </c>
      <c r="O3362">
        <v>19.8</v>
      </c>
      <c r="P3362" t="s">
        <v>52</v>
      </c>
    </row>
    <row r="3363" spans="1:16" x14ac:dyDescent="0.4">
      <c r="A3363" t="s">
        <v>15</v>
      </c>
      <c r="B3363" t="s">
        <v>16</v>
      </c>
      <c r="C3363" s="13">
        <v>42736</v>
      </c>
      <c r="D3363" s="13">
        <v>43100</v>
      </c>
      <c r="E3363" t="s">
        <v>17</v>
      </c>
      <c r="F3363">
        <v>8</v>
      </c>
      <c r="G3363" t="s">
        <v>501</v>
      </c>
      <c r="H3363">
        <v>40</v>
      </c>
      <c r="I3363" t="s">
        <v>501</v>
      </c>
      <c r="J3363">
        <v>264</v>
      </c>
      <c r="K3363" t="s">
        <v>502</v>
      </c>
      <c r="L3363" s="13">
        <v>43062</v>
      </c>
      <c r="M3363" t="s">
        <v>76</v>
      </c>
      <c r="N3363" t="s">
        <v>2162</v>
      </c>
      <c r="O3363">
        <v>18.21</v>
      </c>
      <c r="P3363" t="s">
        <v>52</v>
      </c>
    </row>
    <row r="3364" spans="1:16" x14ac:dyDescent="0.4">
      <c r="A3364" t="s">
        <v>15</v>
      </c>
      <c r="B3364" t="s">
        <v>16</v>
      </c>
      <c r="C3364" s="13">
        <v>42736</v>
      </c>
      <c r="D3364" s="13">
        <v>43100</v>
      </c>
      <c r="E3364" t="s">
        <v>17</v>
      </c>
      <c r="F3364">
        <v>8</v>
      </c>
      <c r="G3364" t="s">
        <v>501</v>
      </c>
      <c r="H3364">
        <v>40</v>
      </c>
      <c r="I3364" t="s">
        <v>501</v>
      </c>
      <c r="J3364">
        <v>741</v>
      </c>
      <c r="K3364" t="s">
        <v>505</v>
      </c>
      <c r="L3364" s="13">
        <v>42736</v>
      </c>
      <c r="M3364" t="s">
        <v>2371</v>
      </c>
      <c r="N3364" t="s">
        <v>46</v>
      </c>
      <c r="O3364">
        <v>66.069999999999993</v>
      </c>
      <c r="P3364" t="s">
        <v>46</v>
      </c>
    </row>
    <row r="3365" spans="1:16" x14ac:dyDescent="0.4">
      <c r="A3365" t="s">
        <v>15</v>
      </c>
      <c r="B3365" t="s">
        <v>16</v>
      </c>
      <c r="C3365" s="13">
        <v>42736</v>
      </c>
      <c r="D3365" s="13">
        <v>43100</v>
      </c>
      <c r="E3365" t="s">
        <v>17</v>
      </c>
      <c r="F3365">
        <v>8</v>
      </c>
      <c r="G3365" t="s">
        <v>501</v>
      </c>
      <c r="H3365">
        <v>40</v>
      </c>
      <c r="I3365" t="s">
        <v>501</v>
      </c>
      <c r="J3365">
        <v>741</v>
      </c>
      <c r="K3365" t="s">
        <v>505</v>
      </c>
      <c r="L3365" s="13">
        <v>42976</v>
      </c>
      <c r="M3365" t="s">
        <v>2359</v>
      </c>
      <c r="N3365" t="s">
        <v>2372</v>
      </c>
      <c r="O3365">
        <v>46.6</v>
      </c>
      <c r="P3365" t="s">
        <v>508</v>
      </c>
    </row>
    <row r="3366" spans="1:16" x14ac:dyDescent="0.4">
      <c r="A3366" t="s">
        <v>15</v>
      </c>
      <c r="B3366" t="s">
        <v>16</v>
      </c>
      <c r="C3366" s="13">
        <v>42736</v>
      </c>
      <c r="D3366" s="13">
        <v>43100</v>
      </c>
      <c r="E3366" t="s">
        <v>17</v>
      </c>
      <c r="F3366">
        <v>8</v>
      </c>
      <c r="G3366" t="s">
        <v>501</v>
      </c>
      <c r="H3366">
        <v>40</v>
      </c>
      <c r="I3366" t="s">
        <v>501</v>
      </c>
      <c r="J3366">
        <v>801</v>
      </c>
      <c r="K3366" t="s">
        <v>511</v>
      </c>
      <c r="L3366" s="13">
        <v>42736</v>
      </c>
      <c r="M3366" t="s">
        <v>2361</v>
      </c>
      <c r="N3366" t="s">
        <v>2362</v>
      </c>
      <c r="O3366">
        <v>247.48</v>
      </c>
      <c r="P3366" t="s">
        <v>508</v>
      </c>
    </row>
    <row r="3367" spans="1:16" x14ac:dyDescent="0.4">
      <c r="A3367" t="s">
        <v>15</v>
      </c>
      <c r="B3367" t="s">
        <v>16</v>
      </c>
      <c r="C3367" s="13">
        <v>42736</v>
      </c>
      <c r="D3367" s="13">
        <v>43100</v>
      </c>
      <c r="E3367" t="s">
        <v>17</v>
      </c>
      <c r="F3367">
        <v>8</v>
      </c>
      <c r="G3367" t="s">
        <v>501</v>
      </c>
      <c r="H3367">
        <v>40</v>
      </c>
      <c r="I3367" t="s">
        <v>501</v>
      </c>
      <c r="J3367">
        <v>801</v>
      </c>
      <c r="K3367" t="s">
        <v>511</v>
      </c>
      <c r="L3367" s="13">
        <v>42826</v>
      </c>
      <c r="M3367" t="s">
        <v>2363</v>
      </c>
      <c r="N3367" t="s">
        <v>2364</v>
      </c>
      <c r="O3367">
        <v>247.48</v>
      </c>
      <c r="P3367" t="s">
        <v>508</v>
      </c>
    </row>
    <row r="3368" spans="1:16" x14ac:dyDescent="0.4">
      <c r="A3368" t="s">
        <v>15</v>
      </c>
      <c r="B3368" t="s">
        <v>16</v>
      </c>
      <c r="C3368" s="13">
        <v>42736</v>
      </c>
      <c r="D3368" s="13">
        <v>43100</v>
      </c>
      <c r="E3368" t="s">
        <v>17</v>
      </c>
      <c r="F3368">
        <v>8</v>
      </c>
      <c r="G3368" t="s">
        <v>501</v>
      </c>
      <c r="H3368">
        <v>40</v>
      </c>
      <c r="I3368" t="s">
        <v>501</v>
      </c>
      <c r="J3368">
        <v>801</v>
      </c>
      <c r="K3368" t="s">
        <v>511</v>
      </c>
      <c r="L3368" s="13">
        <v>42917</v>
      </c>
      <c r="M3368" t="s">
        <v>2365</v>
      </c>
      <c r="N3368" t="s">
        <v>2366</v>
      </c>
      <c r="O3368">
        <v>247.48</v>
      </c>
      <c r="P3368" t="s">
        <v>508</v>
      </c>
    </row>
    <row r="3369" spans="1:16" x14ac:dyDescent="0.4">
      <c r="A3369" t="s">
        <v>15</v>
      </c>
      <c r="B3369" t="s">
        <v>16</v>
      </c>
      <c r="C3369" s="13">
        <v>42736</v>
      </c>
      <c r="D3369" s="13">
        <v>43100</v>
      </c>
      <c r="E3369" t="s">
        <v>17</v>
      </c>
      <c r="F3369">
        <v>8</v>
      </c>
      <c r="G3369" t="s">
        <v>501</v>
      </c>
      <c r="H3369">
        <v>40</v>
      </c>
      <c r="I3369" t="s">
        <v>501</v>
      </c>
      <c r="J3369">
        <v>801</v>
      </c>
      <c r="K3369" t="s">
        <v>511</v>
      </c>
      <c r="L3369" s="13">
        <v>43009</v>
      </c>
      <c r="M3369" t="s">
        <v>2367</v>
      </c>
      <c r="N3369" t="s">
        <v>2368</v>
      </c>
      <c r="O3369">
        <v>247.48</v>
      </c>
      <c r="P3369" t="s">
        <v>508</v>
      </c>
    </row>
    <row r="3370" spans="1:16" x14ac:dyDescent="0.4">
      <c r="A3370" t="s">
        <v>15</v>
      </c>
      <c r="B3370" t="s">
        <v>16</v>
      </c>
      <c r="C3370" s="13">
        <v>42736</v>
      </c>
      <c r="D3370" s="13">
        <v>43100</v>
      </c>
      <c r="E3370" t="s">
        <v>17</v>
      </c>
      <c r="F3370">
        <v>11</v>
      </c>
      <c r="G3370" t="s">
        <v>501</v>
      </c>
      <c r="H3370">
        <v>40</v>
      </c>
      <c r="I3370" t="s">
        <v>501</v>
      </c>
      <c r="J3370">
        <v>264</v>
      </c>
      <c r="K3370" t="s">
        <v>502</v>
      </c>
      <c r="L3370" s="13">
        <v>42759</v>
      </c>
      <c r="M3370" t="s">
        <v>76</v>
      </c>
      <c r="N3370" t="s">
        <v>2322</v>
      </c>
      <c r="O3370">
        <v>26.53</v>
      </c>
      <c r="P3370" t="s">
        <v>52</v>
      </c>
    </row>
    <row r="3371" spans="1:16" x14ac:dyDescent="0.4">
      <c r="A3371" t="s">
        <v>15</v>
      </c>
      <c r="B3371" t="s">
        <v>16</v>
      </c>
      <c r="C3371" s="13">
        <v>42736</v>
      </c>
      <c r="D3371" s="13">
        <v>43100</v>
      </c>
      <c r="E3371" t="s">
        <v>17</v>
      </c>
      <c r="F3371">
        <v>11</v>
      </c>
      <c r="G3371" t="s">
        <v>501</v>
      </c>
      <c r="H3371">
        <v>40</v>
      </c>
      <c r="I3371" t="s">
        <v>501</v>
      </c>
      <c r="J3371">
        <v>264</v>
      </c>
      <c r="K3371" t="s">
        <v>502</v>
      </c>
      <c r="L3371" s="13">
        <v>42822</v>
      </c>
      <c r="M3371" t="s">
        <v>76</v>
      </c>
      <c r="N3371" t="s">
        <v>2323</v>
      </c>
      <c r="O3371">
        <v>14.15</v>
      </c>
      <c r="P3371" t="s">
        <v>52</v>
      </c>
    </row>
    <row r="3372" spans="1:16" x14ac:dyDescent="0.4">
      <c r="A3372" t="s">
        <v>15</v>
      </c>
      <c r="B3372" t="s">
        <v>16</v>
      </c>
      <c r="C3372" s="13">
        <v>42736</v>
      </c>
      <c r="D3372" s="13">
        <v>43100</v>
      </c>
      <c r="E3372" t="s">
        <v>17</v>
      </c>
      <c r="F3372">
        <v>11</v>
      </c>
      <c r="G3372" t="s">
        <v>501</v>
      </c>
      <c r="H3372">
        <v>40</v>
      </c>
      <c r="I3372" t="s">
        <v>501</v>
      </c>
      <c r="J3372">
        <v>264</v>
      </c>
      <c r="K3372" t="s">
        <v>502</v>
      </c>
      <c r="L3372" s="13">
        <v>42878</v>
      </c>
      <c r="M3372" t="s">
        <v>76</v>
      </c>
      <c r="N3372" t="s">
        <v>2324</v>
      </c>
      <c r="O3372">
        <v>21.65</v>
      </c>
      <c r="P3372" t="s">
        <v>52</v>
      </c>
    </row>
    <row r="3373" spans="1:16" x14ac:dyDescent="0.4">
      <c r="A3373" t="s">
        <v>15</v>
      </c>
      <c r="B3373" t="s">
        <v>16</v>
      </c>
      <c r="C3373" s="13">
        <v>42736</v>
      </c>
      <c r="D3373" s="13">
        <v>43100</v>
      </c>
      <c r="E3373" t="s">
        <v>17</v>
      </c>
      <c r="F3373">
        <v>11</v>
      </c>
      <c r="G3373" t="s">
        <v>501</v>
      </c>
      <c r="H3373">
        <v>40</v>
      </c>
      <c r="I3373" t="s">
        <v>501</v>
      </c>
      <c r="J3373">
        <v>264</v>
      </c>
      <c r="K3373" t="s">
        <v>502</v>
      </c>
      <c r="L3373" s="13">
        <v>42938</v>
      </c>
      <c r="M3373" t="s">
        <v>76</v>
      </c>
      <c r="N3373" t="s">
        <v>2325</v>
      </c>
      <c r="O3373">
        <v>20.22</v>
      </c>
      <c r="P3373" t="s">
        <v>52</v>
      </c>
    </row>
    <row r="3374" spans="1:16" x14ac:dyDescent="0.4">
      <c r="A3374" t="s">
        <v>15</v>
      </c>
      <c r="B3374" t="s">
        <v>16</v>
      </c>
      <c r="C3374" s="13">
        <v>42736</v>
      </c>
      <c r="D3374" s="13">
        <v>43100</v>
      </c>
      <c r="E3374" t="s">
        <v>17</v>
      </c>
      <c r="F3374">
        <v>11</v>
      </c>
      <c r="G3374" t="s">
        <v>501</v>
      </c>
      <c r="H3374">
        <v>40</v>
      </c>
      <c r="I3374" t="s">
        <v>501</v>
      </c>
      <c r="J3374">
        <v>264</v>
      </c>
      <c r="K3374" t="s">
        <v>502</v>
      </c>
      <c r="L3374" s="13">
        <v>43006</v>
      </c>
      <c r="M3374" t="s">
        <v>76</v>
      </c>
      <c r="N3374" t="s">
        <v>2162</v>
      </c>
      <c r="O3374">
        <v>19.79</v>
      </c>
      <c r="P3374" t="s">
        <v>52</v>
      </c>
    </row>
    <row r="3375" spans="1:16" x14ac:dyDescent="0.4">
      <c r="A3375" t="s">
        <v>15</v>
      </c>
      <c r="B3375" t="s">
        <v>16</v>
      </c>
      <c r="C3375" s="13">
        <v>42736</v>
      </c>
      <c r="D3375" s="13">
        <v>43100</v>
      </c>
      <c r="E3375" t="s">
        <v>17</v>
      </c>
      <c r="F3375">
        <v>11</v>
      </c>
      <c r="G3375" t="s">
        <v>501</v>
      </c>
      <c r="H3375">
        <v>40</v>
      </c>
      <c r="I3375" t="s">
        <v>501</v>
      </c>
      <c r="J3375">
        <v>264</v>
      </c>
      <c r="K3375" t="s">
        <v>502</v>
      </c>
      <c r="L3375" s="13">
        <v>43062</v>
      </c>
      <c r="M3375" t="s">
        <v>76</v>
      </c>
      <c r="N3375" t="s">
        <v>2162</v>
      </c>
      <c r="O3375">
        <v>18.22</v>
      </c>
      <c r="P3375" t="s">
        <v>52</v>
      </c>
    </row>
    <row r="3376" spans="1:16" x14ac:dyDescent="0.4">
      <c r="A3376" t="s">
        <v>15</v>
      </c>
      <c r="B3376" t="s">
        <v>16</v>
      </c>
      <c r="C3376" s="13">
        <v>42736</v>
      </c>
      <c r="D3376" s="13">
        <v>43100</v>
      </c>
      <c r="E3376" t="s">
        <v>17</v>
      </c>
      <c r="F3376">
        <v>11</v>
      </c>
      <c r="G3376" t="s">
        <v>501</v>
      </c>
      <c r="H3376">
        <v>40</v>
      </c>
      <c r="I3376" t="s">
        <v>501</v>
      </c>
      <c r="J3376">
        <v>741</v>
      </c>
      <c r="K3376" t="s">
        <v>505</v>
      </c>
      <c r="L3376" s="13">
        <v>42736</v>
      </c>
      <c r="M3376" t="s">
        <v>2371</v>
      </c>
      <c r="N3376" t="s">
        <v>46</v>
      </c>
      <c r="O3376">
        <v>-66.069999999999993</v>
      </c>
      <c r="P3376" t="s">
        <v>46</v>
      </c>
    </row>
    <row r="3377" spans="1:16" x14ac:dyDescent="0.4">
      <c r="A3377" t="s">
        <v>15</v>
      </c>
      <c r="B3377" t="s">
        <v>16</v>
      </c>
      <c r="C3377" s="13">
        <v>42736</v>
      </c>
      <c r="D3377" s="13">
        <v>43100</v>
      </c>
      <c r="E3377" t="s">
        <v>17</v>
      </c>
      <c r="F3377">
        <v>11</v>
      </c>
      <c r="G3377" t="s">
        <v>501</v>
      </c>
      <c r="H3377">
        <v>40</v>
      </c>
      <c r="I3377" t="s">
        <v>501</v>
      </c>
      <c r="J3377">
        <v>741</v>
      </c>
      <c r="K3377" t="s">
        <v>505</v>
      </c>
      <c r="L3377" s="13">
        <v>42976</v>
      </c>
      <c r="M3377" t="s">
        <v>2359</v>
      </c>
      <c r="N3377" t="s">
        <v>2373</v>
      </c>
      <c r="O3377">
        <v>47.17</v>
      </c>
      <c r="P3377" t="s">
        <v>508</v>
      </c>
    </row>
    <row r="3378" spans="1:16" x14ac:dyDescent="0.4">
      <c r="A3378" t="s">
        <v>15</v>
      </c>
      <c r="B3378" t="s">
        <v>16</v>
      </c>
      <c r="C3378" s="13">
        <v>42736</v>
      </c>
      <c r="D3378" s="13">
        <v>43100</v>
      </c>
      <c r="E3378" t="s">
        <v>17</v>
      </c>
      <c r="F3378">
        <v>11</v>
      </c>
      <c r="G3378" t="s">
        <v>501</v>
      </c>
      <c r="H3378">
        <v>40</v>
      </c>
      <c r="I3378" t="s">
        <v>501</v>
      </c>
      <c r="J3378">
        <v>801</v>
      </c>
      <c r="K3378" t="s">
        <v>511</v>
      </c>
      <c r="L3378" s="13">
        <v>42736</v>
      </c>
      <c r="M3378" t="s">
        <v>2361</v>
      </c>
      <c r="N3378" t="s">
        <v>2362</v>
      </c>
      <c r="O3378">
        <v>247.54</v>
      </c>
      <c r="P3378" t="s">
        <v>508</v>
      </c>
    </row>
    <row r="3379" spans="1:16" x14ac:dyDescent="0.4">
      <c r="A3379" t="s">
        <v>15</v>
      </c>
      <c r="B3379" t="s">
        <v>16</v>
      </c>
      <c r="C3379" s="13">
        <v>42736</v>
      </c>
      <c r="D3379" s="13">
        <v>43100</v>
      </c>
      <c r="E3379" t="s">
        <v>17</v>
      </c>
      <c r="F3379">
        <v>11</v>
      </c>
      <c r="G3379" t="s">
        <v>501</v>
      </c>
      <c r="H3379">
        <v>40</v>
      </c>
      <c r="I3379" t="s">
        <v>501</v>
      </c>
      <c r="J3379">
        <v>801</v>
      </c>
      <c r="K3379" t="s">
        <v>511</v>
      </c>
      <c r="L3379" s="13">
        <v>42826</v>
      </c>
      <c r="M3379" t="s">
        <v>2363</v>
      </c>
      <c r="N3379" t="s">
        <v>2364</v>
      </c>
      <c r="O3379">
        <v>247.54</v>
      </c>
      <c r="P3379" t="s">
        <v>508</v>
      </c>
    </row>
    <row r="3380" spans="1:16" x14ac:dyDescent="0.4">
      <c r="A3380" t="s">
        <v>15</v>
      </c>
      <c r="B3380" t="s">
        <v>16</v>
      </c>
      <c r="C3380" s="13">
        <v>42736</v>
      </c>
      <c r="D3380" s="13">
        <v>43100</v>
      </c>
      <c r="E3380" t="s">
        <v>17</v>
      </c>
      <c r="F3380">
        <v>11</v>
      </c>
      <c r="G3380" t="s">
        <v>501</v>
      </c>
      <c r="H3380">
        <v>40</v>
      </c>
      <c r="I3380" t="s">
        <v>501</v>
      </c>
      <c r="J3380">
        <v>801</v>
      </c>
      <c r="K3380" t="s">
        <v>511</v>
      </c>
      <c r="L3380" s="13">
        <v>42917</v>
      </c>
      <c r="M3380" t="s">
        <v>2365</v>
      </c>
      <c r="N3380" t="s">
        <v>2366</v>
      </c>
      <c r="O3380">
        <v>247.54</v>
      </c>
      <c r="P3380" t="s">
        <v>508</v>
      </c>
    </row>
    <row r="3381" spans="1:16" x14ac:dyDescent="0.4">
      <c r="A3381" t="s">
        <v>15</v>
      </c>
      <c r="B3381" t="s">
        <v>16</v>
      </c>
      <c r="C3381" s="13">
        <v>42736</v>
      </c>
      <c r="D3381" s="13">
        <v>43100</v>
      </c>
      <c r="E3381" t="s">
        <v>17</v>
      </c>
      <c r="F3381">
        <v>11</v>
      </c>
      <c r="G3381" t="s">
        <v>501</v>
      </c>
      <c r="H3381">
        <v>40</v>
      </c>
      <c r="I3381" t="s">
        <v>501</v>
      </c>
      <c r="J3381">
        <v>801</v>
      </c>
      <c r="K3381" t="s">
        <v>511</v>
      </c>
      <c r="L3381" s="13">
        <v>43009</v>
      </c>
      <c r="M3381" t="s">
        <v>2374</v>
      </c>
      <c r="N3381" t="s">
        <v>2368</v>
      </c>
      <c r="O3381">
        <v>247.55</v>
      </c>
      <c r="P3381" t="s">
        <v>508</v>
      </c>
    </row>
    <row r="3382" spans="1:16" x14ac:dyDescent="0.4">
      <c r="A3382" t="s">
        <v>15</v>
      </c>
      <c r="B3382" t="s">
        <v>16</v>
      </c>
      <c r="C3382" s="13">
        <v>42736</v>
      </c>
      <c r="D3382" s="13">
        <v>43100</v>
      </c>
      <c r="E3382" t="s">
        <v>17</v>
      </c>
      <c r="F3382">
        <v>13</v>
      </c>
      <c r="G3382" t="s">
        <v>560</v>
      </c>
      <c r="H3382">
        <v>50</v>
      </c>
      <c r="I3382" t="s">
        <v>561</v>
      </c>
      <c r="J3382">
        <v>269</v>
      </c>
      <c r="K3382" t="s">
        <v>562</v>
      </c>
      <c r="L3382" s="13">
        <v>42745</v>
      </c>
      <c r="M3382" t="s">
        <v>76</v>
      </c>
      <c r="N3382" t="s">
        <v>2375</v>
      </c>
      <c r="O3382">
        <v>506.1</v>
      </c>
      <c r="P3382" t="s">
        <v>565</v>
      </c>
    </row>
    <row r="3383" spans="1:16" x14ac:dyDescent="0.4">
      <c r="A3383" t="s">
        <v>15</v>
      </c>
      <c r="B3383" t="s">
        <v>16</v>
      </c>
      <c r="C3383" s="13">
        <v>42736</v>
      </c>
      <c r="D3383" s="13">
        <v>43100</v>
      </c>
      <c r="E3383" t="s">
        <v>17</v>
      </c>
      <c r="F3383">
        <v>13</v>
      </c>
      <c r="G3383" t="s">
        <v>560</v>
      </c>
      <c r="H3383">
        <v>50</v>
      </c>
      <c r="I3383" t="s">
        <v>561</v>
      </c>
      <c r="J3383">
        <v>269</v>
      </c>
      <c r="K3383" t="s">
        <v>562</v>
      </c>
      <c r="L3383" s="13">
        <v>42780</v>
      </c>
      <c r="M3383" t="s">
        <v>76</v>
      </c>
      <c r="N3383" t="s">
        <v>2376</v>
      </c>
      <c r="O3383">
        <v>525.66</v>
      </c>
      <c r="P3383" t="s">
        <v>565</v>
      </c>
    </row>
    <row r="3384" spans="1:16" x14ac:dyDescent="0.4">
      <c r="A3384" t="s">
        <v>15</v>
      </c>
      <c r="B3384" t="s">
        <v>16</v>
      </c>
      <c r="C3384" s="13">
        <v>42736</v>
      </c>
      <c r="D3384" s="13">
        <v>43100</v>
      </c>
      <c r="E3384" t="s">
        <v>17</v>
      </c>
      <c r="F3384">
        <v>13</v>
      </c>
      <c r="G3384" t="s">
        <v>560</v>
      </c>
      <c r="H3384">
        <v>50</v>
      </c>
      <c r="I3384" t="s">
        <v>561</v>
      </c>
      <c r="J3384">
        <v>269</v>
      </c>
      <c r="K3384" t="s">
        <v>562</v>
      </c>
      <c r="L3384" s="13">
        <v>42808</v>
      </c>
      <c r="M3384" t="s">
        <v>76</v>
      </c>
      <c r="N3384" t="s">
        <v>2377</v>
      </c>
      <c r="O3384">
        <v>432.55</v>
      </c>
      <c r="P3384" t="s">
        <v>565</v>
      </c>
    </row>
    <row r="3385" spans="1:16" x14ac:dyDescent="0.4">
      <c r="A3385" t="s">
        <v>15</v>
      </c>
      <c r="B3385" t="s">
        <v>16</v>
      </c>
      <c r="C3385" s="13">
        <v>42736</v>
      </c>
      <c r="D3385" s="13">
        <v>43100</v>
      </c>
      <c r="E3385" t="s">
        <v>17</v>
      </c>
      <c r="F3385">
        <v>13</v>
      </c>
      <c r="G3385" t="s">
        <v>560</v>
      </c>
      <c r="H3385">
        <v>50</v>
      </c>
      <c r="I3385" t="s">
        <v>561</v>
      </c>
      <c r="J3385">
        <v>269</v>
      </c>
      <c r="K3385" t="s">
        <v>562</v>
      </c>
      <c r="L3385" s="13">
        <v>42838</v>
      </c>
      <c r="M3385" t="s">
        <v>76</v>
      </c>
      <c r="N3385" t="s">
        <v>2378</v>
      </c>
      <c r="O3385">
        <v>422.9</v>
      </c>
      <c r="P3385" t="s">
        <v>565</v>
      </c>
    </row>
    <row r="3386" spans="1:16" x14ac:dyDescent="0.4">
      <c r="A3386" t="s">
        <v>15</v>
      </c>
      <c r="B3386" t="s">
        <v>16</v>
      </c>
      <c r="C3386" s="13">
        <v>42736</v>
      </c>
      <c r="D3386" s="13">
        <v>43100</v>
      </c>
      <c r="E3386" t="s">
        <v>17</v>
      </c>
      <c r="F3386">
        <v>13</v>
      </c>
      <c r="G3386" t="s">
        <v>560</v>
      </c>
      <c r="H3386">
        <v>50</v>
      </c>
      <c r="I3386" t="s">
        <v>561</v>
      </c>
      <c r="J3386">
        <v>269</v>
      </c>
      <c r="K3386" t="s">
        <v>562</v>
      </c>
      <c r="L3386" s="13">
        <v>42871</v>
      </c>
      <c r="M3386" t="s">
        <v>76</v>
      </c>
      <c r="N3386" t="s">
        <v>46</v>
      </c>
      <c r="O3386">
        <v>378.47</v>
      </c>
      <c r="P3386" t="s">
        <v>46</v>
      </c>
    </row>
    <row r="3387" spans="1:16" x14ac:dyDescent="0.4">
      <c r="A3387" t="s">
        <v>15</v>
      </c>
      <c r="B3387" t="s">
        <v>16</v>
      </c>
      <c r="C3387" s="13">
        <v>42736</v>
      </c>
      <c r="D3387" s="13">
        <v>43100</v>
      </c>
      <c r="E3387" t="s">
        <v>17</v>
      </c>
      <c r="F3387">
        <v>13</v>
      </c>
      <c r="G3387" t="s">
        <v>560</v>
      </c>
      <c r="H3387">
        <v>50</v>
      </c>
      <c r="I3387" t="s">
        <v>561</v>
      </c>
      <c r="J3387">
        <v>269</v>
      </c>
      <c r="K3387" t="s">
        <v>562</v>
      </c>
      <c r="L3387" s="13">
        <v>42900</v>
      </c>
      <c r="M3387" t="s">
        <v>76</v>
      </c>
      <c r="N3387" t="s">
        <v>2379</v>
      </c>
      <c r="O3387">
        <v>335.5</v>
      </c>
      <c r="P3387" t="s">
        <v>565</v>
      </c>
    </row>
    <row r="3388" spans="1:16" x14ac:dyDescent="0.4">
      <c r="A3388" t="s">
        <v>15</v>
      </c>
      <c r="B3388" t="s">
        <v>16</v>
      </c>
      <c r="C3388" s="13">
        <v>42736</v>
      </c>
      <c r="D3388" s="13">
        <v>43100</v>
      </c>
      <c r="E3388" t="s">
        <v>17</v>
      </c>
      <c r="F3388">
        <v>13</v>
      </c>
      <c r="G3388" t="s">
        <v>560</v>
      </c>
      <c r="H3388">
        <v>50</v>
      </c>
      <c r="I3388" t="s">
        <v>561</v>
      </c>
      <c r="J3388">
        <v>269</v>
      </c>
      <c r="K3388" t="s">
        <v>562</v>
      </c>
      <c r="L3388" s="13">
        <v>42929</v>
      </c>
      <c r="M3388" t="s">
        <v>76</v>
      </c>
      <c r="N3388" t="s">
        <v>2380</v>
      </c>
      <c r="O3388">
        <v>307.72000000000003</v>
      </c>
      <c r="P3388" t="s">
        <v>565</v>
      </c>
    </row>
    <row r="3389" spans="1:16" x14ac:dyDescent="0.4">
      <c r="A3389" t="s">
        <v>15</v>
      </c>
      <c r="B3389" t="s">
        <v>16</v>
      </c>
      <c r="C3389" s="13">
        <v>42736</v>
      </c>
      <c r="D3389" s="13">
        <v>43100</v>
      </c>
      <c r="E3389" t="s">
        <v>17</v>
      </c>
      <c r="F3389">
        <v>13</v>
      </c>
      <c r="G3389" t="s">
        <v>560</v>
      </c>
      <c r="H3389">
        <v>50</v>
      </c>
      <c r="I3389" t="s">
        <v>561</v>
      </c>
      <c r="J3389">
        <v>269</v>
      </c>
      <c r="K3389" t="s">
        <v>562</v>
      </c>
      <c r="L3389" s="13">
        <v>42972</v>
      </c>
      <c r="M3389" t="s">
        <v>76</v>
      </c>
      <c r="N3389" t="s">
        <v>2381</v>
      </c>
      <c r="O3389">
        <v>347.64</v>
      </c>
      <c r="P3389" t="s">
        <v>565</v>
      </c>
    </row>
    <row r="3390" spans="1:16" x14ac:dyDescent="0.4">
      <c r="A3390" t="s">
        <v>15</v>
      </c>
      <c r="B3390" t="s">
        <v>16</v>
      </c>
      <c r="C3390" s="13">
        <v>42736</v>
      </c>
      <c r="D3390" s="13">
        <v>43100</v>
      </c>
      <c r="E3390" t="s">
        <v>17</v>
      </c>
      <c r="F3390">
        <v>13</v>
      </c>
      <c r="G3390" t="s">
        <v>560</v>
      </c>
      <c r="H3390">
        <v>50</v>
      </c>
      <c r="I3390" t="s">
        <v>561</v>
      </c>
      <c r="J3390">
        <v>269</v>
      </c>
      <c r="K3390" t="s">
        <v>562</v>
      </c>
      <c r="L3390" s="13">
        <v>42991</v>
      </c>
      <c r="M3390" t="s">
        <v>76</v>
      </c>
      <c r="N3390" t="s">
        <v>2162</v>
      </c>
      <c r="O3390">
        <v>280.7</v>
      </c>
      <c r="P3390" t="s">
        <v>565</v>
      </c>
    </row>
    <row r="3391" spans="1:16" x14ac:dyDescent="0.4">
      <c r="A3391" t="s">
        <v>15</v>
      </c>
      <c r="B3391" t="s">
        <v>16</v>
      </c>
      <c r="C3391" s="13">
        <v>42736</v>
      </c>
      <c r="D3391" s="13">
        <v>43100</v>
      </c>
      <c r="E3391" t="s">
        <v>17</v>
      </c>
      <c r="F3391">
        <v>13</v>
      </c>
      <c r="G3391" t="s">
        <v>560</v>
      </c>
      <c r="H3391">
        <v>50</v>
      </c>
      <c r="I3391" t="s">
        <v>561</v>
      </c>
      <c r="J3391">
        <v>269</v>
      </c>
      <c r="K3391" t="s">
        <v>562</v>
      </c>
      <c r="L3391" s="13">
        <v>43022</v>
      </c>
      <c r="M3391" t="s">
        <v>76</v>
      </c>
      <c r="N3391" t="s">
        <v>2162</v>
      </c>
      <c r="O3391">
        <v>364.54</v>
      </c>
      <c r="P3391" t="s">
        <v>565</v>
      </c>
    </row>
    <row r="3392" spans="1:16" x14ac:dyDescent="0.4">
      <c r="A3392" t="s">
        <v>15</v>
      </c>
      <c r="B3392" t="s">
        <v>16</v>
      </c>
      <c r="C3392" s="13">
        <v>42736</v>
      </c>
      <c r="D3392" s="13">
        <v>43100</v>
      </c>
      <c r="E3392" t="s">
        <v>17</v>
      </c>
      <c r="F3392">
        <v>13</v>
      </c>
      <c r="G3392" t="s">
        <v>560</v>
      </c>
      <c r="H3392">
        <v>50</v>
      </c>
      <c r="I3392" t="s">
        <v>561</v>
      </c>
      <c r="J3392">
        <v>269</v>
      </c>
      <c r="K3392" t="s">
        <v>562</v>
      </c>
      <c r="L3392" s="13">
        <v>43053</v>
      </c>
      <c r="M3392" t="s">
        <v>76</v>
      </c>
      <c r="N3392" t="s">
        <v>2381</v>
      </c>
      <c r="O3392">
        <v>381.73</v>
      </c>
      <c r="P3392" t="s">
        <v>565</v>
      </c>
    </row>
    <row r="3393" spans="1:16" x14ac:dyDescent="0.4">
      <c r="A3393" t="s">
        <v>15</v>
      </c>
      <c r="B3393" t="s">
        <v>16</v>
      </c>
      <c r="C3393" s="13">
        <v>42736</v>
      </c>
      <c r="D3393" s="13">
        <v>43100</v>
      </c>
      <c r="E3393" t="s">
        <v>17</v>
      </c>
      <c r="F3393">
        <v>13</v>
      </c>
      <c r="G3393" t="s">
        <v>560</v>
      </c>
      <c r="H3393">
        <v>50</v>
      </c>
      <c r="I3393" t="s">
        <v>561</v>
      </c>
      <c r="J3393">
        <v>269</v>
      </c>
      <c r="K3393" t="s">
        <v>562</v>
      </c>
      <c r="L3393" s="13">
        <v>43082</v>
      </c>
      <c r="M3393" t="s">
        <v>76</v>
      </c>
      <c r="N3393" t="s">
        <v>2382</v>
      </c>
      <c r="O3393">
        <v>444.8</v>
      </c>
      <c r="P3393" t="s">
        <v>565</v>
      </c>
    </row>
    <row r="3394" spans="1:16" x14ac:dyDescent="0.4">
      <c r="A3394" t="s">
        <v>15</v>
      </c>
      <c r="B3394" t="s">
        <v>16</v>
      </c>
      <c r="C3394" s="13">
        <v>42736</v>
      </c>
      <c r="D3394" s="13">
        <v>43100</v>
      </c>
      <c r="E3394" t="s">
        <v>17</v>
      </c>
      <c r="F3394">
        <v>13</v>
      </c>
      <c r="G3394" t="s">
        <v>560</v>
      </c>
      <c r="H3394">
        <v>50</v>
      </c>
      <c r="I3394" t="s">
        <v>561</v>
      </c>
      <c r="J3394">
        <v>286</v>
      </c>
      <c r="K3394" t="s">
        <v>588</v>
      </c>
      <c r="L3394" s="13">
        <v>43100</v>
      </c>
      <c r="M3394" t="s">
        <v>2383</v>
      </c>
      <c r="N3394" t="s">
        <v>86</v>
      </c>
      <c r="O3394">
        <v>1273.9100000000001</v>
      </c>
      <c r="P3394" t="s">
        <v>46</v>
      </c>
    </row>
    <row r="3395" spans="1:16" x14ac:dyDescent="0.4">
      <c r="A3395" t="s">
        <v>15</v>
      </c>
      <c r="B3395" t="s">
        <v>16</v>
      </c>
      <c r="C3395" s="13">
        <v>42736</v>
      </c>
      <c r="D3395" s="13">
        <v>43100</v>
      </c>
      <c r="E3395" t="s">
        <v>17</v>
      </c>
      <c r="F3395">
        <v>14</v>
      </c>
      <c r="G3395" t="s">
        <v>560</v>
      </c>
      <c r="H3395">
        <v>50</v>
      </c>
      <c r="I3395" t="s">
        <v>561</v>
      </c>
      <c r="J3395">
        <v>269</v>
      </c>
      <c r="K3395" t="s">
        <v>562</v>
      </c>
      <c r="L3395" s="13">
        <v>42748</v>
      </c>
      <c r="M3395" t="s">
        <v>76</v>
      </c>
      <c r="N3395" t="s">
        <v>2384</v>
      </c>
      <c r="O3395">
        <v>465.05</v>
      </c>
      <c r="P3395" t="s">
        <v>565</v>
      </c>
    </row>
    <row r="3396" spans="1:16" x14ac:dyDescent="0.4">
      <c r="A3396" t="s">
        <v>15</v>
      </c>
      <c r="B3396" t="s">
        <v>16</v>
      </c>
      <c r="C3396" s="13">
        <v>42736</v>
      </c>
      <c r="D3396" s="13">
        <v>43100</v>
      </c>
      <c r="E3396" t="s">
        <v>17</v>
      </c>
      <c r="F3396">
        <v>14</v>
      </c>
      <c r="G3396" t="s">
        <v>560</v>
      </c>
      <c r="H3396">
        <v>50</v>
      </c>
      <c r="I3396" t="s">
        <v>561</v>
      </c>
      <c r="J3396">
        <v>269</v>
      </c>
      <c r="K3396" t="s">
        <v>562</v>
      </c>
      <c r="L3396" s="13">
        <v>42780</v>
      </c>
      <c r="M3396" t="s">
        <v>76</v>
      </c>
      <c r="N3396" t="s">
        <v>2385</v>
      </c>
      <c r="O3396">
        <v>441.95</v>
      </c>
      <c r="P3396" t="s">
        <v>565</v>
      </c>
    </row>
    <row r="3397" spans="1:16" x14ac:dyDescent="0.4">
      <c r="A3397" t="s">
        <v>15</v>
      </c>
      <c r="B3397" t="s">
        <v>16</v>
      </c>
      <c r="C3397" s="13">
        <v>42736</v>
      </c>
      <c r="D3397" s="13">
        <v>43100</v>
      </c>
      <c r="E3397" t="s">
        <v>17</v>
      </c>
      <c r="F3397">
        <v>14</v>
      </c>
      <c r="G3397" t="s">
        <v>560</v>
      </c>
      <c r="H3397">
        <v>50</v>
      </c>
      <c r="I3397" t="s">
        <v>561</v>
      </c>
      <c r="J3397">
        <v>269</v>
      </c>
      <c r="K3397" t="s">
        <v>562</v>
      </c>
      <c r="L3397" s="13">
        <v>42808</v>
      </c>
      <c r="M3397" t="s">
        <v>76</v>
      </c>
      <c r="N3397" t="s">
        <v>46</v>
      </c>
      <c r="O3397">
        <v>372.2</v>
      </c>
      <c r="P3397" t="s">
        <v>46</v>
      </c>
    </row>
    <row r="3398" spans="1:16" x14ac:dyDescent="0.4">
      <c r="A3398" t="s">
        <v>15</v>
      </c>
      <c r="B3398" t="s">
        <v>16</v>
      </c>
      <c r="C3398" s="13">
        <v>42736</v>
      </c>
      <c r="D3398" s="13">
        <v>43100</v>
      </c>
      <c r="E3398" t="s">
        <v>17</v>
      </c>
      <c r="F3398">
        <v>14</v>
      </c>
      <c r="G3398" t="s">
        <v>560</v>
      </c>
      <c r="H3398">
        <v>50</v>
      </c>
      <c r="I3398" t="s">
        <v>561</v>
      </c>
      <c r="J3398">
        <v>269</v>
      </c>
      <c r="K3398" t="s">
        <v>562</v>
      </c>
      <c r="L3398" s="13">
        <v>42838</v>
      </c>
      <c r="M3398" t="s">
        <v>76</v>
      </c>
      <c r="N3398" t="s">
        <v>2386</v>
      </c>
      <c r="O3398">
        <v>369.48</v>
      </c>
      <c r="P3398" t="s">
        <v>565</v>
      </c>
    </row>
    <row r="3399" spans="1:16" x14ac:dyDescent="0.4">
      <c r="A3399" t="s">
        <v>15</v>
      </c>
      <c r="B3399" t="s">
        <v>16</v>
      </c>
      <c r="C3399" s="13">
        <v>42736</v>
      </c>
      <c r="D3399" s="13">
        <v>43100</v>
      </c>
      <c r="E3399" t="s">
        <v>17</v>
      </c>
      <c r="F3399">
        <v>14</v>
      </c>
      <c r="G3399" t="s">
        <v>560</v>
      </c>
      <c r="H3399">
        <v>50</v>
      </c>
      <c r="I3399" t="s">
        <v>561</v>
      </c>
      <c r="J3399">
        <v>269</v>
      </c>
      <c r="K3399" t="s">
        <v>562</v>
      </c>
      <c r="L3399" s="13">
        <v>42868</v>
      </c>
      <c r="M3399" t="s">
        <v>76</v>
      </c>
      <c r="N3399" t="s">
        <v>46</v>
      </c>
      <c r="O3399">
        <v>323.5</v>
      </c>
      <c r="P3399" t="s">
        <v>46</v>
      </c>
    </row>
    <row r="3400" spans="1:16" x14ac:dyDescent="0.4">
      <c r="A3400" t="s">
        <v>15</v>
      </c>
      <c r="B3400" t="s">
        <v>16</v>
      </c>
      <c r="C3400" s="13">
        <v>42736</v>
      </c>
      <c r="D3400" s="13">
        <v>43100</v>
      </c>
      <c r="E3400" t="s">
        <v>17</v>
      </c>
      <c r="F3400">
        <v>14</v>
      </c>
      <c r="G3400" t="s">
        <v>560</v>
      </c>
      <c r="H3400">
        <v>50</v>
      </c>
      <c r="I3400" t="s">
        <v>561</v>
      </c>
      <c r="J3400">
        <v>269</v>
      </c>
      <c r="K3400" t="s">
        <v>562</v>
      </c>
      <c r="L3400" s="13">
        <v>42900</v>
      </c>
      <c r="M3400" t="s">
        <v>76</v>
      </c>
      <c r="N3400" t="s">
        <v>46</v>
      </c>
      <c r="O3400">
        <v>285.95999999999998</v>
      </c>
      <c r="P3400" t="s">
        <v>46</v>
      </c>
    </row>
    <row r="3401" spans="1:16" x14ac:dyDescent="0.4">
      <c r="A3401" t="s">
        <v>15</v>
      </c>
      <c r="B3401" t="s">
        <v>16</v>
      </c>
      <c r="C3401" s="13">
        <v>42736</v>
      </c>
      <c r="D3401" s="13">
        <v>43100</v>
      </c>
      <c r="E3401" t="s">
        <v>17</v>
      </c>
      <c r="F3401">
        <v>14</v>
      </c>
      <c r="G3401" t="s">
        <v>560</v>
      </c>
      <c r="H3401">
        <v>50</v>
      </c>
      <c r="I3401" t="s">
        <v>561</v>
      </c>
      <c r="J3401">
        <v>269</v>
      </c>
      <c r="K3401" t="s">
        <v>562</v>
      </c>
      <c r="L3401" s="13">
        <v>42929</v>
      </c>
      <c r="M3401" t="s">
        <v>76</v>
      </c>
      <c r="N3401" t="s">
        <v>2380</v>
      </c>
      <c r="O3401">
        <v>252.1</v>
      </c>
      <c r="P3401" t="s">
        <v>565</v>
      </c>
    </row>
    <row r="3402" spans="1:16" x14ac:dyDescent="0.4">
      <c r="A3402" t="s">
        <v>15</v>
      </c>
      <c r="B3402" t="s">
        <v>16</v>
      </c>
      <c r="C3402" s="13">
        <v>42736</v>
      </c>
      <c r="D3402" s="13">
        <v>43100</v>
      </c>
      <c r="E3402" t="s">
        <v>17</v>
      </c>
      <c r="F3402">
        <v>14</v>
      </c>
      <c r="G3402" t="s">
        <v>560</v>
      </c>
      <c r="H3402">
        <v>50</v>
      </c>
      <c r="I3402" t="s">
        <v>561</v>
      </c>
      <c r="J3402">
        <v>269</v>
      </c>
      <c r="K3402" t="s">
        <v>562</v>
      </c>
      <c r="L3402" s="13">
        <v>42972</v>
      </c>
      <c r="M3402" t="s">
        <v>76</v>
      </c>
      <c r="N3402" t="s">
        <v>46</v>
      </c>
      <c r="O3402">
        <v>348.93</v>
      </c>
      <c r="P3402" t="s">
        <v>46</v>
      </c>
    </row>
    <row r="3403" spans="1:16" x14ac:dyDescent="0.4">
      <c r="A3403" t="s">
        <v>15</v>
      </c>
      <c r="B3403" t="s">
        <v>16</v>
      </c>
      <c r="C3403" s="13">
        <v>42736</v>
      </c>
      <c r="D3403" s="13">
        <v>43100</v>
      </c>
      <c r="E3403" t="s">
        <v>17</v>
      </c>
      <c r="F3403">
        <v>14</v>
      </c>
      <c r="G3403" t="s">
        <v>560</v>
      </c>
      <c r="H3403">
        <v>50</v>
      </c>
      <c r="I3403" t="s">
        <v>561</v>
      </c>
      <c r="J3403">
        <v>269</v>
      </c>
      <c r="K3403" t="s">
        <v>562</v>
      </c>
      <c r="L3403" s="13">
        <v>42991</v>
      </c>
      <c r="M3403" t="s">
        <v>76</v>
      </c>
      <c r="N3403" t="s">
        <v>2387</v>
      </c>
      <c r="O3403">
        <v>218.29</v>
      </c>
      <c r="P3403" t="s">
        <v>565</v>
      </c>
    </row>
    <row r="3404" spans="1:16" x14ac:dyDescent="0.4">
      <c r="A3404" t="s">
        <v>15</v>
      </c>
      <c r="B3404" t="s">
        <v>16</v>
      </c>
      <c r="C3404" s="13">
        <v>42736</v>
      </c>
      <c r="D3404" s="13">
        <v>43100</v>
      </c>
      <c r="E3404" t="s">
        <v>17</v>
      </c>
      <c r="F3404">
        <v>14</v>
      </c>
      <c r="G3404" t="s">
        <v>560</v>
      </c>
      <c r="H3404">
        <v>50</v>
      </c>
      <c r="I3404" t="s">
        <v>561</v>
      </c>
      <c r="J3404">
        <v>269</v>
      </c>
      <c r="K3404" t="s">
        <v>562</v>
      </c>
      <c r="L3404" s="13">
        <v>43021</v>
      </c>
      <c r="M3404" t="s">
        <v>76</v>
      </c>
      <c r="N3404" t="s">
        <v>46</v>
      </c>
      <c r="O3404">
        <v>299</v>
      </c>
      <c r="P3404" t="s">
        <v>46</v>
      </c>
    </row>
    <row r="3405" spans="1:16" x14ac:dyDescent="0.4">
      <c r="A3405" t="s">
        <v>15</v>
      </c>
      <c r="B3405" t="s">
        <v>16</v>
      </c>
      <c r="C3405" s="13">
        <v>42736</v>
      </c>
      <c r="D3405" s="13">
        <v>43100</v>
      </c>
      <c r="E3405" t="s">
        <v>17</v>
      </c>
      <c r="F3405">
        <v>14</v>
      </c>
      <c r="G3405" t="s">
        <v>560</v>
      </c>
      <c r="H3405">
        <v>50</v>
      </c>
      <c r="I3405" t="s">
        <v>561</v>
      </c>
      <c r="J3405">
        <v>269</v>
      </c>
      <c r="K3405" t="s">
        <v>562</v>
      </c>
      <c r="L3405" s="13">
        <v>43053</v>
      </c>
      <c r="M3405" t="s">
        <v>76</v>
      </c>
      <c r="N3405" t="s">
        <v>46</v>
      </c>
      <c r="O3405">
        <v>357.9</v>
      </c>
      <c r="P3405" t="s">
        <v>46</v>
      </c>
    </row>
    <row r="3406" spans="1:16" x14ac:dyDescent="0.4">
      <c r="A3406" t="s">
        <v>15</v>
      </c>
      <c r="B3406" t="s">
        <v>16</v>
      </c>
      <c r="C3406" s="13">
        <v>42736</v>
      </c>
      <c r="D3406" s="13">
        <v>43100</v>
      </c>
      <c r="E3406" t="s">
        <v>17</v>
      </c>
      <c r="F3406">
        <v>14</v>
      </c>
      <c r="G3406" t="s">
        <v>560</v>
      </c>
      <c r="H3406">
        <v>50</v>
      </c>
      <c r="I3406" t="s">
        <v>561</v>
      </c>
      <c r="J3406">
        <v>269</v>
      </c>
      <c r="K3406" t="s">
        <v>562</v>
      </c>
      <c r="L3406" s="13">
        <v>43083</v>
      </c>
      <c r="M3406" t="s">
        <v>76</v>
      </c>
      <c r="N3406" t="s">
        <v>2388</v>
      </c>
      <c r="O3406">
        <v>407.42</v>
      </c>
      <c r="P3406" t="s">
        <v>565</v>
      </c>
    </row>
    <row r="3407" spans="1:16" x14ac:dyDescent="0.4">
      <c r="A3407" t="s">
        <v>15</v>
      </c>
      <c r="B3407" t="s">
        <v>16</v>
      </c>
      <c r="C3407" s="13">
        <v>42736</v>
      </c>
      <c r="D3407" s="13">
        <v>43100</v>
      </c>
      <c r="E3407" t="s">
        <v>17</v>
      </c>
      <c r="F3407">
        <v>14</v>
      </c>
      <c r="G3407" t="s">
        <v>560</v>
      </c>
      <c r="H3407">
        <v>50</v>
      </c>
      <c r="I3407" t="s">
        <v>561</v>
      </c>
      <c r="J3407">
        <v>286</v>
      </c>
      <c r="K3407" t="s">
        <v>588</v>
      </c>
      <c r="L3407" s="13">
        <v>43100</v>
      </c>
      <c r="M3407" t="s">
        <v>2389</v>
      </c>
      <c r="N3407" t="s">
        <v>86</v>
      </c>
      <c r="O3407">
        <v>1236.45</v>
      </c>
      <c r="P3407" t="s">
        <v>46</v>
      </c>
    </row>
    <row r="3408" spans="1:16" x14ac:dyDescent="0.4">
      <c r="A3408" t="s">
        <v>15</v>
      </c>
      <c r="B3408" t="s">
        <v>16</v>
      </c>
      <c r="C3408" s="13">
        <v>42736</v>
      </c>
      <c r="D3408" s="13">
        <v>43100</v>
      </c>
      <c r="E3408" t="s">
        <v>17</v>
      </c>
      <c r="F3408">
        <v>15</v>
      </c>
      <c r="G3408" t="s">
        <v>560</v>
      </c>
      <c r="H3408">
        <v>50</v>
      </c>
      <c r="I3408" t="s">
        <v>561</v>
      </c>
      <c r="J3408">
        <v>269</v>
      </c>
      <c r="K3408" t="s">
        <v>562</v>
      </c>
      <c r="L3408" s="13">
        <v>42748</v>
      </c>
      <c r="M3408" t="s">
        <v>76</v>
      </c>
      <c r="N3408" t="s">
        <v>2384</v>
      </c>
      <c r="O3408">
        <v>465.05</v>
      </c>
      <c r="P3408" t="s">
        <v>565</v>
      </c>
    </row>
    <row r="3409" spans="1:16" x14ac:dyDescent="0.4">
      <c r="A3409" t="s">
        <v>15</v>
      </c>
      <c r="B3409" t="s">
        <v>16</v>
      </c>
      <c r="C3409" s="13">
        <v>42736</v>
      </c>
      <c r="D3409" s="13">
        <v>43100</v>
      </c>
      <c r="E3409" t="s">
        <v>17</v>
      </c>
      <c r="F3409">
        <v>15</v>
      </c>
      <c r="G3409" t="s">
        <v>560</v>
      </c>
      <c r="H3409">
        <v>50</v>
      </c>
      <c r="I3409" t="s">
        <v>561</v>
      </c>
      <c r="J3409">
        <v>269</v>
      </c>
      <c r="K3409" t="s">
        <v>562</v>
      </c>
      <c r="L3409" s="13">
        <v>42780</v>
      </c>
      <c r="M3409" t="s">
        <v>76</v>
      </c>
      <c r="N3409" t="s">
        <v>2385</v>
      </c>
      <c r="O3409">
        <v>441.96</v>
      </c>
      <c r="P3409" t="s">
        <v>565</v>
      </c>
    </row>
    <row r="3410" spans="1:16" x14ac:dyDescent="0.4">
      <c r="A3410" t="s">
        <v>15</v>
      </c>
      <c r="B3410" t="s">
        <v>16</v>
      </c>
      <c r="C3410" s="13">
        <v>42736</v>
      </c>
      <c r="D3410" s="13">
        <v>43100</v>
      </c>
      <c r="E3410" t="s">
        <v>17</v>
      </c>
      <c r="F3410">
        <v>15</v>
      </c>
      <c r="G3410" t="s">
        <v>560</v>
      </c>
      <c r="H3410">
        <v>50</v>
      </c>
      <c r="I3410" t="s">
        <v>561</v>
      </c>
      <c r="J3410">
        <v>269</v>
      </c>
      <c r="K3410" t="s">
        <v>562</v>
      </c>
      <c r="L3410" s="13">
        <v>42808</v>
      </c>
      <c r="M3410" t="s">
        <v>76</v>
      </c>
      <c r="N3410" t="s">
        <v>46</v>
      </c>
      <c r="O3410">
        <v>372.2</v>
      </c>
      <c r="P3410" t="s">
        <v>46</v>
      </c>
    </row>
    <row r="3411" spans="1:16" x14ac:dyDescent="0.4">
      <c r="A3411" t="s">
        <v>15</v>
      </c>
      <c r="B3411" t="s">
        <v>16</v>
      </c>
      <c r="C3411" s="13">
        <v>42736</v>
      </c>
      <c r="D3411" s="13">
        <v>43100</v>
      </c>
      <c r="E3411" t="s">
        <v>17</v>
      </c>
      <c r="F3411">
        <v>15</v>
      </c>
      <c r="G3411" t="s">
        <v>560</v>
      </c>
      <c r="H3411">
        <v>50</v>
      </c>
      <c r="I3411" t="s">
        <v>561</v>
      </c>
      <c r="J3411">
        <v>269</v>
      </c>
      <c r="K3411" t="s">
        <v>562</v>
      </c>
      <c r="L3411" s="13">
        <v>42838</v>
      </c>
      <c r="M3411" t="s">
        <v>76</v>
      </c>
      <c r="N3411" t="s">
        <v>2386</v>
      </c>
      <c r="O3411">
        <v>369.47</v>
      </c>
      <c r="P3411" t="s">
        <v>565</v>
      </c>
    </row>
    <row r="3412" spans="1:16" x14ac:dyDescent="0.4">
      <c r="A3412" t="s">
        <v>15</v>
      </c>
      <c r="B3412" t="s">
        <v>16</v>
      </c>
      <c r="C3412" s="13">
        <v>42736</v>
      </c>
      <c r="D3412" s="13">
        <v>43100</v>
      </c>
      <c r="E3412" t="s">
        <v>17</v>
      </c>
      <c r="F3412">
        <v>15</v>
      </c>
      <c r="G3412" t="s">
        <v>560</v>
      </c>
      <c r="H3412">
        <v>50</v>
      </c>
      <c r="I3412" t="s">
        <v>561</v>
      </c>
      <c r="J3412">
        <v>269</v>
      </c>
      <c r="K3412" t="s">
        <v>562</v>
      </c>
      <c r="L3412" s="13">
        <v>42868</v>
      </c>
      <c r="M3412" t="s">
        <v>76</v>
      </c>
      <c r="N3412" t="s">
        <v>46</v>
      </c>
      <c r="O3412">
        <v>323.49</v>
      </c>
      <c r="P3412" t="s">
        <v>46</v>
      </c>
    </row>
    <row r="3413" spans="1:16" x14ac:dyDescent="0.4">
      <c r="A3413" t="s">
        <v>15</v>
      </c>
      <c r="B3413" t="s">
        <v>16</v>
      </c>
      <c r="C3413" s="13">
        <v>42736</v>
      </c>
      <c r="D3413" s="13">
        <v>43100</v>
      </c>
      <c r="E3413" t="s">
        <v>17</v>
      </c>
      <c r="F3413">
        <v>15</v>
      </c>
      <c r="G3413" t="s">
        <v>560</v>
      </c>
      <c r="H3413">
        <v>50</v>
      </c>
      <c r="I3413" t="s">
        <v>561</v>
      </c>
      <c r="J3413">
        <v>269</v>
      </c>
      <c r="K3413" t="s">
        <v>562</v>
      </c>
      <c r="L3413" s="13">
        <v>42900</v>
      </c>
      <c r="M3413" t="s">
        <v>76</v>
      </c>
      <c r="N3413" t="s">
        <v>46</v>
      </c>
      <c r="O3413">
        <v>285.95999999999998</v>
      </c>
      <c r="P3413" t="s">
        <v>46</v>
      </c>
    </row>
    <row r="3414" spans="1:16" x14ac:dyDescent="0.4">
      <c r="A3414" t="s">
        <v>15</v>
      </c>
      <c r="B3414" t="s">
        <v>16</v>
      </c>
      <c r="C3414" s="13">
        <v>42736</v>
      </c>
      <c r="D3414" s="13">
        <v>43100</v>
      </c>
      <c r="E3414" t="s">
        <v>17</v>
      </c>
      <c r="F3414">
        <v>15</v>
      </c>
      <c r="G3414" t="s">
        <v>560</v>
      </c>
      <c r="H3414">
        <v>50</v>
      </c>
      <c r="I3414" t="s">
        <v>561</v>
      </c>
      <c r="J3414">
        <v>269</v>
      </c>
      <c r="K3414" t="s">
        <v>562</v>
      </c>
      <c r="L3414" s="13">
        <v>42929</v>
      </c>
      <c r="M3414" t="s">
        <v>76</v>
      </c>
      <c r="N3414" t="s">
        <v>2380</v>
      </c>
      <c r="O3414">
        <v>252.1</v>
      </c>
      <c r="P3414" t="s">
        <v>565</v>
      </c>
    </row>
    <row r="3415" spans="1:16" x14ac:dyDescent="0.4">
      <c r="A3415" t="s">
        <v>15</v>
      </c>
      <c r="B3415" t="s">
        <v>16</v>
      </c>
      <c r="C3415" s="13">
        <v>42736</v>
      </c>
      <c r="D3415" s="13">
        <v>43100</v>
      </c>
      <c r="E3415" t="s">
        <v>17</v>
      </c>
      <c r="F3415">
        <v>15</v>
      </c>
      <c r="G3415" t="s">
        <v>560</v>
      </c>
      <c r="H3415">
        <v>50</v>
      </c>
      <c r="I3415" t="s">
        <v>561</v>
      </c>
      <c r="J3415">
        <v>269</v>
      </c>
      <c r="K3415" t="s">
        <v>562</v>
      </c>
      <c r="L3415" s="13">
        <v>42972</v>
      </c>
      <c r="M3415" t="s">
        <v>76</v>
      </c>
      <c r="N3415" t="s">
        <v>46</v>
      </c>
      <c r="O3415">
        <v>348.93</v>
      </c>
      <c r="P3415" t="s">
        <v>46</v>
      </c>
    </row>
    <row r="3416" spans="1:16" x14ac:dyDescent="0.4">
      <c r="A3416" t="s">
        <v>15</v>
      </c>
      <c r="B3416" t="s">
        <v>16</v>
      </c>
      <c r="C3416" s="13">
        <v>42736</v>
      </c>
      <c r="D3416" s="13">
        <v>43100</v>
      </c>
      <c r="E3416" t="s">
        <v>17</v>
      </c>
      <c r="F3416">
        <v>15</v>
      </c>
      <c r="G3416" t="s">
        <v>560</v>
      </c>
      <c r="H3416">
        <v>50</v>
      </c>
      <c r="I3416" t="s">
        <v>561</v>
      </c>
      <c r="J3416">
        <v>269</v>
      </c>
      <c r="K3416" t="s">
        <v>562</v>
      </c>
      <c r="L3416" s="13">
        <v>42991</v>
      </c>
      <c r="M3416" t="s">
        <v>76</v>
      </c>
      <c r="N3416" t="s">
        <v>2387</v>
      </c>
      <c r="O3416">
        <v>218.29</v>
      </c>
      <c r="P3416" t="s">
        <v>565</v>
      </c>
    </row>
    <row r="3417" spans="1:16" x14ac:dyDescent="0.4">
      <c r="A3417" t="s">
        <v>15</v>
      </c>
      <c r="B3417" t="s">
        <v>16</v>
      </c>
      <c r="C3417" s="13">
        <v>42736</v>
      </c>
      <c r="D3417" s="13">
        <v>43100</v>
      </c>
      <c r="E3417" t="s">
        <v>17</v>
      </c>
      <c r="F3417">
        <v>15</v>
      </c>
      <c r="G3417" t="s">
        <v>560</v>
      </c>
      <c r="H3417">
        <v>50</v>
      </c>
      <c r="I3417" t="s">
        <v>561</v>
      </c>
      <c r="J3417">
        <v>269</v>
      </c>
      <c r="K3417" t="s">
        <v>562</v>
      </c>
      <c r="L3417" s="13">
        <v>43021</v>
      </c>
      <c r="M3417" t="s">
        <v>76</v>
      </c>
      <c r="N3417" t="s">
        <v>46</v>
      </c>
      <c r="O3417">
        <v>299</v>
      </c>
      <c r="P3417" t="s">
        <v>46</v>
      </c>
    </row>
    <row r="3418" spans="1:16" x14ac:dyDescent="0.4">
      <c r="A3418" t="s">
        <v>15</v>
      </c>
      <c r="B3418" t="s">
        <v>16</v>
      </c>
      <c r="C3418" s="13">
        <v>42736</v>
      </c>
      <c r="D3418" s="13">
        <v>43100</v>
      </c>
      <c r="E3418" t="s">
        <v>17</v>
      </c>
      <c r="F3418">
        <v>15</v>
      </c>
      <c r="G3418" t="s">
        <v>560</v>
      </c>
      <c r="H3418">
        <v>50</v>
      </c>
      <c r="I3418" t="s">
        <v>561</v>
      </c>
      <c r="J3418">
        <v>269</v>
      </c>
      <c r="K3418" t="s">
        <v>562</v>
      </c>
      <c r="L3418" s="13">
        <v>43053</v>
      </c>
      <c r="M3418" t="s">
        <v>76</v>
      </c>
      <c r="N3418" t="s">
        <v>46</v>
      </c>
      <c r="O3418">
        <v>357.9</v>
      </c>
      <c r="P3418" t="s">
        <v>46</v>
      </c>
    </row>
    <row r="3419" spans="1:16" x14ac:dyDescent="0.4">
      <c r="A3419" t="s">
        <v>15</v>
      </c>
      <c r="B3419" t="s">
        <v>16</v>
      </c>
      <c r="C3419" s="13">
        <v>42736</v>
      </c>
      <c r="D3419" s="13">
        <v>43100</v>
      </c>
      <c r="E3419" t="s">
        <v>17</v>
      </c>
      <c r="F3419">
        <v>15</v>
      </c>
      <c r="G3419" t="s">
        <v>560</v>
      </c>
      <c r="H3419">
        <v>50</v>
      </c>
      <c r="I3419" t="s">
        <v>561</v>
      </c>
      <c r="J3419">
        <v>269</v>
      </c>
      <c r="K3419" t="s">
        <v>562</v>
      </c>
      <c r="L3419" s="13">
        <v>43083</v>
      </c>
      <c r="M3419" t="s">
        <v>76</v>
      </c>
      <c r="N3419" t="s">
        <v>2388</v>
      </c>
      <c r="O3419">
        <v>407.42</v>
      </c>
      <c r="P3419" t="s">
        <v>565</v>
      </c>
    </row>
    <row r="3420" spans="1:16" x14ac:dyDescent="0.4">
      <c r="A3420" t="s">
        <v>15</v>
      </c>
      <c r="B3420" t="s">
        <v>16</v>
      </c>
      <c r="C3420" s="13">
        <v>42736</v>
      </c>
      <c r="D3420" s="13">
        <v>43100</v>
      </c>
      <c r="E3420" t="s">
        <v>17</v>
      </c>
      <c r="F3420">
        <v>15</v>
      </c>
      <c r="G3420" t="s">
        <v>560</v>
      </c>
      <c r="H3420">
        <v>50</v>
      </c>
      <c r="I3420" t="s">
        <v>561</v>
      </c>
      <c r="J3420">
        <v>286</v>
      </c>
      <c r="K3420" t="s">
        <v>588</v>
      </c>
      <c r="L3420" s="13">
        <v>43100</v>
      </c>
      <c r="M3420" t="s">
        <v>2390</v>
      </c>
      <c r="N3420" t="s">
        <v>86</v>
      </c>
      <c r="O3420">
        <v>1569.91</v>
      </c>
      <c r="P3420" t="s">
        <v>46</v>
      </c>
    </row>
    <row r="3421" spans="1:16" x14ac:dyDescent="0.4">
      <c r="A3421" t="s">
        <v>15</v>
      </c>
      <c r="B3421" t="s">
        <v>16</v>
      </c>
      <c r="C3421" s="13">
        <v>42736</v>
      </c>
      <c r="D3421" s="13">
        <v>43100</v>
      </c>
      <c r="E3421" t="s">
        <v>17</v>
      </c>
      <c r="F3421">
        <v>15</v>
      </c>
      <c r="G3421" t="s">
        <v>560</v>
      </c>
      <c r="H3421">
        <v>50</v>
      </c>
      <c r="I3421" t="s">
        <v>561</v>
      </c>
      <c r="J3421">
        <v>289</v>
      </c>
      <c r="K3421" t="s">
        <v>615</v>
      </c>
      <c r="L3421" s="13">
        <v>43100</v>
      </c>
      <c r="M3421" t="s">
        <v>616</v>
      </c>
      <c r="N3421" t="s">
        <v>98</v>
      </c>
      <c r="O3421">
        <v>-21.89</v>
      </c>
      <c r="P3421" t="s">
        <v>46</v>
      </c>
    </row>
    <row r="3422" spans="1:16" x14ac:dyDescent="0.4">
      <c r="A3422" t="s">
        <v>15</v>
      </c>
      <c r="B3422" t="s">
        <v>16</v>
      </c>
      <c r="C3422" s="13">
        <v>42736</v>
      </c>
      <c r="D3422" s="13">
        <v>43100</v>
      </c>
      <c r="E3422" t="s">
        <v>30</v>
      </c>
      <c r="F3422">
        <v>16</v>
      </c>
      <c r="G3422" t="s">
        <v>617</v>
      </c>
      <c r="H3422">
        <v>6</v>
      </c>
      <c r="I3422" t="s">
        <v>618</v>
      </c>
      <c r="J3422">
        <v>234</v>
      </c>
      <c r="K3422" t="s">
        <v>2391</v>
      </c>
      <c r="L3422" s="13">
        <v>42784</v>
      </c>
      <c r="M3422" t="s">
        <v>2392</v>
      </c>
      <c r="N3422" t="s">
        <v>46</v>
      </c>
      <c r="O3422">
        <v>47.88</v>
      </c>
      <c r="P3422" t="s">
        <v>46</v>
      </c>
    </row>
    <row r="3423" spans="1:16" x14ac:dyDescent="0.4">
      <c r="A3423" t="s">
        <v>15</v>
      </c>
      <c r="B3423" t="s">
        <v>16</v>
      </c>
      <c r="C3423" s="13">
        <v>42736</v>
      </c>
      <c r="D3423" s="13">
        <v>43100</v>
      </c>
      <c r="E3423" t="s">
        <v>17</v>
      </c>
      <c r="F3423">
        <v>16</v>
      </c>
      <c r="G3423" t="s">
        <v>617</v>
      </c>
      <c r="H3423">
        <v>6</v>
      </c>
      <c r="I3423" t="s">
        <v>618</v>
      </c>
      <c r="J3423">
        <v>269</v>
      </c>
      <c r="K3423" t="s">
        <v>75</v>
      </c>
      <c r="L3423" s="13">
        <v>42759</v>
      </c>
      <c r="M3423" t="s">
        <v>76</v>
      </c>
      <c r="N3423" t="s">
        <v>2322</v>
      </c>
      <c r="O3423">
        <v>23.22</v>
      </c>
      <c r="P3423" t="s">
        <v>52</v>
      </c>
    </row>
    <row r="3424" spans="1:16" x14ac:dyDescent="0.4">
      <c r="A3424" t="s">
        <v>15</v>
      </c>
      <c r="B3424" t="s">
        <v>16</v>
      </c>
      <c r="C3424" s="13">
        <v>42736</v>
      </c>
      <c r="D3424" s="13">
        <v>43100</v>
      </c>
      <c r="E3424" t="s">
        <v>17</v>
      </c>
      <c r="F3424">
        <v>16</v>
      </c>
      <c r="G3424" t="s">
        <v>617</v>
      </c>
      <c r="H3424">
        <v>6</v>
      </c>
      <c r="I3424" t="s">
        <v>618</v>
      </c>
      <c r="J3424">
        <v>269</v>
      </c>
      <c r="K3424" t="s">
        <v>75</v>
      </c>
      <c r="L3424" s="13">
        <v>42822</v>
      </c>
      <c r="M3424" t="s">
        <v>76</v>
      </c>
      <c r="N3424" t="s">
        <v>2323</v>
      </c>
      <c r="O3424">
        <v>12.4</v>
      </c>
      <c r="P3424" t="s">
        <v>52</v>
      </c>
    </row>
    <row r="3425" spans="1:16" x14ac:dyDescent="0.4">
      <c r="A3425" t="s">
        <v>15</v>
      </c>
      <c r="B3425" t="s">
        <v>16</v>
      </c>
      <c r="C3425" s="13">
        <v>42736</v>
      </c>
      <c r="D3425" s="13">
        <v>43100</v>
      </c>
      <c r="E3425" t="s">
        <v>17</v>
      </c>
      <c r="F3425">
        <v>16</v>
      </c>
      <c r="G3425" t="s">
        <v>617</v>
      </c>
      <c r="H3425">
        <v>6</v>
      </c>
      <c r="I3425" t="s">
        <v>618</v>
      </c>
      <c r="J3425">
        <v>269</v>
      </c>
      <c r="K3425" t="s">
        <v>75</v>
      </c>
      <c r="L3425" s="13">
        <v>42878</v>
      </c>
      <c r="M3425" t="s">
        <v>76</v>
      </c>
      <c r="N3425" t="s">
        <v>2324</v>
      </c>
      <c r="O3425">
        <v>18.940000000000001</v>
      </c>
      <c r="P3425" t="s">
        <v>52</v>
      </c>
    </row>
    <row r="3426" spans="1:16" x14ac:dyDescent="0.4">
      <c r="A3426" t="s">
        <v>15</v>
      </c>
      <c r="B3426" t="s">
        <v>16</v>
      </c>
      <c r="C3426" s="13">
        <v>42736</v>
      </c>
      <c r="D3426" s="13">
        <v>43100</v>
      </c>
      <c r="E3426" t="s">
        <v>17</v>
      </c>
      <c r="F3426">
        <v>16</v>
      </c>
      <c r="G3426" t="s">
        <v>617</v>
      </c>
      <c r="H3426">
        <v>6</v>
      </c>
      <c r="I3426" t="s">
        <v>618</v>
      </c>
      <c r="J3426">
        <v>269</v>
      </c>
      <c r="K3426" t="s">
        <v>75</v>
      </c>
      <c r="L3426" s="13">
        <v>42938</v>
      </c>
      <c r="M3426" t="s">
        <v>76</v>
      </c>
      <c r="N3426" t="s">
        <v>2325</v>
      </c>
      <c r="O3426">
        <v>17.690000000000001</v>
      </c>
      <c r="P3426" t="s">
        <v>52</v>
      </c>
    </row>
    <row r="3427" spans="1:16" x14ac:dyDescent="0.4">
      <c r="A3427" t="s">
        <v>15</v>
      </c>
      <c r="B3427" t="s">
        <v>16</v>
      </c>
      <c r="C3427" s="13">
        <v>42736</v>
      </c>
      <c r="D3427" s="13">
        <v>43100</v>
      </c>
      <c r="E3427" t="s">
        <v>17</v>
      </c>
      <c r="F3427">
        <v>16</v>
      </c>
      <c r="G3427" t="s">
        <v>617</v>
      </c>
      <c r="H3427">
        <v>6</v>
      </c>
      <c r="I3427" t="s">
        <v>618</v>
      </c>
      <c r="J3427">
        <v>269</v>
      </c>
      <c r="K3427" t="s">
        <v>75</v>
      </c>
      <c r="L3427" s="13">
        <v>43006</v>
      </c>
      <c r="M3427" t="s">
        <v>76</v>
      </c>
      <c r="N3427" t="s">
        <v>2162</v>
      </c>
      <c r="O3427">
        <v>17.32</v>
      </c>
      <c r="P3427" t="s">
        <v>52</v>
      </c>
    </row>
    <row r="3428" spans="1:16" x14ac:dyDescent="0.4">
      <c r="A3428" t="s">
        <v>15</v>
      </c>
      <c r="B3428" t="s">
        <v>16</v>
      </c>
      <c r="C3428" s="13">
        <v>42736</v>
      </c>
      <c r="D3428" s="13">
        <v>43100</v>
      </c>
      <c r="E3428" t="s">
        <v>17</v>
      </c>
      <c r="F3428">
        <v>16</v>
      </c>
      <c r="G3428" t="s">
        <v>617</v>
      </c>
      <c r="H3428">
        <v>6</v>
      </c>
      <c r="I3428" t="s">
        <v>618</v>
      </c>
      <c r="J3428">
        <v>269</v>
      </c>
      <c r="K3428" t="s">
        <v>75</v>
      </c>
      <c r="L3428" s="13">
        <v>43062</v>
      </c>
      <c r="M3428" t="s">
        <v>76</v>
      </c>
      <c r="N3428" t="s">
        <v>2162</v>
      </c>
      <c r="O3428">
        <v>15.93</v>
      </c>
      <c r="P3428" t="s">
        <v>52</v>
      </c>
    </row>
    <row r="3429" spans="1:16" x14ac:dyDescent="0.4">
      <c r="A3429" t="s">
        <v>15</v>
      </c>
      <c r="B3429" t="s">
        <v>16</v>
      </c>
      <c r="C3429" s="13">
        <v>42736</v>
      </c>
      <c r="D3429" s="13">
        <v>43100</v>
      </c>
      <c r="E3429" t="s">
        <v>17</v>
      </c>
      <c r="F3429">
        <v>16</v>
      </c>
      <c r="G3429" t="s">
        <v>617</v>
      </c>
      <c r="H3429">
        <v>6</v>
      </c>
      <c r="I3429" t="s">
        <v>618</v>
      </c>
      <c r="J3429">
        <v>441</v>
      </c>
      <c r="K3429" t="s">
        <v>268</v>
      </c>
      <c r="L3429" s="13">
        <v>42736</v>
      </c>
      <c r="M3429" t="s">
        <v>2342</v>
      </c>
      <c r="N3429" t="s">
        <v>2393</v>
      </c>
      <c r="O3429">
        <v>4884.37</v>
      </c>
      <c r="P3429" t="s">
        <v>494</v>
      </c>
    </row>
    <row r="3430" spans="1:16" x14ac:dyDescent="0.4">
      <c r="A3430" t="s">
        <v>15</v>
      </c>
      <c r="B3430" t="s">
        <v>16</v>
      </c>
      <c r="C3430" s="13">
        <v>42736</v>
      </c>
      <c r="D3430" s="13">
        <v>43100</v>
      </c>
      <c r="E3430" t="s">
        <v>30</v>
      </c>
      <c r="F3430">
        <v>16</v>
      </c>
      <c r="G3430" t="s">
        <v>617</v>
      </c>
      <c r="H3430">
        <v>6</v>
      </c>
      <c r="I3430" t="s">
        <v>618</v>
      </c>
      <c r="J3430">
        <v>566</v>
      </c>
      <c r="K3430" t="s">
        <v>2394</v>
      </c>
      <c r="L3430" s="13">
        <v>42736</v>
      </c>
      <c r="M3430" t="s">
        <v>2395</v>
      </c>
      <c r="N3430" t="s">
        <v>2396</v>
      </c>
      <c r="O3430">
        <v>1562</v>
      </c>
      <c r="P3430" t="s">
        <v>2397</v>
      </c>
    </row>
    <row r="3431" spans="1:16" x14ac:dyDescent="0.4">
      <c r="A3431" t="s">
        <v>15</v>
      </c>
      <c r="B3431" t="s">
        <v>16</v>
      </c>
      <c r="C3431" s="13">
        <v>42736</v>
      </c>
      <c r="D3431" s="13">
        <v>43100</v>
      </c>
      <c r="E3431" t="s">
        <v>17</v>
      </c>
      <c r="F3431">
        <v>17</v>
      </c>
      <c r="G3431" t="s">
        <v>619</v>
      </c>
      <c r="H3431">
        <v>6</v>
      </c>
      <c r="I3431" t="s">
        <v>620</v>
      </c>
      <c r="J3431">
        <v>195</v>
      </c>
      <c r="K3431" t="s">
        <v>2398</v>
      </c>
      <c r="L3431" s="13">
        <v>42873</v>
      </c>
      <c r="M3431" t="s">
        <v>2399</v>
      </c>
      <c r="N3431" t="s">
        <v>2400</v>
      </c>
      <c r="O3431">
        <v>221.12</v>
      </c>
      <c r="P3431" t="s">
        <v>2401</v>
      </c>
    </row>
    <row r="3432" spans="1:16" x14ac:dyDescent="0.4">
      <c r="A3432" t="s">
        <v>15</v>
      </c>
      <c r="B3432" t="s">
        <v>16</v>
      </c>
      <c r="C3432" s="13">
        <v>42736</v>
      </c>
      <c r="D3432" s="13">
        <v>43100</v>
      </c>
      <c r="E3432" t="s">
        <v>30</v>
      </c>
      <c r="F3432">
        <v>17</v>
      </c>
      <c r="G3432" t="s">
        <v>619</v>
      </c>
      <c r="H3432">
        <v>6</v>
      </c>
      <c r="I3432" t="s">
        <v>620</v>
      </c>
      <c r="J3432">
        <v>233</v>
      </c>
      <c r="K3432" t="s">
        <v>2128</v>
      </c>
      <c r="L3432" s="13">
        <v>42736</v>
      </c>
      <c r="M3432" t="s">
        <v>2143</v>
      </c>
      <c r="N3432" t="s">
        <v>46</v>
      </c>
      <c r="O3432">
        <v>-47.28</v>
      </c>
      <c r="P3432" t="s">
        <v>46</v>
      </c>
    </row>
    <row r="3433" spans="1:16" x14ac:dyDescent="0.4">
      <c r="A3433" t="s">
        <v>15</v>
      </c>
      <c r="B3433" t="s">
        <v>16</v>
      </c>
      <c r="C3433" s="13">
        <v>42736</v>
      </c>
      <c r="D3433" s="13">
        <v>43100</v>
      </c>
      <c r="E3433" t="s">
        <v>30</v>
      </c>
      <c r="F3433">
        <v>17</v>
      </c>
      <c r="G3433" t="s">
        <v>619</v>
      </c>
      <c r="H3433">
        <v>6</v>
      </c>
      <c r="I3433" t="s">
        <v>620</v>
      </c>
      <c r="J3433">
        <v>234</v>
      </c>
      <c r="K3433" t="s">
        <v>2402</v>
      </c>
      <c r="L3433" s="13">
        <v>42784</v>
      </c>
      <c r="M3433" t="s">
        <v>2392</v>
      </c>
      <c r="N3433" t="s">
        <v>46</v>
      </c>
      <c r="O3433">
        <v>47.88</v>
      </c>
      <c r="P3433" t="s">
        <v>46</v>
      </c>
    </row>
    <row r="3434" spans="1:16" x14ac:dyDescent="0.4">
      <c r="A3434" t="s">
        <v>15</v>
      </c>
      <c r="B3434" t="s">
        <v>16</v>
      </c>
      <c r="C3434" s="13">
        <v>42736</v>
      </c>
      <c r="D3434" s="13">
        <v>43100</v>
      </c>
      <c r="E3434" t="s">
        <v>17</v>
      </c>
      <c r="F3434">
        <v>17</v>
      </c>
      <c r="G3434" t="s">
        <v>619</v>
      </c>
      <c r="H3434">
        <v>6</v>
      </c>
      <c r="I3434" t="s">
        <v>620</v>
      </c>
      <c r="J3434">
        <v>269</v>
      </c>
      <c r="K3434" t="s">
        <v>75</v>
      </c>
      <c r="L3434" s="13">
        <v>42759</v>
      </c>
      <c r="M3434" t="s">
        <v>76</v>
      </c>
      <c r="N3434" t="s">
        <v>2322</v>
      </c>
      <c r="O3434">
        <v>23.22</v>
      </c>
      <c r="P3434" t="s">
        <v>52</v>
      </c>
    </row>
    <row r="3435" spans="1:16" x14ac:dyDescent="0.4">
      <c r="A3435" t="s">
        <v>15</v>
      </c>
      <c r="B3435" t="s">
        <v>16</v>
      </c>
      <c r="C3435" s="13">
        <v>42736</v>
      </c>
      <c r="D3435" s="13">
        <v>43100</v>
      </c>
      <c r="E3435" t="s">
        <v>17</v>
      </c>
      <c r="F3435">
        <v>17</v>
      </c>
      <c r="G3435" t="s">
        <v>619</v>
      </c>
      <c r="H3435">
        <v>6</v>
      </c>
      <c r="I3435" t="s">
        <v>620</v>
      </c>
      <c r="J3435">
        <v>269</v>
      </c>
      <c r="K3435" t="s">
        <v>75</v>
      </c>
      <c r="L3435" s="13">
        <v>42822</v>
      </c>
      <c r="M3435" t="s">
        <v>76</v>
      </c>
      <c r="N3435" t="s">
        <v>2323</v>
      </c>
      <c r="O3435">
        <v>12.4</v>
      </c>
      <c r="P3435" t="s">
        <v>52</v>
      </c>
    </row>
    <row r="3436" spans="1:16" x14ac:dyDescent="0.4">
      <c r="A3436" t="s">
        <v>15</v>
      </c>
      <c r="B3436" t="s">
        <v>16</v>
      </c>
      <c r="C3436" s="13">
        <v>42736</v>
      </c>
      <c r="D3436" s="13">
        <v>43100</v>
      </c>
      <c r="E3436" t="s">
        <v>17</v>
      </c>
      <c r="F3436">
        <v>17</v>
      </c>
      <c r="G3436" t="s">
        <v>619</v>
      </c>
      <c r="H3436">
        <v>6</v>
      </c>
      <c r="I3436" t="s">
        <v>620</v>
      </c>
      <c r="J3436">
        <v>269</v>
      </c>
      <c r="K3436" t="s">
        <v>75</v>
      </c>
      <c r="L3436" s="13">
        <v>42878</v>
      </c>
      <c r="M3436" t="s">
        <v>76</v>
      </c>
      <c r="N3436" t="s">
        <v>2324</v>
      </c>
      <c r="O3436">
        <v>18.940000000000001</v>
      </c>
      <c r="P3436" t="s">
        <v>52</v>
      </c>
    </row>
    <row r="3437" spans="1:16" x14ac:dyDescent="0.4">
      <c r="A3437" t="s">
        <v>15</v>
      </c>
      <c r="B3437" t="s">
        <v>16</v>
      </c>
      <c r="C3437" s="13">
        <v>42736</v>
      </c>
      <c r="D3437" s="13">
        <v>43100</v>
      </c>
      <c r="E3437" t="s">
        <v>17</v>
      </c>
      <c r="F3437">
        <v>17</v>
      </c>
      <c r="G3437" t="s">
        <v>619</v>
      </c>
      <c r="H3437">
        <v>6</v>
      </c>
      <c r="I3437" t="s">
        <v>620</v>
      </c>
      <c r="J3437">
        <v>269</v>
      </c>
      <c r="K3437" t="s">
        <v>75</v>
      </c>
      <c r="L3437" s="13">
        <v>42938</v>
      </c>
      <c r="M3437" t="s">
        <v>76</v>
      </c>
      <c r="N3437" t="s">
        <v>2325</v>
      </c>
      <c r="O3437">
        <v>17.690000000000001</v>
      </c>
      <c r="P3437" t="s">
        <v>52</v>
      </c>
    </row>
    <row r="3438" spans="1:16" x14ac:dyDescent="0.4">
      <c r="A3438" t="s">
        <v>15</v>
      </c>
      <c r="B3438" t="s">
        <v>16</v>
      </c>
      <c r="C3438" s="13">
        <v>42736</v>
      </c>
      <c r="D3438" s="13">
        <v>43100</v>
      </c>
      <c r="E3438" t="s">
        <v>17</v>
      </c>
      <c r="F3438">
        <v>17</v>
      </c>
      <c r="G3438" t="s">
        <v>619</v>
      </c>
      <c r="H3438">
        <v>6</v>
      </c>
      <c r="I3438" t="s">
        <v>620</v>
      </c>
      <c r="J3438">
        <v>269</v>
      </c>
      <c r="K3438" t="s">
        <v>75</v>
      </c>
      <c r="L3438" s="13">
        <v>43006</v>
      </c>
      <c r="M3438" t="s">
        <v>76</v>
      </c>
      <c r="N3438" t="s">
        <v>2162</v>
      </c>
      <c r="O3438">
        <v>17.32</v>
      </c>
      <c r="P3438" t="s">
        <v>52</v>
      </c>
    </row>
    <row r="3439" spans="1:16" x14ac:dyDescent="0.4">
      <c r="A3439" t="s">
        <v>15</v>
      </c>
      <c r="B3439" t="s">
        <v>16</v>
      </c>
      <c r="C3439" s="13">
        <v>42736</v>
      </c>
      <c r="D3439" s="13">
        <v>43100</v>
      </c>
      <c r="E3439" t="s">
        <v>17</v>
      </c>
      <c r="F3439">
        <v>17</v>
      </c>
      <c r="G3439" t="s">
        <v>619</v>
      </c>
      <c r="H3439">
        <v>6</v>
      </c>
      <c r="I3439" t="s">
        <v>620</v>
      </c>
      <c r="J3439">
        <v>269</v>
      </c>
      <c r="K3439" t="s">
        <v>75</v>
      </c>
      <c r="L3439" s="13">
        <v>43062</v>
      </c>
      <c r="M3439" t="s">
        <v>76</v>
      </c>
      <c r="N3439" t="s">
        <v>2162</v>
      </c>
      <c r="O3439">
        <v>15.93</v>
      </c>
      <c r="P3439" t="s">
        <v>52</v>
      </c>
    </row>
    <row r="3440" spans="1:16" x14ac:dyDescent="0.4">
      <c r="A3440" t="s">
        <v>15</v>
      </c>
      <c r="B3440" t="s">
        <v>16</v>
      </c>
      <c r="C3440" s="13">
        <v>42736</v>
      </c>
      <c r="D3440" s="13">
        <v>43100</v>
      </c>
      <c r="E3440" t="s">
        <v>17</v>
      </c>
      <c r="F3440">
        <v>17</v>
      </c>
      <c r="G3440" t="s">
        <v>619</v>
      </c>
      <c r="H3440">
        <v>6</v>
      </c>
      <c r="I3440" t="s">
        <v>620</v>
      </c>
      <c r="J3440">
        <v>441</v>
      </c>
      <c r="K3440" t="s">
        <v>268</v>
      </c>
      <c r="L3440" s="13">
        <v>42736</v>
      </c>
      <c r="M3440" t="s">
        <v>2342</v>
      </c>
      <c r="N3440" t="s">
        <v>2403</v>
      </c>
      <c r="O3440">
        <v>2249.5</v>
      </c>
      <c r="P3440" t="s">
        <v>494</v>
      </c>
    </row>
    <row r="3441" spans="1:16" x14ac:dyDescent="0.4">
      <c r="A3441" t="s">
        <v>15</v>
      </c>
      <c r="B3441" t="s">
        <v>16</v>
      </c>
      <c r="C3441" s="13">
        <v>42370</v>
      </c>
      <c r="D3441" s="13">
        <v>42735</v>
      </c>
      <c r="E3441" t="s">
        <v>17</v>
      </c>
      <c r="F3441">
        <v>0</v>
      </c>
      <c r="G3441" t="s">
        <v>18</v>
      </c>
      <c r="H3441">
        <v>1</v>
      </c>
      <c r="I3441" t="s">
        <v>19</v>
      </c>
      <c r="J3441">
        <v>171</v>
      </c>
      <c r="K3441" t="s">
        <v>20</v>
      </c>
      <c r="L3441" s="13">
        <v>42521</v>
      </c>
      <c r="M3441" t="s">
        <v>2404</v>
      </c>
      <c r="N3441" t="s">
        <v>2405</v>
      </c>
      <c r="O3441">
        <v>1048.8</v>
      </c>
      <c r="P3441" t="s">
        <v>2406</v>
      </c>
    </row>
    <row r="3442" spans="1:16" x14ac:dyDescent="0.4">
      <c r="A3442" t="s">
        <v>15</v>
      </c>
      <c r="B3442" t="s">
        <v>16</v>
      </c>
      <c r="C3442" s="13">
        <v>42370</v>
      </c>
      <c r="D3442" s="13">
        <v>42735</v>
      </c>
      <c r="E3442" t="s">
        <v>17</v>
      </c>
      <c r="F3442">
        <v>0</v>
      </c>
      <c r="G3442" t="s">
        <v>18</v>
      </c>
      <c r="H3442">
        <v>1</v>
      </c>
      <c r="I3442" t="s">
        <v>19</v>
      </c>
      <c r="J3442">
        <v>171</v>
      </c>
      <c r="K3442" t="s">
        <v>20</v>
      </c>
      <c r="L3442" s="13">
        <v>42674</v>
      </c>
      <c r="M3442" t="s">
        <v>2407</v>
      </c>
      <c r="N3442" t="s">
        <v>2408</v>
      </c>
      <c r="O3442">
        <v>273.05</v>
      </c>
      <c r="P3442" t="s">
        <v>2406</v>
      </c>
    </row>
    <row r="3443" spans="1:16" x14ac:dyDescent="0.4">
      <c r="A3443" t="s">
        <v>15</v>
      </c>
      <c r="B3443" t="s">
        <v>16</v>
      </c>
      <c r="C3443" s="13">
        <v>42370</v>
      </c>
      <c r="D3443" s="13">
        <v>42735</v>
      </c>
      <c r="E3443" t="s">
        <v>17</v>
      </c>
      <c r="F3443">
        <v>0</v>
      </c>
      <c r="G3443" t="s">
        <v>18</v>
      </c>
      <c r="H3443">
        <v>1</v>
      </c>
      <c r="I3443" t="s">
        <v>19</v>
      </c>
      <c r="J3443">
        <v>171</v>
      </c>
      <c r="K3443" t="s">
        <v>20</v>
      </c>
      <c r="L3443" s="13">
        <v>42674</v>
      </c>
      <c r="M3443" t="s">
        <v>2409</v>
      </c>
      <c r="N3443" t="s">
        <v>2410</v>
      </c>
      <c r="O3443">
        <v>784</v>
      </c>
      <c r="P3443" t="s">
        <v>2406</v>
      </c>
    </row>
    <row r="3444" spans="1:16" x14ac:dyDescent="0.4">
      <c r="A3444" t="s">
        <v>15</v>
      </c>
      <c r="B3444" t="s">
        <v>16</v>
      </c>
      <c r="C3444" s="13">
        <v>42370</v>
      </c>
      <c r="D3444" s="13">
        <v>42735</v>
      </c>
      <c r="E3444" t="s">
        <v>17</v>
      </c>
      <c r="F3444">
        <v>0</v>
      </c>
      <c r="G3444" t="s">
        <v>18</v>
      </c>
      <c r="H3444">
        <v>1</v>
      </c>
      <c r="I3444" t="s">
        <v>19</v>
      </c>
      <c r="J3444">
        <v>205</v>
      </c>
      <c r="K3444" t="s">
        <v>344</v>
      </c>
      <c r="L3444" s="13">
        <v>42598</v>
      </c>
      <c r="M3444" t="s">
        <v>2411</v>
      </c>
      <c r="N3444" t="s">
        <v>2412</v>
      </c>
      <c r="O3444">
        <v>358.47</v>
      </c>
      <c r="P3444" t="s">
        <v>2063</v>
      </c>
    </row>
    <row r="3445" spans="1:16" x14ac:dyDescent="0.4">
      <c r="A3445" t="s">
        <v>15</v>
      </c>
      <c r="B3445" t="s">
        <v>16</v>
      </c>
      <c r="C3445" s="13">
        <v>42370</v>
      </c>
      <c r="D3445" s="13">
        <v>42735</v>
      </c>
      <c r="E3445" t="s">
        <v>17</v>
      </c>
      <c r="F3445">
        <v>0</v>
      </c>
      <c r="G3445" t="s">
        <v>18</v>
      </c>
      <c r="H3445">
        <v>1</v>
      </c>
      <c r="I3445" t="s">
        <v>19</v>
      </c>
      <c r="J3445">
        <v>205</v>
      </c>
      <c r="K3445" t="s">
        <v>344</v>
      </c>
      <c r="L3445" s="13">
        <v>42643</v>
      </c>
      <c r="M3445" t="s">
        <v>2413</v>
      </c>
      <c r="N3445" t="s">
        <v>2414</v>
      </c>
      <c r="O3445">
        <v>242</v>
      </c>
      <c r="P3445" t="s">
        <v>2063</v>
      </c>
    </row>
    <row r="3446" spans="1:16" x14ac:dyDescent="0.4">
      <c r="A3446" t="s">
        <v>15</v>
      </c>
      <c r="B3446" t="s">
        <v>16</v>
      </c>
      <c r="C3446" s="13">
        <v>42370</v>
      </c>
      <c r="D3446" s="13">
        <v>42735</v>
      </c>
      <c r="E3446" t="s">
        <v>30</v>
      </c>
      <c r="F3446">
        <v>0</v>
      </c>
      <c r="G3446" t="s">
        <v>18</v>
      </c>
      <c r="H3446">
        <v>1</v>
      </c>
      <c r="I3446" t="s">
        <v>19</v>
      </c>
      <c r="J3446">
        <v>233</v>
      </c>
      <c r="K3446" t="s">
        <v>31</v>
      </c>
      <c r="L3446" s="13">
        <v>42480</v>
      </c>
      <c r="M3446" t="s">
        <v>2415</v>
      </c>
      <c r="N3446" t="s">
        <v>2416</v>
      </c>
      <c r="O3446">
        <v>60.7</v>
      </c>
      <c r="P3446" t="s">
        <v>2149</v>
      </c>
    </row>
    <row r="3447" spans="1:16" x14ac:dyDescent="0.4">
      <c r="A3447" t="s">
        <v>15</v>
      </c>
      <c r="B3447" t="s">
        <v>16</v>
      </c>
      <c r="C3447" s="13">
        <v>42370</v>
      </c>
      <c r="D3447" s="13">
        <v>42735</v>
      </c>
      <c r="E3447" t="s">
        <v>30</v>
      </c>
      <c r="F3447">
        <v>0</v>
      </c>
      <c r="G3447" t="s">
        <v>18</v>
      </c>
      <c r="H3447">
        <v>1</v>
      </c>
      <c r="I3447" t="s">
        <v>19</v>
      </c>
      <c r="J3447">
        <v>233</v>
      </c>
      <c r="K3447" t="s">
        <v>31</v>
      </c>
      <c r="L3447" s="13">
        <v>42486</v>
      </c>
      <c r="M3447" t="s">
        <v>2417</v>
      </c>
      <c r="N3447" t="s">
        <v>2418</v>
      </c>
      <c r="O3447">
        <v>49.43</v>
      </c>
      <c r="P3447" t="s">
        <v>2149</v>
      </c>
    </row>
    <row r="3448" spans="1:16" x14ac:dyDescent="0.4">
      <c r="A3448" t="s">
        <v>15</v>
      </c>
      <c r="B3448" t="s">
        <v>16</v>
      </c>
      <c r="C3448" s="13">
        <v>42370</v>
      </c>
      <c r="D3448" s="13">
        <v>42735</v>
      </c>
      <c r="E3448" t="s">
        <v>30</v>
      </c>
      <c r="F3448">
        <v>0</v>
      </c>
      <c r="G3448" t="s">
        <v>18</v>
      </c>
      <c r="H3448">
        <v>1</v>
      </c>
      <c r="I3448" t="s">
        <v>19</v>
      </c>
      <c r="J3448">
        <v>233</v>
      </c>
      <c r="K3448" t="s">
        <v>31</v>
      </c>
      <c r="L3448" s="13">
        <v>42535</v>
      </c>
      <c r="M3448" t="s">
        <v>37</v>
      </c>
      <c r="N3448" t="s">
        <v>46</v>
      </c>
      <c r="O3448">
        <v>577.24</v>
      </c>
      <c r="P3448" t="s">
        <v>34</v>
      </c>
    </row>
    <row r="3449" spans="1:16" x14ac:dyDescent="0.4">
      <c r="A3449" t="s">
        <v>15</v>
      </c>
      <c r="B3449" t="s">
        <v>16</v>
      </c>
      <c r="C3449" s="13">
        <v>42370</v>
      </c>
      <c r="D3449" s="13">
        <v>42735</v>
      </c>
      <c r="E3449" t="s">
        <v>30</v>
      </c>
      <c r="F3449">
        <v>0</v>
      </c>
      <c r="G3449" t="s">
        <v>18</v>
      </c>
      <c r="H3449">
        <v>1</v>
      </c>
      <c r="I3449" t="s">
        <v>19</v>
      </c>
      <c r="J3449">
        <v>233</v>
      </c>
      <c r="K3449" t="s">
        <v>31</v>
      </c>
      <c r="L3449" s="13">
        <v>42576</v>
      </c>
      <c r="M3449" t="s">
        <v>2419</v>
      </c>
      <c r="N3449" t="s">
        <v>46</v>
      </c>
      <c r="O3449">
        <v>30.4</v>
      </c>
      <c r="P3449" t="s">
        <v>46</v>
      </c>
    </row>
    <row r="3450" spans="1:16" x14ac:dyDescent="0.4">
      <c r="A3450" t="s">
        <v>15</v>
      </c>
      <c r="B3450" t="s">
        <v>16</v>
      </c>
      <c r="C3450" s="13">
        <v>42370</v>
      </c>
      <c r="D3450" s="13">
        <v>42735</v>
      </c>
      <c r="E3450" t="s">
        <v>30</v>
      </c>
      <c r="F3450">
        <v>0</v>
      </c>
      <c r="G3450" t="s">
        <v>18</v>
      </c>
      <c r="H3450">
        <v>1</v>
      </c>
      <c r="I3450" t="s">
        <v>19</v>
      </c>
      <c r="J3450">
        <v>233</v>
      </c>
      <c r="K3450" t="s">
        <v>31</v>
      </c>
      <c r="L3450" s="13">
        <v>42695</v>
      </c>
      <c r="M3450" t="s">
        <v>37</v>
      </c>
      <c r="N3450" t="s">
        <v>46</v>
      </c>
      <c r="O3450">
        <v>655.08000000000004</v>
      </c>
      <c r="P3450" t="s">
        <v>34</v>
      </c>
    </row>
    <row r="3451" spans="1:16" x14ac:dyDescent="0.4">
      <c r="A3451" t="s">
        <v>15</v>
      </c>
      <c r="B3451" t="s">
        <v>16</v>
      </c>
      <c r="C3451" s="13">
        <v>42370</v>
      </c>
      <c r="D3451" s="13">
        <v>42735</v>
      </c>
      <c r="E3451" t="s">
        <v>30</v>
      </c>
      <c r="F3451">
        <v>0</v>
      </c>
      <c r="G3451" t="s">
        <v>18</v>
      </c>
      <c r="H3451">
        <v>1</v>
      </c>
      <c r="I3451" t="s">
        <v>19</v>
      </c>
      <c r="J3451">
        <v>236</v>
      </c>
      <c r="K3451" t="s">
        <v>950</v>
      </c>
      <c r="L3451" s="13">
        <v>42711</v>
      </c>
      <c r="M3451" t="s">
        <v>2420</v>
      </c>
      <c r="N3451" t="s">
        <v>2421</v>
      </c>
      <c r="O3451">
        <v>396</v>
      </c>
      <c r="P3451" t="s">
        <v>2422</v>
      </c>
    </row>
    <row r="3452" spans="1:16" x14ac:dyDescent="0.4">
      <c r="A3452" t="s">
        <v>15</v>
      </c>
      <c r="B3452" t="s">
        <v>16</v>
      </c>
      <c r="C3452" s="13">
        <v>42370</v>
      </c>
      <c r="D3452" s="13">
        <v>42735</v>
      </c>
      <c r="E3452" t="s">
        <v>30</v>
      </c>
      <c r="F3452">
        <v>0</v>
      </c>
      <c r="G3452" t="s">
        <v>18</v>
      </c>
      <c r="H3452">
        <v>1</v>
      </c>
      <c r="I3452" t="s">
        <v>19</v>
      </c>
      <c r="J3452">
        <v>237</v>
      </c>
      <c r="K3452" t="s">
        <v>2423</v>
      </c>
      <c r="L3452" s="13">
        <v>42735</v>
      </c>
      <c r="M3452" t="s">
        <v>2424</v>
      </c>
      <c r="N3452" t="s">
        <v>2425</v>
      </c>
      <c r="O3452">
        <v>-5142.5</v>
      </c>
      <c r="P3452" t="s">
        <v>46</v>
      </c>
    </row>
    <row r="3453" spans="1:16" x14ac:dyDescent="0.4">
      <c r="A3453" t="s">
        <v>15</v>
      </c>
      <c r="B3453" t="s">
        <v>16</v>
      </c>
      <c r="C3453" s="13">
        <v>42370</v>
      </c>
      <c r="D3453" s="13">
        <v>42735</v>
      </c>
      <c r="E3453" t="s">
        <v>30</v>
      </c>
      <c r="F3453">
        <v>0</v>
      </c>
      <c r="G3453" t="s">
        <v>18</v>
      </c>
      <c r="H3453">
        <v>1</v>
      </c>
      <c r="I3453" t="s">
        <v>19</v>
      </c>
      <c r="J3453">
        <v>238</v>
      </c>
      <c r="K3453" t="s">
        <v>2426</v>
      </c>
      <c r="L3453" s="13">
        <v>42735</v>
      </c>
      <c r="M3453" t="s">
        <v>2424</v>
      </c>
      <c r="N3453" t="s">
        <v>2427</v>
      </c>
      <c r="O3453">
        <v>-31149.77</v>
      </c>
      <c r="P3453" t="s">
        <v>46</v>
      </c>
    </row>
    <row r="3454" spans="1:16" x14ac:dyDescent="0.4">
      <c r="A3454" t="s">
        <v>15</v>
      </c>
      <c r="B3454" t="s">
        <v>16</v>
      </c>
      <c r="C3454" s="13">
        <v>42370</v>
      </c>
      <c r="D3454" s="13">
        <v>42735</v>
      </c>
      <c r="E3454" t="s">
        <v>17</v>
      </c>
      <c r="F3454">
        <v>0</v>
      </c>
      <c r="G3454" t="s">
        <v>18</v>
      </c>
      <c r="H3454">
        <v>1</v>
      </c>
      <c r="I3454" t="s">
        <v>19</v>
      </c>
      <c r="J3454">
        <v>241</v>
      </c>
      <c r="K3454" t="s">
        <v>1048</v>
      </c>
      <c r="L3454" s="13">
        <v>42510</v>
      </c>
      <c r="M3454" t="s">
        <v>2428</v>
      </c>
      <c r="N3454" t="s">
        <v>46</v>
      </c>
      <c r="O3454">
        <v>100</v>
      </c>
      <c r="P3454" t="s">
        <v>2429</v>
      </c>
    </row>
    <row r="3455" spans="1:16" x14ac:dyDescent="0.4">
      <c r="A3455" t="s">
        <v>15</v>
      </c>
      <c r="B3455" t="s">
        <v>16</v>
      </c>
      <c r="C3455" s="13">
        <v>42370</v>
      </c>
      <c r="D3455" s="13">
        <v>42735</v>
      </c>
      <c r="E3455" t="s">
        <v>17</v>
      </c>
      <c r="F3455">
        <v>0</v>
      </c>
      <c r="G3455" t="s">
        <v>18</v>
      </c>
      <c r="H3455">
        <v>1</v>
      </c>
      <c r="I3455" t="s">
        <v>19</v>
      </c>
      <c r="J3455">
        <v>242</v>
      </c>
      <c r="K3455" t="s">
        <v>40</v>
      </c>
      <c r="L3455" s="13">
        <v>42396</v>
      </c>
      <c r="M3455" t="s">
        <v>2155</v>
      </c>
      <c r="N3455" t="s">
        <v>2430</v>
      </c>
      <c r="O3455">
        <v>1496.33</v>
      </c>
      <c r="P3455" t="s">
        <v>43</v>
      </c>
    </row>
    <row r="3456" spans="1:16" x14ac:dyDescent="0.4">
      <c r="A3456" t="s">
        <v>15</v>
      </c>
      <c r="B3456" t="s">
        <v>16</v>
      </c>
      <c r="C3456" s="13">
        <v>42370</v>
      </c>
      <c r="D3456" s="13">
        <v>42735</v>
      </c>
      <c r="E3456" t="s">
        <v>17</v>
      </c>
      <c r="F3456">
        <v>0</v>
      </c>
      <c r="G3456" t="s">
        <v>18</v>
      </c>
      <c r="H3456">
        <v>1</v>
      </c>
      <c r="I3456" t="s">
        <v>19</v>
      </c>
      <c r="J3456">
        <v>242</v>
      </c>
      <c r="K3456" t="s">
        <v>40</v>
      </c>
      <c r="L3456" s="13">
        <v>42735</v>
      </c>
      <c r="M3456" t="s">
        <v>48</v>
      </c>
      <c r="N3456" t="s">
        <v>45</v>
      </c>
      <c r="O3456">
        <v>-108.12</v>
      </c>
      <c r="P3456" t="s">
        <v>46</v>
      </c>
    </row>
    <row r="3457" spans="1:16" x14ac:dyDescent="0.4">
      <c r="A3457" t="s">
        <v>15</v>
      </c>
      <c r="B3457" t="s">
        <v>16</v>
      </c>
      <c r="C3457" s="13">
        <v>42370</v>
      </c>
      <c r="D3457" s="13">
        <v>42735</v>
      </c>
      <c r="E3457" t="s">
        <v>17</v>
      </c>
      <c r="F3457">
        <v>0</v>
      </c>
      <c r="G3457" t="s">
        <v>18</v>
      </c>
      <c r="H3457">
        <v>1</v>
      </c>
      <c r="I3457" t="s">
        <v>19</v>
      </c>
      <c r="J3457">
        <v>242</v>
      </c>
      <c r="K3457" t="s">
        <v>40</v>
      </c>
      <c r="L3457" s="13">
        <v>42735</v>
      </c>
      <c r="M3457" t="s">
        <v>44</v>
      </c>
      <c r="N3457" t="s">
        <v>45</v>
      </c>
      <c r="O3457">
        <v>-324.36</v>
      </c>
      <c r="P3457" t="s">
        <v>46</v>
      </c>
    </row>
    <row r="3458" spans="1:16" x14ac:dyDescent="0.4">
      <c r="A3458" t="s">
        <v>15</v>
      </c>
      <c r="B3458" t="s">
        <v>16</v>
      </c>
      <c r="C3458" s="13">
        <v>42370</v>
      </c>
      <c r="D3458" s="13">
        <v>42735</v>
      </c>
      <c r="E3458" t="s">
        <v>17</v>
      </c>
      <c r="F3458">
        <v>0</v>
      </c>
      <c r="G3458" t="s">
        <v>18</v>
      </c>
      <c r="H3458">
        <v>1</v>
      </c>
      <c r="I3458" t="s">
        <v>19</v>
      </c>
      <c r="J3458">
        <v>242</v>
      </c>
      <c r="K3458" t="s">
        <v>40</v>
      </c>
      <c r="L3458" s="13">
        <v>42735</v>
      </c>
      <c r="M3458" t="s">
        <v>47</v>
      </c>
      <c r="N3458" t="s">
        <v>45</v>
      </c>
      <c r="O3458">
        <v>-432.48</v>
      </c>
      <c r="P3458" t="s">
        <v>46</v>
      </c>
    </row>
    <row r="3459" spans="1:16" x14ac:dyDescent="0.4">
      <c r="A3459" t="s">
        <v>15</v>
      </c>
      <c r="B3459" t="s">
        <v>16</v>
      </c>
      <c r="C3459" s="13">
        <v>42370</v>
      </c>
      <c r="D3459" s="13">
        <v>42735</v>
      </c>
      <c r="E3459" t="s">
        <v>17</v>
      </c>
      <c r="F3459">
        <v>0</v>
      </c>
      <c r="G3459" t="s">
        <v>18</v>
      </c>
      <c r="H3459">
        <v>1</v>
      </c>
      <c r="I3459" t="s">
        <v>19</v>
      </c>
      <c r="J3459">
        <v>269</v>
      </c>
      <c r="K3459" t="s">
        <v>75</v>
      </c>
      <c r="L3459" s="13">
        <v>42391</v>
      </c>
      <c r="M3459" t="s">
        <v>76</v>
      </c>
      <c r="N3459" t="s">
        <v>2431</v>
      </c>
      <c r="O3459">
        <v>370.92</v>
      </c>
      <c r="P3459" t="s">
        <v>565</v>
      </c>
    </row>
    <row r="3460" spans="1:16" x14ac:dyDescent="0.4">
      <c r="A3460" t="s">
        <v>15</v>
      </c>
      <c r="B3460" t="s">
        <v>16</v>
      </c>
      <c r="C3460" s="13">
        <v>42370</v>
      </c>
      <c r="D3460" s="13">
        <v>42735</v>
      </c>
      <c r="E3460" t="s">
        <v>17</v>
      </c>
      <c r="F3460">
        <v>0</v>
      </c>
      <c r="G3460" t="s">
        <v>18</v>
      </c>
      <c r="H3460">
        <v>1</v>
      </c>
      <c r="I3460" t="s">
        <v>19</v>
      </c>
      <c r="J3460">
        <v>269</v>
      </c>
      <c r="K3460" t="s">
        <v>75</v>
      </c>
      <c r="L3460" s="13">
        <v>42391</v>
      </c>
      <c r="M3460" t="s">
        <v>76</v>
      </c>
      <c r="N3460" t="s">
        <v>2431</v>
      </c>
      <c r="O3460">
        <v>49.46</v>
      </c>
      <c r="P3460" t="s">
        <v>565</v>
      </c>
    </row>
    <row r="3461" spans="1:16" x14ac:dyDescent="0.4">
      <c r="A3461" t="s">
        <v>15</v>
      </c>
      <c r="B3461" t="s">
        <v>16</v>
      </c>
      <c r="C3461" s="13">
        <v>42370</v>
      </c>
      <c r="D3461" s="13">
        <v>42735</v>
      </c>
      <c r="E3461" t="s">
        <v>17</v>
      </c>
      <c r="F3461">
        <v>0</v>
      </c>
      <c r="G3461" t="s">
        <v>18</v>
      </c>
      <c r="H3461">
        <v>1</v>
      </c>
      <c r="I3461" t="s">
        <v>19</v>
      </c>
      <c r="J3461">
        <v>269</v>
      </c>
      <c r="K3461" t="s">
        <v>75</v>
      </c>
      <c r="L3461" s="13">
        <v>42514</v>
      </c>
      <c r="M3461" t="s">
        <v>76</v>
      </c>
      <c r="N3461" t="s">
        <v>2432</v>
      </c>
      <c r="O3461">
        <v>257.38</v>
      </c>
      <c r="P3461" t="s">
        <v>565</v>
      </c>
    </row>
    <row r="3462" spans="1:16" x14ac:dyDescent="0.4">
      <c r="A3462" t="s">
        <v>15</v>
      </c>
      <c r="B3462" t="s">
        <v>16</v>
      </c>
      <c r="C3462" s="13">
        <v>42370</v>
      </c>
      <c r="D3462" s="13">
        <v>42735</v>
      </c>
      <c r="E3462" t="s">
        <v>17</v>
      </c>
      <c r="F3462">
        <v>0</v>
      </c>
      <c r="G3462" t="s">
        <v>18</v>
      </c>
      <c r="H3462">
        <v>1</v>
      </c>
      <c r="I3462" t="s">
        <v>19</v>
      </c>
      <c r="J3462">
        <v>269</v>
      </c>
      <c r="K3462" t="s">
        <v>75</v>
      </c>
      <c r="L3462" s="13">
        <v>42514</v>
      </c>
      <c r="M3462" t="s">
        <v>76</v>
      </c>
      <c r="N3462" t="s">
        <v>2432</v>
      </c>
      <c r="O3462">
        <v>34.32</v>
      </c>
      <c r="P3462" t="s">
        <v>565</v>
      </c>
    </row>
    <row r="3463" spans="1:16" x14ac:dyDescent="0.4">
      <c r="A3463" t="s">
        <v>15</v>
      </c>
      <c r="B3463" t="s">
        <v>16</v>
      </c>
      <c r="C3463" s="13">
        <v>42370</v>
      </c>
      <c r="D3463" s="13">
        <v>42735</v>
      </c>
      <c r="E3463" t="s">
        <v>17</v>
      </c>
      <c r="F3463">
        <v>0</v>
      </c>
      <c r="G3463" t="s">
        <v>18</v>
      </c>
      <c r="H3463">
        <v>1</v>
      </c>
      <c r="I3463" t="s">
        <v>19</v>
      </c>
      <c r="J3463">
        <v>269</v>
      </c>
      <c r="K3463" t="s">
        <v>75</v>
      </c>
      <c r="L3463" s="13">
        <v>42573</v>
      </c>
      <c r="M3463" t="s">
        <v>76</v>
      </c>
      <c r="N3463" t="s">
        <v>2433</v>
      </c>
      <c r="O3463">
        <v>191.27</v>
      </c>
      <c r="P3463" t="s">
        <v>565</v>
      </c>
    </row>
    <row r="3464" spans="1:16" x14ac:dyDescent="0.4">
      <c r="A3464" t="s">
        <v>15</v>
      </c>
      <c r="B3464" t="s">
        <v>16</v>
      </c>
      <c r="C3464" s="13">
        <v>42370</v>
      </c>
      <c r="D3464" s="13">
        <v>42735</v>
      </c>
      <c r="E3464" t="s">
        <v>17</v>
      </c>
      <c r="F3464">
        <v>0</v>
      </c>
      <c r="G3464" t="s">
        <v>18</v>
      </c>
      <c r="H3464">
        <v>1</v>
      </c>
      <c r="I3464" t="s">
        <v>19</v>
      </c>
      <c r="J3464">
        <v>269</v>
      </c>
      <c r="K3464" t="s">
        <v>75</v>
      </c>
      <c r="L3464" s="13">
        <v>42573</v>
      </c>
      <c r="M3464" t="s">
        <v>76</v>
      </c>
      <c r="N3464" t="s">
        <v>2433</v>
      </c>
      <c r="O3464">
        <v>25.5</v>
      </c>
      <c r="P3464" t="s">
        <v>565</v>
      </c>
    </row>
    <row r="3465" spans="1:16" x14ac:dyDescent="0.4">
      <c r="A3465" t="s">
        <v>15</v>
      </c>
      <c r="B3465" t="s">
        <v>16</v>
      </c>
      <c r="C3465" s="13">
        <v>42370</v>
      </c>
      <c r="D3465" s="13">
        <v>42735</v>
      </c>
      <c r="E3465" t="s">
        <v>17</v>
      </c>
      <c r="F3465">
        <v>0</v>
      </c>
      <c r="G3465" t="s">
        <v>18</v>
      </c>
      <c r="H3465">
        <v>1</v>
      </c>
      <c r="I3465" t="s">
        <v>19</v>
      </c>
      <c r="J3465">
        <v>269</v>
      </c>
      <c r="K3465" t="s">
        <v>75</v>
      </c>
      <c r="L3465" s="13">
        <v>42637</v>
      </c>
      <c r="M3465" t="s">
        <v>76</v>
      </c>
      <c r="N3465" t="s">
        <v>2434</v>
      </c>
      <c r="O3465">
        <v>98.99</v>
      </c>
      <c r="P3465" t="s">
        <v>565</v>
      </c>
    </row>
    <row r="3466" spans="1:16" x14ac:dyDescent="0.4">
      <c r="A3466" t="s">
        <v>15</v>
      </c>
      <c r="B3466" t="s">
        <v>16</v>
      </c>
      <c r="C3466" s="13">
        <v>42370</v>
      </c>
      <c r="D3466" s="13">
        <v>42735</v>
      </c>
      <c r="E3466" t="s">
        <v>17</v>
      </c>
      <c r="F3466">
        <v>0</v>
      </c>
      <c r="G3466" t="s">
        <v>18</v>
      </c>
      <c r="H3466">
        <v>1</v>
      </c>
      <c r="I3466" t="s">
        <v>19</v>
      </c>
      <c r="J3466">
        <v>269</v>
      </c>
      <c r="K3466" t="s">
        <v>75</v>
      </c>
      <c r="L3466" s="13">
        <v>42637</v>
      </c>
      <c r="M3466" t="s">
        <v>76</v>
      </c>
      <c r="N3466" t="s">
        <v>2434</v>
      </c>
      <c r="O3466">
        <v>742.43</v>
      </c>
      <c r="P3466" t="s">
        <v>565</v>
      </c>
    </row>
    <row r="3467" spans="1:16" x14ac:dyDescent="0.4">
      <c r="A3467" t="s">
        <v>15</v>
      </c>
      <c r="B3467" t="s">
        <v>16</v>
      </c>
      <c r="C3467" s="13">
        <v>42370</v>
      </c>
      <c r="D3467" s="13">
        <v>42735</v>
      </c>
      <c r="E3467" t="s">
        <v>17</v>
      </c>
      <c r="F3467">
        <v>0</v>
      </c>
      <c r="G3467" t="s">
        <v>18</v>
      </c>
      <c r="H3467">
        <v>1</v>
      </c>
      <c r="I3467" t="s">
        <v>19</v>
      </c>
      <c r="J3467">
        <v>269</v>
      </c>
      <c r="K3467" t="s">
        <v>75</v>
      </c>
      <c r="L3467" s="13">
        <v>42697</v>
      </c>
      <c r="M3467" t="s">
        <v>76</v>
      </c>
      <c r="N3467" t="s">
        <v>2435</v>
      </c>
      <c r="O3467">
        <v>37.04</v>
      </c>
      <c r="P3467" t="s">
        <v>565</v>
      </c>
    </row>
    <row r="3468" spans="1:16" x14ac:dyDescent="0.4">
      <c r="A3468" t="s">
        <v>15</v>
      </c>
      <c r="B3468" t="s">
        <v>16</v>
      </c>
      <c r="C3468" s="13">
        <v>42370</v>
      </c>
      <c r="D3468" s="13">
        <v>42735</v>
      </c>
      <c r="E3468" t="s">
        <v>17</v>
      </c>
      <c r="F3468">
        <v>0</v>
      </c>
      <c r="G3468" t="s">
        <v>18</v>
      </c>
      <c r="H3468">
        <v>1</v>
      </c>
      <c r="I3468" t="s">
        <v>19</v>
      </c>
      <c r="J3468">
        <v>269</v>
      </c>
      <c r="K3468" t="s">
        <v>75</v>
      </c>
      <c r="L3468" s="13">
        <v>42697</v>
      </c>
      <c r="M3468" t="s">
        <v>76</v>
      </c>
      <c r="N3468" t="s">
        <v>2435</v>
      </c>
      <c r="O3468">
        <v>277.83</v>
      </c>
      <c r="P3468" t="s">
        <v>565</v>
      </c>
    </row>
    <row r="3469" spans="1:16" x14ac:dyDescent="0.4">
      <c r="A3469" t="s">
        <v>15</v>
      </c>
      <c r="B3469" t="s">
        <v>16</v>
      </c>
      <c r="C3469" s="13">
        <v>42370</v>
      </c>
      <c r="D3469" s="13">
        <v>42735</v>
      </c>
      <c r="E3469" t="s">
        <v>17</v>
      </c>
      <c r="F3469">
        <v>0</v>
      </c>
      <c r="G3469" t="s">
        <v>18</v>
      </c>
      <c r="H3469">
        <v>1</v>
      </c>
      <c r="I3469" t="s">
        <v>19</v>
      </c>
      <c r="J3469">
        <v>269</v>
      </c>
      <c r="K3469" t="s">
        <v>75</v>
      </c>
      <c r="L3469" s="13">
        <v>42735</v>
      </c>
      <c r="M3469" t="s">
        <v>2436</v>
      </c>
      <c r="N3469" t="s">
        <v>46</v>
      </c>
      <c r="O3469">
        <v>-1839.83</v>
      </c>
      <c r="P3469" t="s">
        <v>1444</v>
      </c>
    </row>
    <row r="3470" spans="1:16" x14ac:dyDescent="0.4">
      <c r="A3470" t="s">
        <v>15</v>
      </c>
      <c r="B3470" t="s">
        <v>16</v>
      </c>
      <c r="C3470" s="13">
        <v>42370</v>
      </c>
      <c r="D3470" s="13">
        <v>42735</v>
      </c>
      <c r="E3470" t="s">
        <v>17</v>
      </c>
      <c r="F3470">
        <v>0</v>
      </c>
      <c r="G3470" t="s">
        <v>18</v>
      </c>
      <c r="H3470">
        <v>1</v>
      </c>
      <c r="I3470" t="s">
        <v>19</v>
      </c>
      <c r="J3470">
        <v>281</v>
      </c>
      <c r="K3470" t="s">
        <v>78</v>
      </c>
      <c r="L3470" s="13">
        <v>42410</v>
      </c>
      <c r="M3470" t="s">
        <v>1445</v>
      </c>
      <c r="N3470" t="s">
        <v>2437</v>
      </c>
      <c r="O3470">
        <v>5821.4</v>
      </c>
      <c r="P3470" t="s">
        <v>81</v>
      </c>
    </row>
    <row r="3471" spans="1:16" x14ac:dyDescent="0.4">
      <c r="A3471" t="s">
        <v>15</v>
      </c>
      <c r="B3471" t="s">
        <v>16</v>
      </c>
      <c r="C3471" s="13">
        <v>42370</v>
      </c>
      <c r="D3471" s="13">
        <v>42735</v>
      </c>
      <c r="E3471" t="s">
        <v>17</v>
      </c>
      <c r="F3471">
        <v>0</v>
      </c>
      <c r="G3471" t="s">
        <v>18</v>
      </c>
      <c r="H3471">
        <v>1</v>
      </c>
      <c r="I3471" t="s">
        <v>19</v>
      </c>
      <c r="J3471">
        <v>281</v>
      </c>
      <c r="K3471" t="s">
        <v>78</v>
      </c>
      <c r="L3471" s="13">
        <v>42587</v>
      </c>
      <c r="M3471" t="s">
        <v>1445</v>
      </c>
      <c r="N3471" t="s">
        <v>2438</v>
      </c>
      <c r="O3471">
        <v>6770.92</v>
      </c>
      <c r="P3471" t="s">
        <v>81</v>
      </c>
    </row>
    <row r="3472" spans="1:16" x14ac:dyDescent="0.4">
      <c r="A3472" t="s">
        <v>15</v>
      </c>
      <c r="B3472" t="s">
        <v>16</v>
      </c>
      <c r="C3472" s="13">
        <v>42370</v>
      </c>
      <c r="D3472" s="13">
        <v>42735</v>
      </c>
      <c r="E3472" t="s">
        <v>17</v>
      </c>
      <c r="F3472">
        <v>0</v>
      </c>
      <c r="G3472" t="s">
        <v>18</v>
      </c>
      <c r="H3472">
        <v>1</v>
      </c>
      <c r="I3472" t="s">
        <v>19</v>
      </c>
      <c r="J3472">
        <v>281</v>
      </c>
      <c r="K3472" t="s">
        <v>78</v>
      </c>
      <c r="L3472" s="13">
        <v>42735</v>
      </c>
      <c r="M3472" t="s">
        <v>87</v>
      </c>
      <c r="N3472" t="s">
        <v>86</v>
      </c>
      <c r="O3472">
        <v>-1458.21</v>
      </c>
      <c r="P3472" t="s">
        <v>46</v>
      </c>
    </row>
    <row r="3473" spans="1:16" x14ac:dyDescent="0.4">
      <c r="A3473" t="s">
        <v>15</v>
      </c>
      <c r="B3473" t="s">
        <v>16</v>
      </c>
      <c r="C3473" s="13">
        <v>42370</v>
      </c>
      <c r="D3473" s="13">
        <v>42735</v>
      </c>
      <c r="E3473" t="s">
        <v>17</v>
      </c>
      <c r="F3473">
        <v>0</v>
      </c>
      <c r="G3473" t="s">
        <v>18</v>
      </c>
      <c r="H3473">
        <v>1</v>
      </c>
      <c r="I3473" t="s">
        <v>19</v>
      </c>
      <c r="J3473">
        <v>281</v>
      </c>
      <c r="K3473" t="s">
        <v>78</v>
      </c>
      <c r="L3473" s="13">
        <v>42735</v>
      </c>
      <c r="M3473" t="s">
        <v>88</v>
      </c>
      <c r="N3473" t="s">
        <v>86</v>
      </c>
      <c r="O3473">
        <v>-25.84</v>
      </c>
      <c r="P3473" t="s">
        <v>46</v>
      </c>
    </row>
    <row r="3474" spans="1:16" x14ac:dyDescent="0.4">
      <c r="A3474" t="s">
        <v>15</v>
      </c>
      <c r="B3474" t="s">
        <v>16</v>
      </c>
      <c r="C3474" s="13">
        <v>42370</v>
      </c>
      <c r="D3474" s="13">
        <v>42735</v>
      </c>
      <c r="E3474" t="s">
        <v>17</v>
      </c>
      <c r="F3474">
        <v>0</v>
      </c>
      <c r="G3474" t="s">
        <v>18</v>
      </c>
      <c r="H3474">
        <v>1</v>
      </c>
      <c r="I3474" t="s">
        <v>19</v>
      </c>
      <c r="J3474">
        <v>281</v>
      </c>
      <c r="K3474" t="s">
        <v>78</v>
      </c>
      <c r="L3474" s="13">
        <v>42735</v>
      </c>
      <c r="M3474" t="s">
        <v>90</v>
      </c>
      <c r="N3474" t="s">
        <v>86</v>
      </c>
      <c r="O3474">
        <v>-1125.96</v>
      </c>
      <c r="P3474" t="s">
        <v>46</v>
      </c>
    </row>
    <row r="3475" spans="1:16" x14ac:dyDescent="0.4">
      <c r="A3475" t="s">
        <v>15</v>
      </c>
      <c r="B3475" t="s">
        <v>16</v>
      </c>
      <c r="C3475" s="13">
        <v>42370</v>
      </c>
      <c r="D3475" s="13">
        <v>42735</v>
      </c>
      <c r="E3475" t="s">
        <v>17</v>
      </c>
      <c r="F3475">
        <v>0</v>
      </c>
      <c r="G3475" t="s">
        <v>18</v>
      </c>
      <c r="H3475">
        <v>1</v>
      </c>
      <c r="I3475" t="s">
        <v>19</v>
      </c>
      <c r="J3475">
        <v>281</v>
      </c>
      <c r="K3475" t="s">
        <v>78</v>
      </c>
      <c r="L3475" s="13">
        <v>42735</v>
      </c>
      <c r="M3475" t="s">
        <v>2439</v>
      </c>
      <c r="N3475" t="s">
        <v>46</v>
      </c>
      <c r="O3475">
        <v>-188.28</v>
      </c>
      <c r="P3475" t="s">
        <v>1444</v>
      </c>
    </row>
    <row r="3476" spans="1:16" x14ac:dyDescent="0.4">
      <c r="A3476" t="s">
        <v>15</v>
      </c>
      <c r="B3476" t="s">
        <v>16</v>
      </c>
      <c r="C3476" s="13">
        <v>42370</v>
      </c>
      <c r="D3476" s="13">
        <v>42735</v>
      </c>
      <c r="E3476" t="s">
        <v>17</v>
      </c>
      <c r="F3476">
        <v>0</v>
      </c>
      <c r="G3476" t="s">
        <v>18</v>
      </c>
      <c r="H3476">
        <v>1</v>
      </c>
      <c r="I3476" t="s">
        <v>19</v>
      </c>
      <c r="J3476">
        <v>281</v>
      </c>
      <c r="K3476" t="s">
        <v>78</v>
      </c>
      <c r="L3476" s="13">
        <v>42735</v>
      </c>
      <c r="M3476" t="s">
        <v>85</v>
      </c>
      <c r="N3476" t="s">
        <v>86</v>
      </c>
      <c r="O3476">
        <v>-8513.01</v>
      </c>
      <c r="P3476" t="s">
        <v>46</v>
      </c>
    </row>
    <row r="3477" spans="1:16" x14ac:dyDescent="0.4">
      <c r="A3477" t="s">
        <v>15</v>
      </c>
      <c r="B3477" t="s">
        <v>16</v>
      </c>
      <c r="C3477" s="13">
        <v>42370</v>
      </c>
      <c r="D3477" s="13">
        <v>42735</v>
      </c>
      <c r="E3477" t="s">
        <v>17</v>
      </c>
      <c r="F3477">
        <v>0</v>
      </c>
      <c r="G3477" t="s">
        <v>18</v>
      </c>
      <c r="H3477">
        <v>1</v>
      </c>
      <c r="I3477" t="s">
        <v>19</v>
      </c>
      <c r="J3477">
        <v>281</v>
      </c>
      <c r="K3477" t="s">
        <v>78</v>
      </c>
      <c r="L3477" s="13">
        <v>42735</v>
      </c>
      <c r="M3477" t="s">
        <v>89</v>
      </c>
      <c r="N3477" t="s">
        <v>86</v>
      </c>
      <c r="O3477">
        <v>-1281.01</v>
      </c>
      <c r="P3477" t="s">
        <v>46</v>
      </c>
    </row>
    <row r="3478" spans="1:16" x14ac:dyDescent="0.4">
      <c r="A3478" t="s">
        <v>15</v>
      </c>
      <c r="B3478" t="s">
        <v>16</v>
      </c>
      <c r="C3478" s="13">
        <v>42370</v>
      </c>
      <c r="D3478" s="13">
        <v>42735</v>
      </c>
      <c r="E3478" t="s">
        <v>17</v>
      </c>
      <c r="F3478">
        <v>0</v>
      </c>
      <c r="G3478" t="s">
        <v>18</v>
      </c>
      <c r="H3478">
        <v>1</v>
      </c>
      <c r="I3478" t="s">
        <v>19</v>
      </c>
      <c r="J3478">
        <v>289</v>
      </c>
      <c r="K3478" t="s">
        <v>96</v>
      </c>
      <c r="L3478" s="13">
        <v>42735</v>
      </c>
      <c r="M3478" t="s">
        <v>2440</v>
      </c>
      <c r="N3478" t="s">
        <v>98</v>
      </c>
      <c r="O3478">
        <v>54.46</v>
      </c>
      <c r="P3478" t="s">
        <v>46</v>
      </c>
    </row>
    <row r="3479" spans="1:16" x14ac:dyDescent="0.4">
      <c r="A3479" t="s">
        <v>15</v>
      </c>
      <c r="B3479" t="s">
        <v>16</v>
      </c>
      <c r="C3479" s="13">
        <v>42370</v>
      </c>
      <c r="D3479" s="13">
        <v>42735</v>
      </c>
      <c r="E3479" t="s">
        <v>17</v>
      </c>
      <c r="F3479">
        <v>0</v>
      </c>
      <c r="G3479" t="s">
        <v>18</v>
      </c>
      <c r="H3479">
        <v>1</v>
      </c>
      <c r="I3479" t="s">
        <v>19</v>
      </c>
      <c r="J3479">
        <v>289</v>
      </c>
      <c r="K3479" t="s">
        <v>96</v>
      </c>
      <c r="L3479" s="13">
        <v>42735</v>
      </c>
      <c r="M3479" t="s">
        <v>2441</v>
      </c>
      <c r="N3479" t="s">
        <v>86</v>
      </c>
      <c r="O3479">
        <v>25.84</v>
      </c>
      <c r="P3479" t="s">
        <v>46</v>
      </c>
    </row>
    <row r="3480" spans="1:16" x14ac:dyDescent="0.4">
      <c r="A3480" t="s">
        <v>15</v>
      </c>
      <c r="B3480" t="s">
        <v>16</v>
      </c>
      <c r="C3480" s="13">
        <v>42370</v>
      </c>
      <c r="D3480" s="13">
        <v>42735</v>
      </c>
      <c r="E3480" t="s">
        <v>17</v>
      </c>
      <c r="F3480">
        <v>0</v>
      </c>
      <c r="G3480" t="s">
        <v>18</v>
      </c>
      <c r="H3480">
        <v>1</v>
      </c>
      <c r="I3480" t="s">
        <v>19</v>
      </c>
      <c r="J3480">
        <v>321</v>
      </c>
      <c r="K3480" t="s">
        <v>104</v>
      </c>
      <c r="L3480" s="13">
        <v>42397</v>
      </c>
      <c r="M3480" t="s">
        <v>2442</v>
      </c>
      <c r="N3480" t="s">
        <v>2443</v>
      </c>
      <c r="O3480">
        <v>2052.0500000000002</v>
      </c>
      <c r="P3480" t="s">
        <v>34</v>
      </c>
    </row>
    <row r="3481" spans="1:16" x14ac:dyDescent="0.4">
      <c r="A3481" t="s">
        <v>15</v>
      </c>
      <c r="B3481" t="s">
        <v>16</v>
      </c>
      <c r="C3481" s="13">
        <v>42370</v>
      </c>
      <c r="D3481" s="13">
        <v>42735</v>
      </c>
      <c r="E3481" t="s">
        <v>17</v>
      </c>
      <c r="F3481">
        <v>0</v>
      </c>
      <c r="G3481" t="s">
        <v>18</v>
      </c>
      <c r="H3481">
        <v>1</v>
      </c>
      <c r="I3481" t="s">
        <v>19</v>
      </c>
      <c r="J3481">
        <v>321</v>
      </c>
      <c r="K3481" t="s">
        <v>104</v>
      </c>
      <c r="L3481" s="13">
        <v>42425</v>
      </c>
      <c r="M3481" t="s">
        <v>2444</v>
      </c>
      <c r="N3481" t="s">
        <v>2445</v>
      </c>
      <c r="O3481">
        <v>2052.0500000000002</v>
      </c>
      <c r="P3481" t="s">
        <v>34</v>
      </c>
    </row>
    <row r="3482" spans="1:16" x14ac:dyDescent="0.4">
      <c r="A3482" t="s">
        <v>15</v>
      </c>
      <c r="B3482" t="s">
        <v>16</v>
      </c>
      <c r="C3482" s="13">
        <v>42370</v>
      </c>
      <c r="D3482" s="13">
        <v>42735</v>
      </c>
      <c r="E3482" t="s">
        <v>17</v>
      </c>
      <c r="F3482">
        <v>0</v>
      </c>
      <c r="G3482" t="s">
        <v>18</v>
      </c>
      <c r="H3482">
        <v>1</v>
      </c>
      <c r="I3482" t="s">
        <v>19</v>
      </c>
      <c r="J3482">
        <v>321</v>
      </c>
      <c r="K3482" t="s">
        <v>104</v>
      </c>
      <c r="L3482" s="13">
        <v>42459</v>
      </c>
      <c r="M3482" t="s">
        <v>2446</v>
      </c>
      <c r="N3482" t="s">
        <v>2447</v>
      </c>
      <c r="O3482">
        <v>2052.0500000000002</v>
      </c>
      <c r="P3482" t="s">
        <v>34</v>
      </c>
    </row>
    <row r="3483" spans="1:16" x14ac:dyDescent="0.4">
      <c r="A3483" t="s">
        <v>15</v>
      </c>
      <c r="B3483" t="s">
        <v>16</v>
      </c>
      <c r="C3483" s="13">
        <v>42370</v>
      </c>
      <c r="D3483" s="13">
        <v>42735</v>
      </c>
      <c r="E3483" t="s">
        <v>17</v>
      </c>
      <c r="F3483">
        <v>0</v>
      </c>
      <c r="G3483" t="s">
        <v>18</v>
      </c>
      <c r="H3483">
        <v>1</v>
      </c>
      <c r="I3483" t="s">
        <v>19</v>
      </c>
      <c r="J3483">
        <v>321</v>
      </c>
      <c r="K3483" t="s">
        <v>104</v>
      </c>
      <c r="L3483" s="13">
        <v>42488</v>
      </c>
      <c r="M3483" t="s">
        <v>2448</v>
      </c>
      <c r="N3483" t="s">
        <v>2449</v>
      </c>
      <c r="O3483">
        <v>2052.0500000000002</v>
      </c>
      <c r="P3483" t="s">
        <v>34</v>
      </c>
    </row>
    <row r="3484" spans="1:16" x14ac:dyDescent="0.4">
      <c r="A3484" t="s">
        <v>15</v>
      </c>
      <c r="B3484" t="s">
        <v>16</v>
      </c>
      <c r="C3484" s="13">
        <v>42370</v>
      </c>
      <c r="D3484" s="13">
        <v>42735</v>
      </c>
      <c r="E3484" t="s">
        <v>17</v>
      </c>
      <c r="F3484">
        <v>0</v>
      </c>
      <c r="G3484" t="s">
        <v>18</v>
      </c>
      <c r="H3484">
        <v>1</v>
      </c>
      <c r="I3484" t="s">
        <v>19</v>
      </c>
      <c r="J3484">
        <v>321</v>
      </c>
      <c r="K3484" t="s">
        <v>104</v>
      </c>
      <c r="L3484" s="13">
        <v>42516</v>
      </c>
      <c r="M3484" t="s">
        <v>2450</v>
      </c>
      <c r="N3484" t="s">
        <v>2451</v>
      </c>
      <c r="O3484">
        <v>2052.0500000000002</v>
      </c>
      <c r="P3484" t="s">
        <v>34</v>
      </c>
    </row>
    <row r="3485" spans="1:16" x14ac:dyDescent="0.4">
      <c r="A3485" t="s">
        <v>15</v>
      </c>
      <c r="B3485" t="s">
        <v>16</v>
      </c>
      <c r="C3485" s="13">
        <v>42370</v>
      </c>
      <c r="D3485" s="13">
        <v>42735</v>
      </c>
      <c r="E3485" t="s">
        <v>17</v>
      </c>
      <c r="F3485">
        <v>0</v>
      </c>
      <c r="G3485" t="s">
        <v>18</v>
      </c>
      <c r="H3485">
        <v>1</v>
      </c>
      <c r="I3485" t="s">
        <v>19</v>
      </c>
      <c r="J3485">
        <v>321</v>
      </c>
      <c r="K3485" t="s">
        <v>104</v>
      </c>
      <c r="L3485" s="13">
        <v>42549</v>
      </c>
      <c r="M3485" t="s">
        <v>2452</v>
      </c>
      <c r="N3485" t="s">
        <v>2453</v>
      </c>
      <c r="O3485">
        <v>2052.0500000000002</v>
      </c>
      <c r="P3485" t="s">
        <v>34</v>
      </c>
    </row>
    <row r="3486" spans="1:16" x14ac:dyDescent="0.4">
      <c r="A3486" t="s">
        <v>15</v>
      </c>
      <c r="B3486" t="s">
        <v>16</v>
      </c>
      <c r="C3486" s="13">
        <v>42370</v>
      </c>
      <c r="D3486" s="13">
        <v>42735</v>
      </c>
      <c r="E3486" t="s">
        <v>17</v>
      </c>
      <c r="F3486">
        <v>0</v>
      </c>
      <c r="G3486" t="s">
        <v>18</v>
      </c>
      <c r="H3486">
        <v>1</v>
      </c>
      <c r="I3486" t="s">
        <v>19</v>
      </c>
      <c r="J3486">
        <v>321</v>
      </c>
      <c r="K3486" t="s">
        <v>104</v>
      </c>
      <c r="L3486" s="13">
        <v>42578</v>
      </c>
      <c r="M3486" t="s">
        <v>2454</v>
      </c>
      <c r="N3486" t="s">
        <v>2455</v>
      </c>
      <c r="O3486">
        <v>2052.0500000000002</v>
      </c>
      <c r="P3486" t="s">
        <v>34</v>
      </c>
    </row>
    <row r="3487" spans="1:16" x14ac:dyDescent="0.4">
      <c r="A3487" t="s">
        <v>15</v>
      </c>
      <c r="B3487" t="s">
        <v>16</v>
      </c>
      <c r="C3487" s="13">
        <v>42370</v>
      </c>
      <c r="D3487" s="13">
        <v>42735</v>
      </c>
      <c r="E3487" t="s">
        <v>17</v>
      </c>
      <c r="F3487">
        <v>0</v>
      </c>
      <c r="G3487" t="s">
        <v>18</v>
      </c>
      <c r="H3487">
        <v>1</v>
      </c>
      <c r="I3487" t="s">
        <v>19</v>
      </c>
      <c r="J3487">
        <v>321</v>
      </c>
      <c r="K3487" t="s">
        <v>104</v>
      </c>
      <c r="L3487" s="13">
        <v>42612</v>
      </c>
      <c r="M3487" t="s">
        <v>2456</v>
      </c>
      <c r="N3487" t="s">
        <v>2457</v>
      </c>
      <c r="O3487">
        <v>2052.0500000000002</v>
      </c>
      <c r="P3487" t="s">
        <v>34</v>
      </c>
    </row>
    <row r="3488" spans="1:16" x14ac:dyDescent="0.4">
      <c r="A3488" t="s">
        <v>15</v>
      </c>
      <c r="B3488" t="s">
        <v>16</v>
      </c>
      <c r="C3488" s="13">
        <v>42370</v>
      </c>
      <c r="D3488" s="13">
        <v>42735</v>
      </c>
      <c r="E3488" t="s">
        <v>17</v>
      </c>
      <c r="F3488">
        <v>0</v>
      </c>
      <c r="G3488" t="s">
        <v>18</v>
      </c>
      <c r="H3488">
        <v>1</v>
      </c>
      <c r="I3488" t="s">
        <v>19</v>
      </c>
      <c r="J3488">
        <v>321</v>
      </c>
      <c r="K3488" t="s">
        <v>104</v>
      </c>
      <c r="L3488" s="13">
        <v>42642</v>
      </c>
      <c r="M3488" t="s">
        <v>2458</v>
      </c>
      <c r="N3488" t="s">
        <v>2459</v>
      </c>
      <c r="O3488">
        <v>2052.0500000000002</v>
      </c>
      <c r="P3488" t="s">
        <v>34</v>
      </c>
    </row>
    <row r="3489" spans="1:16" x14ac:dyDescent="0.4">
      <c r="A3489" t="s">
        <v>15</v>
      </c>
      <c r="B3489" t="s">
        <v>16</v>
      </c>
      <c r="C3489" s="13">
        <v>42370</v>
      </c>
      <c r="D3489" s="13">
        <v>42735</v>
      </c>
      <c r="E3489" t="s">
        <v>17</v>
      </c>
      <c r="F3489">
        <v>0</v>
      </c>
      <c r="G3489" t="s">
        <v>18</v>
      </c>
      <c r="H3489">
        <v>1</v>
      </c>
      <c r="I3489" t="s">
        <v>19</v>
      </c>
      <c r="J3489">
        <v>321</v>
      </c>
      <c r="K3489" t="s">
        <v>104</v>
      </c>
      <c r="L3489" s="13">
        <v>42671</v>
      </c>
      <c r="M3489" t="s">
        <v>2460</v>
      </c>
      <c r="N3489" t="s">
        <v>2461</v>
      </c>
      <c r="O3489">
        <v>2052.0500000000002</v>
      </c>
      <c r="P3489" t="s">
        <v>34</v>
      </c>
    </row>
    <row r="3490" spans="1:16" x14ac:dyDescent="0.4">
      <c r="A3490" t="s">
        <v>15</v>
      </c>
      <c r="B3490" t="s">
        <v>16</v>
      </c>
      <c r="C3490" s="13">
        <v>42370</v>
      </c>
      <c r="D3490" s="13">
        <v>42735</v>
      </c>
      <c r="E3490" t="s">
        <v>17</v>
      </c>
      <c r="F3490">
        <v>0</v>
      </c>
      <c r="G3490" t="s">
        <v>18</v>
      </c>
      <c r="H3490">
        <v>1</v>
      </c>
      <c r="I3490" t="s">
        <v>19</v>
      </c>
      <c r="J3490">
        <v>321</v>
      </c>
      <c r="K3490" t="s">
        <v>104</v>
      </c>
      <c r="L3490" s="13">
        <v>42703</v>
      </c>
      <c r="M3490" t="s">
        <v>2462</v>
      </c>
      <c r="N3490" t="s">
        <v>2463</v>
      </c>
      <c r="O3490">
        <v>2052.0500000000002</v>
      </c>
      <c r="P3490" t="s">
        <v>34</v>
      </c>
    </row>
    <row r="3491" spans="1:16" x14ac:dyDescent="0.4">
      <c r="A3491" t="s">
        <v>15</v>
      </c>
      <c r="B3491" t="s">
        <v>16</v>
      </c>
      <c r="C3491" s="13">
        <v>42370</v>
      </c>
      <c r="D3491" s="13">
        <v>42735</v>
      </c>
      <c r="E3491" t="s">
        <v>17</v>
      </c>
      <c r="F3491">
        <v>0</v>
      </c>
      <c r="G3491" t="s">
        <v>18</v>
      </c>
      <c r="H3491">
        <v>1</v>
      </c>
      <c r="I3491" t="s">
        <v>19</v>
      </c>
      <c r="J3491">
        <v>321</v>
      </c>
      <c r="K3491" t="s">
        <v>104</v>
      </c>
      <c r="L3491" s="13">
        <v>42735</v>
      </c>
      <c r="M3491" t="s">
        <v>2464</v>
      </c>
      <c r="N3491" t="s">
        <v>2465</v>
      </c>
      <c r="O3491">
        <v>3999.41</v>
      </c>
      <c r="P3491" t="s">
        <v>34</v>
      </c>
    </row>
    <row r="3492" spans="1:16" x14ac:dyDescent="0.4">
      <c r="A3492" t="s">
        <v>15</v>
      </c>
      <c r="B3492" t="s">
        <v>16</v>
      </c>
      <c r="C3492" s="13">
        <v>42370</v>
      </c>
      <c r="D3492" s="13">
        <v>42735</v>
      </c>
      <c r="E3492" t="s">
        <v>17</v>
      </c>
      <c r="F3492">
        <v>0</v>
      </c>
      <c r="G3492" t="s">
        <v>18</v>
      </c>
      <c r="H3492">
        <v>1</v>
      </c>
      <c r="I3492" t="s">
        <v>19</v>
      </c>
      <c r="J3492">
        <v>322</v>
      </c>
      <c r="K3492" t="s">
        <v>143</v>
      </c>
      <c r="L3492" s="13">
        <v>42397</v>
      </c>
      <c r="M3492" t="s">
        <v>2466</v>
      </c>
      <c r="N3492" t="s">
        <v>2443</v>
      </c>
      <c r="O3492">
        <v>562.38</v>
      </c>
      <c r="P3492" t="s">
        <v>34</v>
      </c>
    </row>
    <row r="3493" spans="1:16" x14ac:dyDescent="0.4">
      <c r="A3493" t="s">
        <v>15</v>
      </c>
      <c r="B3493" t="s">
        <v>16</v>
      </c>
      <c r="C3493" s="13">
        <v>42370</v>
      </c>
      <c r="D3493" s="13">
        <v>42735</v>
      </c>
      <c r="E3493" t="s">
        <v>17</v>
      </c>
      <c r="F3493">
        <v>0</v>
      </c>
      <c r="G3493" t="s">
        <v>18</v>
      </c>
      <c r="H3493">
        <v>1</v>
      </c>
      <c r="I3493" t="s">
        <v>19</v>
      </c>
      <c r="J3493">
        <v>322</v>
      </c>
      <c r="K3493" t="s">
        <v>143</v>
      </c>
      <c r="L3493" s="13">
        <v>42410</v>
      </c>
      <c r="M3493" t="s">
        <v>2467</v>
      </c>
      <c r="N3493" t="s">
        <v>2468</v>
      </c>
      <c r="O3493">
        <v>-0.22</v>
      </c>
      <c r="P3493" t="s">
        <v>146</v>
      </c>
    </row>
    <row r="3494" spans="1:16" x14ac:dyDescent="0.4">
      <c r="A3494" t="s">
        <v>15</v>
      </c>
      <c r="B3494" t="s">
        <v>16</v>
      </c>
      <c r="C3494" s="13">
        <v>42370</v>
      </c>
      <c r="D3494" s="13">
        <v>42735</v>
      </c>
      <c r="E3494" t="s">
        <v>17</v>
      </c>
      <c r="F3494">
        <v>0</v>
      </c>
      <c r="G3494" t="s">
        <v>18</v>
      </c>
      <c r="H3494">
        <v>1</v>
      </c>
      <c r="I3494" t="s">
        <v>19</v>
      </c>
      <c r="J3494">
        <v>322</v>
      </c>
      <c r="K3494" t="s">
        <v>143</v>
      </c>
      <c r="L3494" s="13">
        <v>42425</v>
      </c>
      <c r="M3494" t="s">
        <v>2469</v>
      </c>
      <c r="N3494" t="s">
        <v>2445</v>
      </c>
      <c r="O3494">
        <v>562.39</v>
      </c>
      <c r="P3494" t="s">
        <v>34</v>
      </c>
    </row>
    <row r="3495" spans="1:16" x14ac:dyDescent="0.4">
      <c r="A3495" t="s">
        <v>15</v>
      </c>
      <c r="B3495" t="s">
        <v>16</v>
      </c>
      <c r="C3495" s="13">
        <v>42370</v>
      </c>
      <c r="D3495" s="13">
        <v>42735</v>
      </c>
      <c r="E3495" t="s">
        <v>17</v>
      </c>
      <c r="F3495">
        <v>0</v>
      </c>
      <c r="G3495" t="s">
        <v>18</v>
      </c>
      <c r="H3495">
        <v>1</v>
      </c>
      <c r="I3495" t="s">
        <v>19</v>
      </c>
      <c r="J3495">
        <v>322</v>
      </c>
      <c r="K3495" t="s">
        <v>143</v>
      </c>
      <c r="L3495" s="13">
        <v>42436</v>
      </c>
      <c r="M3495" t="s">
        <v>2470</v>
      </c>
      <c r="N3495" t="s">
        <v>1104</v>
      </c>
      <c r="O3495">
        <v>-0.17</v>
      </c>
      <c r="P3495" t="s">
        <v>146</v>
      </c>
    </row>
    <row r="3496" spans="1:16" x14ac:dyDescent="0.4">
      <c r="A3496" t="s">
        <v>15</v>
      </c>
      <c r="B3496" t="s">
        <v>16</v>
      </c>
      <c r="C3496" s="13">
        <v>42370</v>
      </c>
      <c r="D3496" s="13">
        <v>42735</v>
      </c>
      <c r="E3496" t="s">
        <v>17</v>
      </c>
      <c r="F3496">
        <v>0</v>
      </c>
      <c r="G3496" t="s">
        <v>18</v>
      </c>
      <c r="H3496">
        <v>1</v>
      </c>
      <c r="I3496" t="s">
        <v>19</v>
      </c>
      <c r="J3496">
        <v>322</v>
      </c>
      <c r="K3496" t="s">
        <v>143</v>
      </c>
      <c r="L3496" s="13">
        <v>42459</v>
      </c>
      <c r="M3496" t="s">
        <v>2471</v>
      </c>
      <c r="N3496" t="s">
        <v>2447</v>
      </c>
      <c r="O3496">
        <v>562.38</v>
      </c>
      <c r="P3496" t="s">
        <v>34</v>
      </c>
    </row>
    <row r="3497" spans="1:16" x14ac:dyDescent="0.4">
      <c r="A3497" t="s">
        <v>15</v>
      </c>
      <c r="B3497" t="s">
        <v>16</v>
      </c>
      <c r="C3497" s="13">
        <v>42370</v>
      </c>
      <c r="D3497" s="13">
        <v>42735</v>
      </c>
      <c r="E3497" t="s">
        <v>17</v>
      </c>
      <c r="F3497">
        <v>0</v>
      </c>
      <c r="G3497" t="s">
        <v>18</v>
      </c>
      <c r="H3497">
        <v>1</v>
      </c>
      <c r="I3497" t="s">
        <v>19</v>
      </c>
      <c r="J3497">
        <v>322</v>
      </c>
      <c r="K3497" t="s">
        <v>143</v>
      </c>
      <c r="L3497" s="13">
        <v>42460</v>
      </c>
      <c r="M3497" t="s">
        <v>2472</v>
      </c>
      <c r="N3497" t="s">
        <v>2473</v>
      </c>
      <c r="O3497">
        <v>-0.16</v>
      </c>
      <c r="P3497" t="s">
        <v>146</v>
      </c>
    </row>
    <row r="3498" spans="1:16" x14ac:dyDescent="0.4">
      <c r="A3498" t="s">
        <v>15</v>
      </c>
      <c r="B3498" t="s">
        <v>16</v>
      </c>
      <c r="C3498" s="13">
        <v>42370</v>
      </c>
      <c r="D3498" s="13">
        <v>42735</v>
      </c>
      <c r="E3498" t="s">
        <v>17</v>
      </c>
      <c r="F3498">
        <v>0</v>
      </c>
      <c r="G3498" t="s">
        <v>18</v>
      </c>
      <c r="H3498">
        <v>1</v>
      </c>
      <c r="I3498" t="s">
        <v>19</v>
      </c>
      <c r="J3498">
        <v>322</v>
      </c>
      <c r="K3498" t="s">
        <v>143</v>
      </c>
      <c r="L3498" s="13">
        <v>42488</v>
      </c>
      <c r="M3498" t="s">
        <v>2474</v>
      </c>
      <c r="N3498" t="s">
        <v>2449</v>
      </c>
      <c r="O3498">
        <v>562.38</v>
      </c>
      <c r="P3498" t="s">
        <v>34</v>
      </c>
    </row>
    <row r="3499" spans="1:16" x14ac:dyDescent="0.4">
      <c r="A3499" t="s">
        <v>15</v>
      </c>
      <c r="B3499" t="s">
        <v>16</v>
      </c>
      <c r="C3499" s="13">
        <v>42370</v>
      </c>
      <c r="D3499" s="13">
        <v>42735</v>
      </c>
      <c r="E3499" t="s">
        <v>17</v>
      </c>
      <c r="F3499">
        <v>0</v>
      </c>
      <c r="G3499" t="s">
        <v>18</v>
      </c>
      <c r="H3499">
        <v>1</v>
      </c>
      <c r="I3499" t="s">
        <v>19</v>
      </c>
      <c r="J3499">
        <v>322</v>
      </c>
      <c r="K3499" t="s">
        <v>143</v>
      </c>
      <c r="L3499" s="13">
        <v>42490</v>
      </c>
      <c r="M3499" t="s">
        <v>2475</v>
      </c>
      <c r="N3499" t="s">
        <v>2476</v>
      </c>
      <c r="O3499">
        <v>-0.16</v>
      </c>
      <c r="P3499" t="s">
        <v>146</v>
      </c>
    </row>
    <row r="3500" spans="1:16" x14ac:dyDescent="0.4">
      <c r="A3500" t="s">
        <v>15</v>
      </c>
      <c r="B3500" t="s">
        <v>16</v>
      </c>
      <c r="C3500" s="13">
        <v>42370</v>
      </c>
      <c r="D3500" s="13">
        <v>42735</v>
      </c>
      <c r="E3500" t="s">
        <v>17</v>
      </c>
      <c r="F3500">
        <v>0</v>
      </c>
      <c r="G3500" t="s">
        <v>18</v>
      </c>
      <c r="H3500">
        <v>1</v>
      </c>
      <c r="I3500" t="s">
        <v>19</v>
      </c>
      <c r="J3500">
        <v>322</v>
      </c>
      <c r="K3500" t="s">
        <v>143</v>
      </c>
      <c r="L3500" s="13">
        <v>42516</v>
      </c>
      <c r="M3500" t="s">
        <v>2477</v>
      </c>
      <c r="N3500" t="s">
        <v>2451</v>
      </c>
      <c r="O3500">
        <v>562.38</v>
      </c>
      <c r="P3500" t="s">
        <v>34</v>
      </c>
    </row>
    <row r="3501" spans="1:16" x14ac:dyDescent="0.4">
      <c r="A3501" t="s">
        <v>15</v>
      </c>
      <c r="B3501" t="s">
        <v>16</v>
      </c>
      <c r="C3501" s="13">
        <v>42370</v>
      </c>
      <c r="D3501" s="13">
        <v>42735</v>
      </c>
      <c r="E3501" t="s">
        <v>17</v>
      </c>
      <c r="F3501">
        <v>0</v>
      </c>
      <c r="G3501" t="s">
        <v>18</v>
      </c>
      <c r="H3501">
        <v>1</v>
      </c>
      <c r="I3501" t="s">
        <v>19</v>
      </c>
      <c r="J3501">
        <v>322</v>
      </c>
      <c r="K3501" t="s">
        <v>143</v>
      </c>
      <c r="L3501" s="13">
        <v>42523</v>
      </c>
      <c r="M3501" t="s">
        <v>2478</v>
      </c>
      <c r="N3501" t="s">
        <v>2479</v>
      </c>
      <c r="O3501">
        <v>-0.16</v>
      </c>
      <c r="P3501" t="s">
        <v>146</v>
      </c>
    </row>
    <row r="3502" spans="1:16" x14ac:dyDescent="0.4">
      <c r="A3502" t="s">
        <v>15</v>
      </c>
      <c r="B3502" t="s">
        <v>16</v>
      </c>
      <c r="C3502" s="13">
        <v>42370</v>
      </c>
      <c r="D3502" s="13">
        <v>42735</v>
      </c>
      <c r="E3502" t="s">
        <v>17</v>
      </c>
      <c r="F3502">
        <v>0</v>
      </c>
      <c r="G3502" t="s">
        <v>18</v>
      </c>
      <c r="H3502">
        <v>1</v>
      </c>
      <c r="I3502" t="s">
        <v>19</v>
      </c>
      <c r="J3502">
        <v>322</v>
      </c>
      <c r="K3502" t="s">
        <v>143</v>
      </c>
      <c r="L3502" s="13">
        <v>42549</v>
      </c>
      <c r="M3502" t="s">
        <v>2480</v>
      </c>
      <c r="N3502" t="s">
        <v>2453</v>
      </c>
      <c r="O3502">
        <v>562.39</v>
      </c>
      <c r="P3502" t="s">
        <v>34</v>
      </c>
    </row>
    <row r="3503" spans="1:16" x14ac:dyDescent="0.4">
      <c r="A3503" t="s">
        <v>15</v>
      </c>
      <c r="B3503" t="s">
        <v>16</v>
      </c>
      <c r="C3503" s="13">
        <v>42370</v>
      </c>
      <c r="D3503" s="13">
        <v>42735</v>
      </c>
      <c r="E3503" t="s">
        <v>17</v>
      </c>
      <c r="F3503">
        <v>0</v>
      </c>
      <c r="G3503" t="s">
        <v>18</v>
      </c>
      <c r="H3503">
        <v>1</v>
      </c>
      <c r="I3503" t="s">
        <v>19</v>
      </c>
      <c r="J3503">
        <v>322</v>
      </c>
      <c r="K3503" t="s">
        <v>143</v>
      </c>
      <c r="L3503" s="13">
        <v>42551</v>
      </c>
      <c r="M3503" t="s">
        <v>2481</v>
      </c>
      <c r="N3503" t="s">
        <v>2482</v>
      </c>
      <c r="O3503">
        <v>-0.17</v>
      </c>
      <c r="P3503" t="s">
        <v>146</v>
      </c>
    </row>
    <row r="3504" spans="1:16" x14ac:dyDescent="0.4">
      <c r="A3504" t="s">
        <v>15</v>
      </c>
      <c r="B3504" t="s">
        <v>16</v>
      </c>
      <c r="C3504" s="13">
        <v>42370</v>
      </c>
      <c r="D3504" s="13">
        <v>42735</v>
      </c>
      <c r="E3504" t="s">
        <v>17</v>
      </c>
      <c r="F3504">
        <v>0</v>
      </c>
      <c r="G3504" t="s">
        <v>18</v>
      </c>
      <c r="H3504">
        <v>1</v>
      </c>
      <c r="I3504" t="s">
        <v>19</v>
      </c>
      <c r="J3504">
        <v>322</v>
      </c>
      <c r="K3504" t="s">
        <v>143</v>
      </c>
      <c r="L3504" s="13">
        <v>42578</v>
      </c>
      <c r="M3504" t="s">
        <v>2483</v>
      </c>
      <c r="N3504" t="s">
        <v>2455</v>
      </c>
      <c r="O3504">
        <v>562.38</v>
      </c>
      <c r="P3504" t="s">
        <v>34</v>
      </c>
    </row>
    <row r="3505" spans="1:16" x14ac:dyDescent="0.4">
      <c r="A3505" t="s">
        <v>15</v>
      </c>
      <c r="B3505" t="s">
        <v>16</v>
      </c>
      <c r="C3505" s="13">
        <v>42370</v>
      </c>
      <c r="D3505" s="13">
        <v>42735</v>
      </c>
      <c r="E3505" t="s">
        <v>17</v>
      </c>
      <c r="F3505">
        <v>0</v>
      </c>
      <c r="G3505" t="s">
        <v>18</v>
      </c>
      <c r="H3505">
        <v>1</v>
      </c>
      <c r="I3505" t="s">
        <v>19</v>
      </c>
      <c r="J3505">
        <v>322</v>
      </c>
      <c r="K3505" t="s">
        <v>143</v>
      </c>
      <c r="L3505" s="13">
        <v>42583</v>
      </c>
      <c r="M3505" t="s">
        <v>2484</v>
      </c>
      <c r="N3505" t="s">
        <v>2485</v>
      </c>
      <c r="O3505">
        <v>-0.16</v>
      </c>
      <c r="P3505" t="s">
        <v>146</v>
      </c>
    </row>
    <row r="3506" spans="1:16" x14ac:dyDescent="0.4">
      <c r="A3506" t="s">
        <v>15</v>
      </c>
      <c r="B3506" t="s">
        <v>16</v>
      </c>
      <c r="C3506" s="13">
        <v>42370</v>
      </c>
      <c r="D3506" s="13">
        <v>42735</v>
      </c>
      <c r="E3506" t="s">
        <v>17</v>
      </c>
      <c r="F3506">
        <v>0</v>
      </c>
      <c r="G3506" t="s">
        <v>18</v>
      </c>
      <c r="H3506">
        <v>1</v>
      </c>
      <c r="I3506" t="s">
        <v>19</v>
      </c>
      <c r="J3506">
        <v>322</v>
      </c>
      <c r="K3506" t="s">
        <v>143</v>
      </c>
      <c r="L3506" s="13">
        <v>42612</v>
      </c>
      <c r="M3506" t="s">
        <v>2486</v>
      </c>
      <c r="N3506" t="s">
        <v>2457</v>
      </c>
      <c r="O3506">
        <v>562.38</v>
      </c>
      <c r="P3506" t="s">
        <v>34</v>
      </c>
    </row>
    <row r="3507" spans="1:16" x14ac:dyDescent="0.4">
      <c r="A3507" t="s">
        <v>15</v>
      </c>
      <c r="B3507" t="s">
        <v>16</v>
      </c>
      <c r="C3507" s="13">
        <v>42370</v>
      </c>
      <c r="D3507" s="13">
        <v>42735</v>
      </c>
      <c r="E3507" t="s">
        <v>17</v>
      </c>
      <c r="F3507">
        <v>0</v>
      </c>
      <c r="G3507" t="s">
        <v>18</v>
      </c>
      <c r="H3507">
        <v>1</v>
      </c>
      <c r="I3507" t="s">
        <v>19</v>
      </c>
      <c r="J3507">
        <v>322</v>
      </c>
      <c r="K3507" t="s">
        <v>143</v>
      </c>
      <c r="L3507" s="13">
        <v>42620</v>
      </c>
      <c r="M3507" t="s">
        <v>2487</v>
      </c>
      <c r="N3507" t="s">
        <v>2488</v>
      </c>
      <c r="O3507">
        <v>-0.16</v>
      </c>
      <c r="P3507" t="s">
        <v>146</v>
      </c>
    </row>
    <row r="3508" spans="1:16" x14ac:dyDescent="0.4">
      <c r="A3508" t="s">
        <v>15</v>
      </c>
      <c r="B3508" t="s">
        <v>16</v>
      </c>
      <c r="C3508" s="13">
        <v>42370</v>
      </c>
      <c r="D3508" s="13">
        <v>42735</v>
      </c>
      <c r="E3508" t="s">
        <v>17</v>
      </c>
      <c r="F3508">
        <v>0</v>
      </c>
      <c r="G3508" t="s">
        <v>18</v>
      </c>
      <c r="H3508">
        <v>1</v>
      </c>
      <c r="I3508" t="s">
        <v>19</v>
      </c>
      <c r="J3508">
        <v>322</v>
      </c>
      <c r="K3508" t="s">
        <v>143</v>
      </c>
      <c r="L3508" s="13">
        <v>42642</v>
      </c>
      <c r="M3508" t="s">
        <v>2489</v>
      </c>
      <c r="N3508" t="s">
        <v>2459</v>
      </c>
      <c r="O3508">
        <v>562.38</v>
      </c>
      <c r="P3508" t="s">
        <v>34</v>
      </c>
    </row>
    <row r="3509" spans="1:16" x14ac:dyDescent="0.4">
      <c r="A3509" t="s">
        <v>15</v>
      </c>
      <c r="B3509" t="s">
        <v>16</v>
      </c>
      <c r="C3509" s="13">
        <v>42370</v>
      </c>
      <c r="D3509" s="13">
        <v>42735</v>
      </c>
      <c r="E3509" t="s">
        <v>17</v>
      </c>
      <c r="F3509">
        <v>0</v>
      </c>
      <c r="G3509" t="s">
        <v>18</v>
      </c>
      <c r="H3509">
        <v>1</v>
      </c>
      <c r="I3509" t="s">
        <v>19</v>
      </c>
      <c r="J3509">
        <v>322</v>
      </c>
      <c r="K3509" t="s">
        <v>143</v>
      </c>
      <c r="L3509" s="13">
        <v>42643</v>
      </c>
      <c r="M3509" t="s">
        <v>2490</v>
      </c>
      <c r="N3509" t="s">
        <v>2491</v>
      </c>
      <c r="O3509">
        <v>-0.16</v>
      </c>
      <c r="P3509" t="s">
        <v>146</v>
      </c>
    </row>
    <row r="3510" spans="1:16" x14ac:dyDescent="0.4">
      <c r="A3510" t="s">
        <v>15</v>
      </c>
      <c r="B3510" t="s">
        <v>16</v>
      </c>
      <c r="C3510" s="13">
        <v>42370</v>
      </c>
      <c r="D3510" s="13">
        <v>42735</v>
      </c>
      <c r="E3510" t="s">
        <v>17</v>
      </c>
      <c r="F3510">
        <v>0</v>
      </c>
      <c r="G3510" t="s">
        <v>18</v>
      </c>
      <c r="H3510">
        <v>1</v>
      </c>
      <c r="I3510" t="s">
        <v>19</v>
      </c>
      <c r="J3510">
        <v>322</v>
      </c>
      <c r="K3510" t="s">
        <v>143</v>
      </c>
      <c r="L3510" s="13">
        <v>42671</v>
      </c>
      <c r="M3510" t="s">
        <v>2492</v>
      </c>
      <c r="N3510" t="s">
        <v>2461</v>
      </c>
      <c r="O3510">
        <v>562.39</v>
      </c>
      <c r="P3510" t="s">
        <v>34</v>
      </c>
    </row>
    <row r="3511" spans="1:16" x14ac:dyDescent="0.4">
      <c r="A3511" t="s">
        <v>15</v>
      </c>
      <c r="B3511" t="s">
        <v>16</v>
      </c>
      <c r="C3511" s="13">
        <v>42370</v>
      </c>
      <c r="D3511" s="13">
        <v>42735</v>
      </c>
      <c r="E3511" t="s">
        <v>17</v>
      </c>
      <c r="F3511">
        <v>0</v>
      </c>
      <c r="G3511" t="s">
        <v>18</v>
      </c>
      <c r="H3511">
        <v>1</v>
      </c>
      <c r="I3511" t="s">
        <v>19</v>
      </c>
      <c r="J3511">
        <v>322</v>
      </c>
      <c r="K3511" t="s">
        <v>143</v>
      </c>
      <c r="L3511" s="13">
        <v>42674</v>
      </c>
      <c r="M3511" t="s">
        <v>2493</v>
      </c>
      <c r="N3511" t="s">
        <v>2494</v>
      </c>
      <c r="O3511">
        <v>-0.18</v>
      </c>
      <c r="P3511" t="s">
        <v>146</v>
      </c>
    </row>
    <row r="3512" spans="1:16" x14ac:dyDescent="0.4">
      <c r="A3512" t="s">
        <v>15</v>
      </c>
      <c r="B3512" t="s">
        <v>16</v>
      </c>
      <c r="C3512" s="13">
        <v>42370</v>
      </c>
      <c r="D3512" s="13">
        <v>42735</v>
      </c>
      <c r="E3512" t="s">
        <v>17</v>
      </c>
      <c r="F3512">
        <v>0</v>
      </c>
      <c r="G3512" t="s">
        <v>18</v>
      </c>
      <c r="H3512">
        <v>1</v>
      </c>
      <c r="I3512" t="s">
        <v>19</v>
      </c>
      <c r="J3512">
        <v>322</v>
      </c>
      <c r="K3512" t="s">
        <v>143</v>
      </c>
      <c r="L3512" s="13">
        <v>42703</v>
      </c>
      <c r="M3512" t="s">
        <v>2495</v>
      </c>
      <c r="N3512" t="s">
        <v>2463</v>
      </c>
      <c r="O3512">
        <v>562.38</v>
      </c>
      <c r="P3512" t="s">
        <v>34</v>
      </c>
    </row>
    <row r="3513" spans="1:16" x14ac:dyDescent="0.4">
      <c r="A3513" t="s">
        <v>15</v>
      </c>
      <c r="B3513" t="s">
        <v>16</v>
      </c>
      <c r="C3513" s="13">
        <v>42370</v>
      </c>
      <c r="D3513" s="13">
        <v>42735</v>
      </c>
      <c r="E3513" t="s">
        <v>17</v>
      </c>
      <c r="F3513">
        <v>0</v>
      </c>
      <c r="G3513" t="s">
        <v>18</v>
      </c>
      <c r="H3513">
        <v>1</v>
      </c>
      <c r="I3513" t="s">
        <v>19</v>
      </c>
      <c r="J3513">
        <v>322</v>
      </c>
      <c r="K3513" t="s">
        <v>143</v>
      </c>
      <c r="L3513" s="13">
        <v>42704</v>
      </c>
      <c r="M3513" t="s">
        <v>2496</v>
      </c>
      <c r="N3513" t="s">
        <v>2497</v>
      </c>
      <c r="O3513">
        <v>-0.17</v>
      </c>
      <c r="P3513" t="s">
        <v>146</v>
      </c>
    </row>
    <row r="3514" spans="1:16" x14ac:dyDescent="0.4">
      <c r="A3514" t="s">
        <v>15</v>
      </c>
      <c r="B3514" t="s">
        <v>16</v>
      </c>
      <c r="C3514" s="13">
        <v>42370</v>
      </c>
      <c r="D3514" s="13">
        <v>42735</v>
      </c>
      <c r="E3514" t="s">
        <v>17</v>
      </c>
      <c r="F3514">
        <v>0</v>
      </c>
      <c r="G3514" t="s">
        <v>18</v>
      </c>
      <c r="H3514">
        <v>1</v>
      </c>
      <c r="I3514" t="s">
        <v>19</v>
      </c>
      <c r="J3514">
        <v>322</v>
      </c>
      <c r="K3514" t="s">
        <v>143</v>
      </c>
      <c r="L3514" s="13">
        <v>42735</v>
      </c>
      <c r="M3514" t="s">
        <v>2498</v>
      </c>
      <c r="N3514" t="s">
        <v>2499</v>
      </c>
      <c r="O3514">
        <v>-0.33</v>
      </c>
      <c r="P3514" t="s">
        <v>146</v>
      </c>
    </row>
    <row r="3515" spans="1:16" x14ac:dyDescent="0.4">
      <c r="A3515" t="s">
        <v>15</v>
      </c>
      <c r="B3515" t="s">
        <v>16</v>
      </c>
      <c r="C3515" s="13">
        <v>42370</v>
      </c>
      <c r="D3515" s="13">
        <v>42735</v>
      </c>
      <c r="E3515" t="s">
        <v>17</v>
      </c>
      <c r="F3515">
        <v>0</v>
      </c>
      <c r="G3515" t="s">
        <v>18</v>
      </c>
      <c r="H3515">
        <v>1</v>
      </c>
      <c r="I3515" t="s">
        <v>19</v>
      </c>
      <c r="J3515">
        <v>322</v>
      </c>
      <c r="K3515" t="s">
        <v>143</v>
      </c>
      <c r="L3515" s="13">
        <v>42735</v>
      </c>
      <c r="M3515" t="s">
        <v>2500</v>
      </c>
      <c r="N3515" t="s">
        <v>2465</v>
      </c>
      <c r="O3515">
        <v>2135.04</v>
      </c>
      <c r="P3515" t="s">
        <v>34</v>
      </c>
    </row>
    <row r="3516" spans="1:16" x14ac:dyDescent="0.4">
      <c r="A3516" t="s">
        <v>15</v>
      </c>
      <c r="B3516" t="s">
        <v>16</v>
      </c>
      <c r="C3516" s="13">
        <v>42370</v>
      </c>
      <c r="D3516" s="13">
        <v>42735</v>
      </c>
      <c r="E3516" t="s">
        <v>17</v>
      </c>
      <c r="F3516">
        <v>0</v>
      </c>
      <c r="G3516" t="s">
        <v>18</v>
      </c>
      <c r="H3516">
        <v>1</v>
      </c>
      <c r="I3516" t="s">
        <v>19</v>
      </c>
      <c r="J3516">
        <v>323</v>
      </c>
      <c r="K3516" t="s">
        <v>181</v>
      </c>
      <c r="L3516" s="13">
        <v>42397</v>
      </c>
      <c r="M3516" t="s">
        <v>2501</v>
      </c>
      <c r="N3516" t="s">
        <v>2443</v>
      </c>
      <c r="O3516">
        <v>137.47999999999999</v>
      </c>
      <c r="P3516" t="s">
        <v>34</v>
      </c>
    </row>
    <row r="3517" spans="1:16" x14ac:dyDescent="0.4">
      <c r="A3517" t="s">
        <v>15</v>
      </c>
      <c r="B3517" t="s">
        <v>16</v>
      </c>
      <c r="C3517" s="13">
        <v>42370</v>
      </c>
      <c r="D3517" s="13">
        <v>42735</v>
      </c>
      <c r="E3517" t="s">
        <v>17</v>
      </c>
      <c r="F3517">
        <v>0</v>
      </c>
      <c r="G3517" t="s">
        <v>18</v>
      </c>
      <c r="H3517">
        <v>1</v>
      </c>
      <c r="I3517" t="s">
        <v>19</v>
      </c>
      <c r="J3517">
        <v>323</v>
      </c>
      <c r="K3517" t="s">
        <v>181</v>
      </c>
      <c r="L3517" s="13">
        <v>42425</v>
      </c>
      <c r="M3517" t="s">
        <v>2502</v>
      </c>
      <c r="N3517" t="s">
        <v>2445</v>
      </c>
      <c r="O3517">
        <v>137.47999999999999</v>
      </c>
      <c r="P3517" t="s">
        <v>34</v>
      </c>
    </row>
    <row r="3518" spans="1:16" x14ac:dyDescent="0.4">
      <c r="A3518" t="s">
        <v>15</v>
      </c>
      <c r="B3518" t="s">
        <v>16</v>
      </c>
      <c r="C3518" s="13">
        <v>42370</v>
      </c>
      <c r="D3518" s="13">
        <v>42735</v>
      </c>
      <c r="E3518" t="s">
        <v>17</v>
      </c>
      <c r="F3518">
        <v>0</v>
      </c>
      <c r="G3518" t="s">
        <v>18</v>
      </c>
      <c r="H3518">
        <v>1</v>
      </c>
      <c r="I3518" t="s">
        <v>19</v>
      </c>
      <c r="J3518">
        <v>323</v>
      </c>
      <c r="K3518" t="s">
        <v>181</v>
      </c>
      <c r="L3518" s="13">
        <v>42459</v>
      </c>
      <c r="M3518" t="s">
        <v>2503</v>
      </c>
      <c r="N3518" t="s">
        <v>2447</v>
      </c>
      <c r="O3518">
        <v>137.47999999999999</v>
      </c>
      <c r="P3518" t="s">
        <v>34</v>
      </c>
    </row>
    <row r="3519" spans="1:16" x14ac:dyDescent="0.4">
      <c r="A3519" t="s">
        <v>15</v>
      </c>
      <c r="B3519" t="s">
        <v>16</v>
      </c>
      <c r="C3519" s="13">
        <v>42370</v>
      </c>
      <c r="D3519" s="13">
        <v>42735</v>
      </c>
      <c r="E3519" t="s">
        <v>17</v>
      </c>
      <c r="F3519">
        <v>0</v>
      </c>
      <c r="G3519" t="s">
        <v>18</v>
      </c>
      <c r="H3519">
        <v>1</v>
      </c>
      <c r="I3519" t="s">
        <v>19</v>
      </c>
      <c r="J3519">
        <v>323</v>
      </c>
      <c r="K3519" t="s">
        <v>181</v>
      </c>
      <c r="L3519" s="13">
        <v>42460</v>
      </c>
      <c r="M3519" t="s">
        <v>2504</v>
      </c>
      <c r="N3519" t="s">
        <v>731</v>
      </c>
      <c r="O3519">
        <v>0.02</v>
      </c>
      <c r="P3519" t="s">
        <v>2505</v>
      </c>
    </row>
    <row r="3520" spans="1:16" x14ac:dyDescent="0.4">
      <c r="A3520" t="s">
        <v>15</v>
      </c>
      <c r="B3520" t="s">
        <v>16</v>
      </c>
      <c r="C3520" s="13">
        <v>42370</v>
      </c>
      <c r="D3520" s="13">
        <v>42735</v>
      </c>
      <c r="E3520" t="s">
        <v>17</v>
      </c>
      <c r="F3520">
        <v>0</v>
      </c>
      <c r="G3520" t="s">
        <v>18</v>
      </c>
      <c r="H3520">
        <v>1</v>
      </c>
      <c r="I3520" t="s">
        <v>19</v>
      </c>
      <c r="J3520">
        <v>323</v>
      </c>
      <c r="K3520" t="s">
        <v>181</v>
      </c>
      <c r="L3520" s="13">
        <v>42488</v>
      </c>
      <c r="M3520" t="s">
        <v>2506</v>
      </c>
      <c r="N3520" t="s">
        <v>2449</v>
      </c>
      <c r="O3520">
        <v>137.47999999999999</v>
      </c>
      <c r="P3520" t="s">
        <v>34</v>
      </c>
    </row>
    <row r="3521" spans="1:16" x14ac:dyDescent="0.4">
      <c r="A3521" t="s">
        <v>15</v>
      </c>
      <c r="B3521" t="s">
        <v>16</v>
      </c>
      <c r="C3521" s="13">
        <v>42370</v>
      </c>
      <c r="D3521" s="13">
        <v>42735</v>
      </c>
      <c r="E3521" t="s">
        <v>17</v>
      </c>
      <c r="F3521">
        <v>0</v>
      </c>
      <c r="G3521" t="s">
        <v>18</v>
      </c>
      <c r="H3521">
        <v>1</v>
      </c>
      <c r="I3521" t="s">
        <v>19</v>
      </c>
      <c r="J3521">
        <v>323</v>
      </c>
      <c r="K3521" t="s">
        <v>181</v>
      </c>
      <c r="L3521" s="13">
        <v>42516</v>
      </c>
      <c r="M3521" t="s">
        <v>2507</v>
      </c>
      <c r="N3521" t="s">
        <v>2451</v>
      </c>
      <c r="O3521">
        <v>137.47999999999999</v>
      </c>
      <c r="P3521" t="s">
        <v>34</v>
      </c>
    </row>
    <row r="3522" spans="1:16" x14ac:dyDescent="0.4">
      <c r="A3522" t="s">
        <v>15</v>
      </c>
      <c r="B3522" t="s">
        <v>16</v>
      </c>
      <c r="C3522" s="13">
        <v>42370</v>
      </c>
      <c r="D3522" s="13">
        <v>42735</v>
      </c>
      <c r="E3522" t="s">
        <v>17</v>
      </c>
      <c r="F3522">
        <v>0</v>
      </c>
      <c r="G3522" t="s">
        <v>18</v>
      </c>
      <c r="H3522">
        <v>1</v>
      </c>
      <c r="I3522" t="s">
        <v>19</v>
      </c>
      <c r="J3522">
        <v>323</v>
      </c>
      <c r="K3522" t="s">
        <v>181</v>
      </c>
      <c r="L3522" s="13">
        <v>42549</v>
      </c>
      <c r="M3522" t="s">
        <v>2508</v>
      </c>
      <c r="N3522" t="s">
        <v>2453</v>
      </c>
      <c r="O3522">
        <v>137.47999999999999</v>
      </c>
      <c r="P3522" t="s">
        <v>34</v>
      </c>
    </row>
    <row r="3523" spans="1:16" x14ac:dyDescent="0.4">
      <c r="A3523" t="s">
        <v>15</v>
      </c>
      <c r="B3523" t="s">
        <v>16</v>
      </c>
      <c r="C3523" s="13">
        <v>42370</v>
      </c>
      <c r="D3523" s="13">
        <v>42735</v>
      </c>
      <c r="E3523" t="s">
        <v>17</v>
      </c>
      <c r="F3523">
        <v>0</v>
      </c>
      <c r="G3523" t="s">
        <v>18</v>
      </c>
      <c r="H3523">
        <v>1</v>
      </c>
      <c r="I3523" t="s">
        <v>19</v>
      </c>
      <c r="J3523">
        <v>323</v>
      </c>
      <c r="K3523" t="s">
        <v>181</v>
      </c>
      <c r="L3523" s="13">
        <v>42551</v>
      </c>
      <c r="M3523" t="s">
        <v>2509</v>
      </c>
      <c r="N3523" t="s">
        <v>731</v>
      </c>
      <c r="O3523">
        <v>0.02</v>
      </c>
      <c r="P3523" t="s">
        <v>2505</v>
      </c>
    </row>
    <row r="3524" spans="1:16" x14ac:dyDescent="0.4">
      <c r="A3524" t="s">
        <v>15</v>
      </c>
      <c r="B3524" t="s">
        <v>16</v>
      </c>
      <c r="C3524" s="13">
        <v>42370</v>
      </c>
      <c r="D3524" s="13">
        <v>42735</v>
      </c>
      <c r="E3524" t="s">
        <v>17</v>
      </c>
      <c r="F3524">
        <v>0</v>
      </c>
      <c r="G3524" t="s">
        <v>18</v>
      </c>
      <c r="H3524">
        <v>1</v>
      </c>
      <c r="I3524" t="s">
        <v>19</v>
      </c>
      <c r="J3524">
        <v>323</v>
      </c>
      <c r="K3524" t="s">
        <v>181</v>
      </c>
      <c r="L3524" s="13">
        <v>42578</v>
      </c>
      <c r="M3524" t="s">
        <v>2510</v>
      </c>
      <c r="N3524" t="s">
        <v>2455</v>
      </c>
      <c r="O3524">
        <v>137.47999999999999</v>
      </c>
      <c r="P3524" t="s">
        <v>34</v>
      </c>
    </row>
    <row r="3525" spans="1:16" x14ac:dyDescent="0.4">
      <c r="A3525" t="s">
        <v>15</v>
      </c>
      <c r="B3525" t="s">
        <v>16</v>
      </c>
      <c r="C3525" s="13">
        <v>42370</v>
      </c>
      <c r="D3525" s="13">
        <v>42735</v>
      </c>
      <c r="E3525" t="s">
        <v>17</v>
      </c>
      <c r="F3525">
        <v>0</v>
      </c>
      <c r="G3525" t="s">
        <v>18</v>
      </c>
      <c r="H3525">
        <v>1</v>
      </c>
      <c r="I3525" t="s">
        <v>19</v>
      </c>
      <c r="J3525">
        <v>323</v>
      </c>
      <c r="K3525" t="s">
        <v>181</v>
      </c>
      <c r="L3525" s="13">
        <v>42612</v>
      </c>
      <c r="M3525" t="s">
        <v>2511</v>
      </c>
      <c r="N3525" t="s">
        <v>2457</v>
      </c>
      <c r="O3525">
        <v>137.47999999999999</v>
      </c>
      <c r="P3525" t="s">
        <v>34</v>
      </c>
    </row>
    <row r="3526" spans="1:16" x14ac:dyDescent="0.4">
      <c r="A3526" t="s">
        <v>15</v>
      </c>
      <c r="B3526" t="s">
        <v>16</v>
      </c>
      <c r="C3526" s="13">
        <v>42370</v>
      </c>
      <c r="D3526" s="13">
        <v>42735</v>
      </c>
      <c r="E3526" t="s">
        <v>17</v>
      </c>
      <c r="F3526">
        <v>0</v>
      </c>
      <c r="G3526" t="s">
        <v>18</v>
      </c>
      <c r="H3526">
        <v>1</v>
      </c>
      <c r="I3526" t="s">
        <v>19</v>
      </c>
      <c r="J3526">
        <v>323</v>
      </c>
      <c r="K3526" t="s">
        <v>181</v>
      </c>
      <c r="L3526" s="13">
        <v>42642</v>
      </c>
      <c r="M3526" t="s">
        <v>2512</v>
      </c>
      <c r="N3526" t="s">
        <v>2459</v>
      </c>
      <c r="O3526">
        <v>137.47999999999999</v>
      </c>
      <c r="P3526" t="s">
        <v>34</v>
      </c>
    </row>
    <row r="3527" spans="1:16" x14ac:dyDescent="0.4">
      <c r="A3527" t="s">
        <v>15</v>
      </c>
      <c r="B3527" t="s">
        <v>16</v>
      </c>
      <c r="C3527" s="13">
        <v>42370</v>
      </c>
      <c r="D3527" s="13">
        <v>42735</v>
      </c>
      <c r="E3527" t="s">
        <v>17</v>
      </c>
      <c r="F3527">
        <v>0</v>
      </c>
      <c r="G3527" t="s">
        <v>18</v>
      </c>
      <c r="H3527">
        <v>1</v>
      </c>
      <c r="I3527" t="s">
        <v>19</v>
      </c>
      <c r="J3527">
        <v>323</v>
      </c>
      <c r="K3527" t="s">
        <v>181</v>
      </c>
      <c r="L3527" s="13">
        <v>42643</v>
      </c>
      <c r="M3527" t="s">
        <v>2513</v>
      </c>
      <c r="N3527" t="s">
        <v>731</v>
      </c>
      <c r="O3527">
        <v>0.02</v>
      </c>
      <c r="P3527" t="s">
        <v>2505</v>
      </c>
    </row>
    <row r="3528" spans="1:16" x14ac:dyDescent="0.4">
      <c r="A3528" t="s">
        <v>15</v>
      </c>
      <c r="B3528" t="s">
        <v>16</v>
      </c>
      <c r="C3528" s="13">
        <v>42370</v>
      </c>
      <c r="D3528" s="13">
        <v>42735</v>
      </c>
      <c r="E3528" t="s">
        <v>17</v>
      </c>
      <c r="F3528">
        <v>0</v>
      </c>
      <c r="G3528" t="s">
        <v>18</v>
      </c>
      <c r="H3528">
        <v>1</v>
      </c>
      <c r="I3528" t="s">
        <v>19</v>
      </c>
      <c r="J3528">
        <v>323</v>
      </c>
      <c r="K3528" t="s">
        <v>181</v>
      </c>
      <c r="L3528" s="13">
        <v>42671</v>
      </c>
      <c r="M3528" t="s">
        <v>2514</v>
      </c>
      <c r="N3528" t="s">
        <v>2461</v>
      </c>
      <c r="O3528">
        <v>137.47999999999999</v>
      </c>
      <c r="P3528" t="s">
        <v>34</v>
      </c>
    </row>
    <row r="3529" spans="1:16" x14ac:dyDescent="0.4">
      <c r="A3529" t="s">
        <v>15</v>
      </c>
      <c r="B3529" t="s">
        <v>16</v>
      </c>
      <c r="C3529" s="13">
        <v>42370</v>
      </c>
      <c r="D3529" s="13">
        <v>42735</v>
      </c>
      <c r="E3529" t="s">
        <v>17</v>
      </c>
      <c r="F3529">
        <v>0</v>
      </c>
      <c r="G3529" t="s">
        <v>18</v>
      </c>
      <c r="H3529">
        <v>1</v>
      </c>
      <c r="I3529" t="s">
        <v>19</v>
      </c>
      <c r="J3529">
        <v>323</v>
      </c>
      <c r="K3529" t="s">
        <v>181</v>
      </c>
      <c r="L3529" s="13">
        <v>42703</v>
      </c>
      <c r="M3529" t="s">
        <v>2515</v>
      </c>
      <c r="N3529" t="s">
        <v>2463</v>
      </c>
      <c r="O3529">
        <v>137.47999999999999</v>
      </c>
      <c r="P3529" t="s">
        <v>34</v>
      </c>
    </row>
    <row r="3530" spans="1:16" x14ac:dyDescent="0.4">
      <c r="A3530" t="s">
        <v>15</v>
      </c>
      <c r="B3530" t="s">
        <v>16</v>
      </c>
      <c r="C3530" s="13">
        <v>42370</v>
      </c>
      <c r="D3530" s="13">
        <v>42735</v>
      </c>
      <c r="E3530" t="s">
        <v>17</v>
      </c>
      <c r="F3530">
        <v>0</v>
      </c>
      <c r="G3530" t="s">
        <v>18</v>
      </c>
      <c r="H3530">
        <v>1</v>
      </c>
      <c r="I3530" t="s">
        <v>19</v>
      </c>
      <c r="J3530">
        <v>323</v>
      </c>
      <c r="K3530" t="s">
        <v>181</v>
      </c>
      <c r="L3530" s="13">
        <v>42735</v>
      </c>
      <c r="M3530" t="s">
        <v>2516</v>
      </c>
      <c r="N3530" t="s">
        <v>2465</v>
      </c>
      <c r="O3530">
        <v>267.95999999999998</v>
      </c>
      <c r="P3530" t="s">
        <v>34</v>
      </c>
    </row>
    <row r="3531" spans="1:16" x14ac:dyDescent="0.4">
      <c r="A3531" t="s">
        <v>15</v>
      </c>
      <c r="B3531" t="s">
        <v>16</v>
      </c>
      <c r="C3531" s="13">
        <v>42370</v>
      </c>
      <c r="D3531" s="13">
        <v>42735</v>
      </c>
      <c r="E3531" t="s">
        <v>17</v>
      </c>
      <c r="F3531">
        <v>0</v>
      </c>
      <c r="G3531" t="s">
        <v>18</v>
      </c>
      <c r="H3531">
        <v>1</v>
      </c>
      <c r="I3531" t="s">
        <v>19</v>
      </c>
      <c r="J3531">
        <v>323</v>
      </c>
      <c r="K3531" t="s">
        <v>181</v>
      </c>
      <c r="L3531" s="13">
        <v>42735</v>
      </c>
      <c r="M3531" t="s">
        <v>2517</v>
      </c>
      <c r="N3531" t="s">
        <v>731</v>
      </c>
      <c r="O3531">
        <v>0.01</v>
      </c>
      <c r="P3531" t="s">
        <v>2505</v>
      </c>
    </row>
    <row r="3532" spans="1:16" x14ac:dyDescent="0.4">
      <c r="A3532" t="s">
        <v>15</v>
      </c>
      <c r="B3532" t="s">
        <v>16</v>
      </c>
      <c r="C3532" s="13">
        <v>42370</v>
      </c>
      <c r="D3532" s="13">
        <v>42735</v>
      </c>
      <c r="E3532" t="s">
        <v>17</v>
      </c>
      <c r="F3532">
        <v>0</v>
      </c>
      <c r="G3532" t="s">
        <v>18</v>
      </c>
      <c r="H3532">
        <v>1</v>
      </c>
      <c r="I3532" t="s">
        <v>19</v>
      </c>
      <c r="J3532">
        <v>326</v>
      </c>
      <c r="K3532" t="s">
        <v>199</v>
      </c>
      <c r="L3532" s="13">
        <v>42735</v>
      </c>
      <c r="M3532" t="s">
        <v>2518</v>
      </c>
      <c r="N3532" t="s">
        <v>753</v>
      </c>
      <c r="O3532">
        <v>2599</v>
      </c>
      <c r="P3532" t="s">
        <v>202</v>
      </c>
    </row>
    <row r="3533" spans="1:16" x14ac:dyDescent="0.4">
      <c r="A3533" t="s">
        <v>15</v>
      </c>
      <c r="B3533" t="s">
        <v>16</v>
      </c>
      <c r="C3533" s="13">
        <v>42370</v>
      </c>
      <c r="D3533" s="13">
        <v>42735</v>
      </c>
      <c r="E3533" t="s">
        <v>17</v>
      </c>
      <c r="F3533">
        <v>0</v>
      </c>
      <c r="G3533" t="s">
        <v>18</v>
      </c>
      <c r="H3533">
        <v>1</v>
      </c>
      <c r="I3533" t="s">
        <v>19</v>
      </c>
      <c r="J3533">
        <v>327</v>
      </c>
      <c r="K3533" t="s">
        <v>754</v>
      </c>
      <c r="L3533" s="13">
        <v>42429</v>
      </c>
      <c r="M3533" t="s">
        <v>2519</v>
      </c>
      <c r="N3533" t="s">
        <v>106</v>
      </c>
      <c r="O3533">
        <v>139.91</v>
      </c>
      <c r="P3533" t="s">
        <v>756</v>
      </c>
    </row>
    <row r="3534" spans="1:16" x14ac:dyDescent="0.4">
      <c r="A3534" t="s">
        <v>15</v>
      </c>
      <c r="B3534" t="s">
        <v>16</v>
      </c>
      <c r="C3534" s="13">
        <v>42370</v>
      </c>
      <c r="D3534" s="13">
        <v>42735</v>
      </c>
      <c r="E3534" t="s">
        <v>17</v>
      </c>
      <c r="F3534">
        <v>0</v>
      </c>
      <c r="G3534" t="s">
        <v>18</v>
      </c>
      <c r="H3534">
        <v>1</v>
      </c>
      <c r="I3534" t="s">
        <v>19</v>
      </c>
      <c r="J3534">
        <v>328</v>
      </c>
      <c r="K3534" t="s">
        <v>1154</v>
      </c>
      <c r="L3534" s="13">
        <v>42465</v>
      </c>
      <c r="M3534" t="s">
        <v>2520</v>
      </c>
      <c r="N3534" t="s">
        <v>2521</v>
      </c>
      <c r="O3534">
        <v>264</v>
      </c>
      <c r="P3534" t="s">
        <v>1157</v>
      </c>
    </row>
    <row r="3535" spans="1:16" x14ac:dyDescent="0.4">
      <c r="A3535" t="s">
        <v>15</v>
      </c>
      <c r="B3535" t="s">
        <v>16</v>
      </c>
      <c r="C3535" s="13">
        <v>42370</v>
      </c>
      <c r="D3535" s="13">
        <v>42735</v>
      </c>
      <c r="E3535" t="s">
        <v>17</v>
      </c>
      <c r="F3535">
        <v>0</v>
      </c>
      <c r="G3535" t="s">
        <v>18</v>
      </c>
      <c r="H3535">
        <v>1</v>
      </c>
      <c r="I3535" t="s">
        <v>19</v>
      </c>
      <c r="J3535">
        <v>328</v>
      </c>
      <c r="K3535" t="s">
        <v>1154</v>
      </c>
      <c r="L3535" s="13">
        <v>42562</v>
      </c>
      <c r="M3535" t="s">
        <v>1874</v>
      </c>
      <c r="N3535" t="s">
        <v>2522</v>
      </c>
      <c r="O3535">
        <v>45</v>
      </c>
      <c r="P3535" t="s">
        <v>34</v>
      </c>
    </row>
    <row r="3536" spans="1:16" x14ac:dyDescent="0.4">
      <c r="A3536" t="s">
        <v>15</v>
      </c>
      <c r="B3536" t="s">
        <v>16</v>
      </c>
      <c r="C3536" s="13">
        <v>42370</v>
      </c>
      <c r="D3536" s="13">
        <v>42735</v>
      </c>
      <c r="E3536" t="s">
        <v>17</v>
      </c>
      <c r="F3536">
        <v>0</v>
      </c>
      <c r="G3536" t="s">
        <v>18</v>
      </c>
      <c r="H3536">
        <v>1</v>
      </c>
      <c r="I3536" t="s">
        <v>19</v>
      </c>
      <c r="J3536">
        <v>335</v>
      </c>
      <c r="K3536" t="s">
        <v>1876</v>
      </c>
      <c r="L3536" s="13">
        <v>42390</v>
      </c>
      <c r="M3536" t="s">
        <v>2523</v>
      </c>
      <c r="N3536" t="s">
        <v>659</v>
      </c>
      <c r="O3536">
        <v>86.4</v>
      </c>
      <c r="P3536" t="s">
        <v>103</v>
      </c>
    </row>
    <row r="3537" spans="1:16" x14ac:dyDescent="0.4">
      <c r="A3537" t="s">
        <v>15</v>
      </c>
      <c r="B3537" t="s">
        <v>16</v>
      </c>
      <c r="C3537" s="13">
        <v>42370</v>
      </c>
      <c r="D3537" s="13">
        <v>42735</v>
      </c>
      <c r="E3537" t="s">
        <v>17</v>
      </c>
      <c r="F3537">
        <v>0</v>
      </c>
      <c r="G3537" t="s">
        <v>18</v>
      </c>
      <c r="H3537">
        <v>1</v>
      </c>
      <c r="I3537" t="s">
        <v>19</v>
      </c>
      <c r="J3537">
        <v>338</v>
      </c>
      <c r="K3537" t="s">
        <v>2524</v>
      </c>
      <c r="L3537" s="13">
        <v>42397</v>
      </c>
      <c r="M3537" t="s">
        <v>2525</v>
      </c>
      <c r="N3537" t="s">
        <v>2443</v>
      </c>
      <c r="O3537">
        <v>14.26</v>
      </c>
      <c r="P3537" t="s">
        <v>34</v>
      </c>
    </row>
    <row r="3538" spans="1:16" x14ac:dyDescent="0.4">
      <c r="A3538" t="s">
        <v>15</v>
      </c>
      <c r="B3538" t="s">
        <v>16</v>
      </c>
      <c r="C3538" s="13">
        <v>42370</v>
      </c>
      <c r="D3538" s="13">
        <v>42735</v>
      </c>
      <c r="E3538" t="s">
        <v>17</v>
      </c>
      <c r="F3538">
        <v>0</v>
      </c>
      <c r="G3538" t="s">
        <v>18</v>
      </c>
      <c r="H3538">
        <v>1</v>
      </c>
      <c r="I3538" t="s">
        <v>19</v>
      </c>
      <c r="J3538">
        <v>338</v>
      </c>
      <c r="K3538" t="s">
        <v>2524</v>
      </c>
      <c r="L3538" s="13">
        <v>42425</v>
      </c>
      <c r="M3538" t="s">
        <v>2526</v>
      </c>
      <c r="N3538" t="s">
        <v>2445</v>
      </c>
      <c r="O3538">
        <v>63.51</v>
      </c>
      <c r="P3538" t="s">
        <v>34</v>
      </c>
    </row>
    <row r="3539" spans="1:16" x14ac:dyDescent="0.4">
      <c r="A3539" t="s">
        <v>15</v>
      </c>
      <c r="B3539" t="s">
        <v>16</v>
      </c>
      <c r="C3539" s="13">
        <v>42370</v>
      </c>
      <c r="D3539" s="13">
        <v>42735</v>
      </c>
      <c r="E3539" t="s">
        <v>17</v>
      </c>
      <c r="F3539">
        <v>0</v>
      </c>
      <c r="G3539" t="s">
        <v>18</v>
      </c>
      <c r="H3539">
        <v>1</v>
      </c>
      <c r="I3539" t="s">
        <v>19</v>
      </c>
      <c r="J3539">
        <v>338</v>
      </c>
      <c r="K3539" t="s">
        <v>2524</v>
      </c>
      <c r="L3539" s="13">
        <v>42459</v>
      </c>
      <c r="M3539" t="s">
        <v>2527</v>
      </c>
      <c r="N3539" t="s">
        <v>2447</v>
      </c>
      <c r="O3539">
        <v>63.51</v>
      </c>
      <c r="P3539" t="s">
        <v>34</v>
      </c>
    </row>
    <row r="3540" spans="1:16" x14ac:dyDescent="0.4">
      <c r="A3540" t="s">
        <v>15</v>
      </c>
      <c r="B3540" t="s">
        <v>16</v>
      </c>
      <c r="C3540" s="13">
        <v>42370</v>
      </c>
      <c r="D3540" s="13">
        <v>42735</v>
      </c>
      <c r="E3540" t="s">
        <v>17</v>
      </c>
      <c r="F3540">
        <v>0</v>
      </c>
      <c r="G3540" t="s">
        <v>18</v>
      </c>
      <c r="H3540">
        <v>1</v>
      </c>
      <c r="I3540" t="s">
        <v>19</v>
      </c>
      <c r="J3540">
        <v>338</v>
      </c>
      <c r="K3540" t="s">
        <v>2524</v>
      </c>
      <c r="L3540" s="13">
        <v>42460</v>
      </c>
      <c r="M3540" t="s">
        <v>2528</v>
      </c>
      <c r="N3540" t="s">
        <v>2529</v>
      </c>
      <c r="O3540">
        <v>0.01</v>
      </c>
      <c r="P3540" t="s">
        <v>2530</v>
      </c>
    </row>
    <row r="3541" spans="1:16" x14ac:dyDescent="0.4">
      <c r="A3541" t="s">
        <v>15</v>
      </c>
      <c r="B3541" t="s">
        <v>16</v>
      </c>
      <c r="C3541" s="13">
        <v>42370</v>
      </c>
      <c r="D3541" s="13">
        <v>42735</v>
      </c>
      <c r="E3541" t="s">
        <v>17</v>
      </c>
      <c r="F3541">
        <v>0</v>
      </c>
      <c r="G3541" t="s">
        <v>18</v>
      </c>
      <c r="H3541">
        <v>1</v>
      </c>
      <c r="I3541" t="s">
        <v>19</v>
      </c>
      <c r="J3541">
        <v>338</v>
      </c>
      <c r="K3541" t="s">
        <v>2524</v>
      </c>
      <c r="L3541" s="13">
        <v>42488</v>
      </c>
      <c r="M3541" t="s">
        <v>2531</v>
      </c>
      <c r="N3541" t="s">
        <v>2449</v>
      </c>
      <c r="O3541">
        <v>63.51</v>
      </c>
      <c r="P3541" t="s">
        <v>34</v>
      </c>
    </row>
    <row r="3542" spans="1:16" x14ac:dyDescent="0.4">
      <c r="A3542" t="s">
        <v>15</v>
      </c>
      <c r="B3542" t="s">
        <v>16</v>
      </c>
      <c r="C3542" s="13">
        <v>42370</v>
      </c>
      <c r="D3542" s="13">
        <v>42735</v>
      </c>
      <c r="E3542" t="s">
        <v>17</v>
      </c>
      <c r="F3542">
        <v>0</v>
      </c>
      <c r="G3542" t="s">
        <v>18</v>
      </c>
      <c r="H3542">
        <v>1</v>
      </c>
      <c r="I3542" t="s">
        <v>19</v>
      </c>
      <c r="J3542">
        <v>338</v>
      </c>
      <c r="K3542" t="s">
        <v>2524</v>
      </c>
      <c r="L3542" s="13">
        <v>42516</v>
      </c>
      <c r="M3542" t="s">
        <v>2532</v>
      </c>
      <c r="N3542" t="s">
        <v>2451</v>
      </c>
      <c r="O3542">
        <v>63.51</v>
      </c>
      <c r="P3542" t="s">
        <v>34</v>
      </c>
    </row>
    <row r="3543" spans="1:16" x14ac:dyDescent="0.4">
      <c r="A3543" t="s">
        <v>15</v>
      </c>
      <c r="B3543" t="s">
        <v>16</v>
      </c>
      <c r="C3543" s="13">
        <v>42370</v>
      </c>
      <c r="D3543" s="13">
        <v>42735</v>
      </c>
      <c r="E3543" t="s">
        <v>17</v>
      </c>
      <c r="F3543">
        <v>0</v>
      </c>
      <c r="G3543" t="s">
        <v>18</v>
      </c>
      <c r="H3543">
        <v>1</v>
      </c>
      <c r="I3543" t="s">
        <v>19</v>
      </c>
      <c r="J3543">
        <v>338</v>
      </c>
      <c r="K3543" t="s">
        <v>2524</v>
      </c>
      <c r="L3543" s="13">
        <v>42549</v>
      </c>
      <c r="M3543" t="s">
        <v>2533</v>
      </c>
      <c r="N3543" t="s">
        <v>2453</v>
      </c>
      <c r="O3543">
        <v>63.51</v>
      </c>
      <c r="P3543" t="s">
        <v>34</v>
      </c>
    </row>
    <row r="3544" spans="1:16" x14ac:dyDescent="0.4">
      <c r="A3544" t="s">
        <v>15</v>
      </c>
      <c r="B3544" t="s">
        <v>16</v>
      </c>
      <c r="C3544" s="13">
        <v>42370</v>
      </c>
      <c r="D3544" s="13">
        <v>42735</v>
      </c>
      <c r="E3544" t="s">
        <v>17</v>
      </c>
      <c r="F3544">
        <v>0</v>
      </c>
      <c r="G3544" t="s">
        <v>18</v>
      </c>
      <c r="H3544">
        <v>1</v>
      </c>
      <c r="I3544" t="s">
        <v>19</v>
      </c>
      <c r="J3544">
        <v>338</v>
      </c>
      <c r="K3544" t="s">
        <v>2524</v>
      </c>
      <c r="L3544" s="13">
        <v>42551</v>
      </c>
      <c r="M3544" t="s">
        <v>2534</v>
      </c>
      <c r="N3544" t="s">
        <v>2529</v>
      </c>
      <c r="O3544">
        <v>0.01</v>
      </c>
      <c r="P3544" t="s">
        <v>2530</v>
      </c>
    </row>
    <row r="3545" spans="1:16" x14ac:dyDescent="0.4">
      <c r="A3545" t="s">
        <v>15</v>
      </c>
      <c r="B3545" t="s">
        <v>16</v>
      </c>
      <c r="C3545" s="13">
        <v>42370</v>
      </c>
      <c r="D3545" s="13">
        <v>42735</v>
      </c>
      <c r="E3545" t="s">
        <v>17</v>
      </c>
      <c r="F3545">
        <v>0</v>
      </c>
      <c r="G3545" t="s">
        <v>18</v>
      </c>
      <c r="H3545">
        <v>1</v>
      </c>
      <c r="I3545" t="s">
        <v>19</v>
      </c>
      <c r="J3545">
        <v>338</v>
      </c>
      <c r="K3545" t="s">
        <v>2524</v>
      </c>
      <c r="L3545" s="13">
        <v>42578</v>
      </c>
      <c r="M3545" t="s">
        <v>2535</v>
      </c>
      <c r="N3545" t="s">
        <v>2455</v>
      </c>
      <c r="O3545">
        <v>63.51</v>
      </c>
      <c r="P3545" t="s">
        <v>34</v>
      </c>
    </row>
    <row r="3546" spans="1:16" x14ac:dyDescent="0.4">
      <c r="A3546" t="s">
        <v>15</v>
      </c>
      <c r="B3546" t="s">
        <v>16</v>
      </c>
      <c r="C3546" s="13">
        <v>42370</v>
      </c>
      <c r="D3546" s="13">
        <v>42735</v>
      </c>
      <c r="E3546" t="s">
        <v>17</v>
      </c>
      <c r="F3546">
        <v>0</v>
      </c>
      <c r="G3546" t="s">
        <v>18</v>
      </c>
      <c r="H3546">
        <v>1</v>
      </c>
      <c r="I3546" t="s">
        <v>19</v>
      </c>
      <c r="J3546">
        <v>338</v>
      </c>
      <c r="K3546" t="s">
        <v>2524</v>
      </c>
      <c r="L3546" s="13">
        <v>42612</v>
      </c>
      <c r="M3546" t="s">
        <v>2536</v>
      </c>
      <c r="N3546" t="s">
        <v>2457</v>
      </c>
      <c r="O3546">
        <v>63.51</v>
      </c>
      <c r="P3546" t="s">
        <v>34</v>
      </c>
    </row>
    <row r="3547" spans="1:16" x14ac:dyDescent="0.4">
      <c r="A3547" t="s">
        <v>15</v>
      </c>
      <c r="B3547" t="s">
        <v>16</v>
      </c>
      <c r="C3547" s="13">
        <v>42370</v>
      </c>
      <c r="D3547" s="13">
        <v>42735</v>
      </c>
      <c r="E3547" t="s">
        <v>17</v>
      </c>
      <c r="F3547">
        <v>0</v>
      </c>
      <c r="G3547" t="s">
        <v>18</v>
      </c>
      <c r="H3547">
        <v>1</v>
      </c>
      <c r="I3547" t="s">
        <v>19</v>
      </c>
      <c r="J3547">
        <v>338</v>
      </c>
      <c r="K3547" t="s">
        <v>2524</v>
      </c>
      <c r="L3547" s="13">
        <v>42642</v>
      </c>
      <c r="M3547" t="s">
        <v>2537</v>
      </c>
      <c r="N3547" t="s">
        <v>2459</v>
      </c>
      <c r="O3547">
        <v>63.51</v>
      </c>
      <c r="P3547" t="s">
        <v>34</v>
      </c>
    </row>
    <row r="3548" spans="1:16" x14ac:dyDescent="0.4">
      <c r="A3548" t="s">
        <v>15</v>
      </c>
      <c r="B3548" t="s">
        <v>16</v>
      </c>
      <c r="C3548" s="13">
        <v>42370</v>
      </c>
      <c r="D3548" s="13">
        <v>42735</v>
      </c>
      <c r="E3548" t="s">
        <v>17</v>
      </c>
      <c r="F3548">
        <v>0</v>
      </c>
      <c r="G3548" t="s">
        <v>18</v>
      </c>
      <c r="H3548">
        <v>1</v>
      </c>
      <c r="I3548" t="s">
        <v>19</v>
      </c>
      <c r="J3548">
        <v>338</v>
      </c>
      <c r="K3548" t="s">
        <v>2524</v>
      </c>
      <c r="L3548" s="13">
        <v>42643</v>
      </c>
      <c r="M3548" t="s">
        <v>2538</v>
      </c>
      <c r="N3548" t="s">
        <v>2529</v>
      </c>
      <c r="O3548">
        <v>0.01</v>
      </c>
      <c r="P3548" t="s">
        <v>2530</v>
      </c>
    </row>
    <row r="3549" spans="1:16" x14ac:dyDescent="0.4">
      <c r="A3549" t="s">
        <v>15</v>
      </c>
      <c r="B3549" t="s">
        <v>16</v>
      </c>
      <c r="C3549" s="13">
        <v>42370</v>
      </c>
      <c r="D3549" s="13">
        <v>42735</v>
      </c>
      <c r="E3549" t="s">
        <v>17</v>
      </c>
      <c r="F3549">
        <v>0</v>
      </c>
      <c r="G3549" t="s">
        <v>18</v>
      </c>
      <c r="H3549">
        <v>1</v>
      </c>
      <c r="I3549" t="s">
        <v>19</v>
      </c>
      <c r="J3549">
        <v>338</v>
      </c>
      <c r="K3549" t="s">
        <v>2524</v>
      </c>
      <c r="L3549" s="13">
        <v>42671</v>
      </c>
      <c r="M3549" t="s">
        <v>2539</v>
      </c>
      <c r="N3549" t="s">
        <v>2461</v>
      </c>
      <c r="O3549">
        <v>51.2</v>
      </c>
      <c r="P3549" t="s">
        <v>34</v>
      </c>
    </row>
    <row r="3550" spans="1:16" x14ac:dyDescent="0.4">
      <c r="A3550" t="s">
        <v>15</v>
      </c>
      <c r="B3550" t="s">
        <v>16</v>
      </c>
      <c r="C3550" s="13">
        <v>42370</v>
      </c>
      <c r="D3550" s="13">
        <v>42735</v>
      </c>
      <c r="E3550" t="s">
        <v>17</v>
      </c>
      <c r="F3550">
        <v>0</v>
      </c>
      <c r="G3550" t="s">
        <v>18</v>
      </c>
      <c r="H3550">
        <v>1</v>
      </c>
      <c r="I3550" t="s">
        <v>19</v>
      </c>
      <c r="J3550">
        <v>338</v>
      </c>
      <c r="K3550" t="s">
        <v>2524</v>
      </c>
      <c r="L3550" s="13">
        <v>42703</v>
      </c>
      <c r="M3550" t="s">
        <v>2540</v>
      </c>
      <c r="N3550" t="s">
        <v>2463</v>
      </c>
      <c r="O3550">
        <v>51.2</v>
      </c>
      <c r="P3550" t="s">
        <v>34</v>
      </c>
    </row>
    <row r="3551" spans="1:16" x14ac:dyDescent="0.4">
      <c r="A3551" t="s">
        <v>15</v>
      </c>
      <c r="B3551" t="s">
        <v>16</v>
      </c>
      <c r="C3551" s="13">
        <v>42370</v>
      </c>
      <c r="D3551" s="13">
        <v>42735</v>
      </c>
      <c r="E3551" t="s">
        <v>17</v>
      </c>
      <c r="F3551">
        <v>0</v>
      </c>
      <c r="G3551" t="s">
        <v>18</v>
      </c>
      <c r="H3551">
        <v>1</v>
      </c>
      <c r="I3551" t="s">
        <v>19</v>
      </c>
      <c r="J3551">
        <v>338</v>
      </c>
      <c r="K3551" t="s">
        <v>2524</v>
      </c>
      <c r="L3551" s="13">
        <v>42735</v>
      </c>
      <c r="M3551" t="s">
        <v>2542</v>
      </c>
      <c r="N3551" t="s">
        <v>2529</v>
      </c>
      <c r="O3551">
        <v>-0.01</v>
      </c>
      <c r="P3551" t="s">
        <v>2530</v>
      </c>
    </row>
    <row r="3552" spans="1:16" x14ac:dyDescent="0.4">
      <c r="A3552" t="s">
        <v>15</v>
      </c>
      <c r="B3552" t="s">
        <v>16</v>
      </c>
      <c r="C3552" s="13">
        <v>42370</v>
      </c>
      <c r="D3552" s="13">
        <v>42735</v>
      </c>
      <c r="E3552" t="s">
        <v>17</v>
      </c>
      <c r="F3552">
        <v>0</v>
      </c>
      <c r="G3552" t="s">
        <v>18</v>
      </c>
      <c r="H3552">
        <v>1</v>
      </c>
      <c r="I3552" t="s">
        <v>19</v>
      </c>
      <c r="J3552">
        <v>338</v>
      </c>
      <c r="K3552" t="s">
        <v>2524</v>
      </c>
      <c r="L3552" s="13">
        <v>42735</v>
      </c>
      <c r="M3552" t="s">
        <v>2541</v>
      </c>
      <c r="N3552" t="s">
        <v>2465</v>
      </c>
      <c r="O3552">
        <v>99.79</v>
      </c>
      <c r="P3552" t="s">
        <v>34</v>
      </c>
    </row>
    <row r="3553" spans="1:16" x14ac:dyDescent="0.4">
      <c r="A3553" t="s">
        <v>15</v>
      </c>
      <c r="B3553" t="s">
        <v>16</v>
      </c>
      <c r="C3553" s="13">
        <v>42370</v>
      </c>
      <c r="D3553" s="13">
        <v>42735</v>
      </c>
      <c r="E3553" t="s">
        <v>17</v>
      </c>
      <c r="F3553">
        <v>0</v>
      </c>
      <c r="G3553" t="s">
        <v>18</v>
      </c>
      <c r="H3553">
        <v>1</v>
      </c>
      <c r="I3553" t="s">
        <v>19</v>
      </c>
      <c r="J3553">
        <v>349</v>
      </c>
      <c r="K3553" t="s">
        <v>236</v>
      </c>
      <c r="L3553" s="13">
        <v>42389</v>
      </c>
      <c r="M3553" t="s">
        <v>2288</v>
      </c>
      <c r="N3553" t="s">
        <v>2543</v>
      </c>
      <c r="O3553">
        <v>33.03</v>
      </c>
      <c r="P3553" t="s">
        <v>239</v>
      </c>
    </row>
    <row r="3554" spans="1:16" x14ac:dyDescent="0.4">
      <c r="A3554" t="s">
        <v>15</v>
      </c>
      <c r="B3554" t="s">
        <v>16</v>
      </c>
      <c r="C3554" s="13">
        <v>42370</v>
      </c>
      <c r="D3554" s="13">
        <v>42735</v>
      </c>
      <c r="E3554" t="s">
        <v>17</v>
      </c>
      <c r="F3554">
        <v>0</v>
      </c>
      <c r="G3554" t="s">
        <v>18</v>
      </c>
      <c r="H3554">
        <v>1</v>
      </c>
      <c r="I3554" t="s">
        <v>19</v>
      </c>
      <c r="J3554">
        <v>349</v>
      </c>
      <c r="K3554" t="s">
        <v>236</v>
      </c>
      <c r="L3554" s="13">
        <v>42452</v>
      </c>
      <c r="M3554" t="s">
        <v>2288</v>
      </c>
      <c r="N3554" t="s">
        <v>1923</v>
      </c>
      <c r="O3554">
        <v>27.42</v>
      </c>
      <c r="P3554" t="s">
        <v>239</v>
      </c>
    </row>
    <row r="3555" spans="1:16" x14ac:dyDescent="0.4">
      <c r="A3555" t="s">
        <v>15</v>
      </c>
      <c r="B3555" t="s">
        <v>16</v>
      </c>
      <c r="C3555" s="13">
        <v>42370</v>
      </c>
      <c r="D3555" s="13">
        <v>42735</v>
      </c>
      <c r="E3555" t="s">
        <v>17</v>
      </c>
      <c r="F3555">
        <v>0</v>
      </c>
      <c r="G3555" t="s">
        <v>18</v>
      </c>
      <c r="H3555">
        <v>1</v>
      </c>
      <c r="I3555" t="s">
        <v>19</v>
      </c>
      <c r="J3555">
        <v>349</v>
      </c>
      <c r="K3555" t="s">
        <v>236</v>
      </c>
      <c r="L3555" s="13">
        <v>42510</v>
      </c>
      <c r="M3555" t="s">
        <v>2288</v>
      </c>
      <c r="N3555" t="s">
        <v>1923</v>
      </c>
      <c r="O3555">
        <v>29.19</v>
      </c>
      <c r="P3555" t="s">
        <v>239</v>
      </c>
    </row>
    <row r="3556" spans="1:16" x14ac:dyDescent="0.4">
      <c r="A3556" t="s">
        <v>15</v>
      </c>
      <c r="B3556" t="s">
        <v>16</v>
      </c>
      <c r="C3556" s="13">
        <v>42370</v>
      </c>
      <c r="D3556" s="13">
        <v>42735</v>
      </c>
      <c r="E3556" t="s">
        <v>17</v>
      </c>
      <c r="F3556">
        <v>0</v>
      </c>
      <c r="G3556" t="s">
        <v>18</v>
      </c>
      <c r="H3556">
        <v>1</v>
      </c>
      <c r="I3556" t="s">
        <v>19</v>
      </c>
      <c r="J3556">
        <v>349</v>
      </c>
      <c r="K3556" t="s">
        <v>236</v>
      </c>
      <c r="L3556" s="13">
        <v>42571</v>
      </c>
      <c r="M3556" t="s">
        <v>2288</v>
      </c>
      <c r="N3556" t="s">
        <v>1923</v>
      </c>
      <c r="O3556">
        <v>27.69</v>
      </c>
      <c r="P3556" t="s">
        <v>239</v>
      </c>
    </row>
    <row r="3557" spans="1:16" x14ac:dyDescent="0.4">
      <c r="A3557" t="s">
        <v>15</v>
      </c>
      <c r="B3557" t="s">
        <v>16</v>
      </c>
      <c r="C3557" s="13">
        <v>42370</v>
      </c>
      <c r="D3557" s="13">
        <v>42735</v>
      </c>
      <c r="E3557" t="s">
        <v>17</v>
      </c>
      <c r="F3557">
        <v>0</v>
      </c>
      <c r="G3557" t="s">
        <v>18</v>
      </c>
      <c r="H3557">
        <v>1</v>
      </c>
      <c r="I3557" t="s">
        <v>19</v>
      </c>
      <c r="J3557">
        <v>349</v>
      </c>
      <c r="K3557" t="s">
        <v>236</v>
      </c>
      <c r="L3557" s="13">
        <v>42634</v>
      </c>
      <c r="M3557" t="s">
        <v>2288</v>
      </c>
      <c r="N3557" t="s">
        <v>2544</v>
      </c>
      <c r="O3557">
        <v>14.67</v>
      </c>
      <c r="P3557" t="s">
        <v>239</v>
      </c>
    </row>
    <row r="3558" spans="1:16" x14ac:dyDescent="0.4">
      <c r="A3558" t="s">
        <v>15</v>
      </c>
      <c r="B3558" t="s">
        <v>16</v>
      </c>
      <c r="C3558" s="13">
        <v>42370</v>
      </c>
      <c r="D3558" s="13">
        <v>42735</v>
      </c>
      <c r="E3558" t="s">
        <v>17</v>
      </c>
      <c r="F3558">
        <v>0</v>
      </c>
      <c r="G3558" t="s">
        <v>18</v>
      </c>
      <c r="H3558">
        <v>1</v>
      </c>
      <c r="I3558" t="s">
        <v>19</v>
      </c>
      <c r="J3558">
        <v>349</v>
      </c>
      <c r="K3558" t="s">
        <v>236</v>
      </c>
      <c r="L3558" s="13">
        <v>42696</v>
      </c>
      <c r="M3558" t="s">
        <v>2288</v>
      </c>
      <c r="N3558" t="s">
        <v>1923</v>
      </c>
      <c r="O3558">
        <v>34.51</v>
      </c>
      <c r="P3558" t="s">
        <v>239</v>
      </c>
    </row>
    <row r="3559" spans="1:16" x14ac:dyDescent="0.4">
      <c r="A3559" t="s">
        <v>15</v>
      </c>
      <c r="B3559" t="s">
        <v>16</v>
      </c>
      <c r="C3559" s="13">
        <v>42370</v>
      </c>
      <c r="D3559" s="13">
        <v>42735</v>
      </c>
      <c r="E3559" t="s">
        <v>17</v>
      </c>
      <c r="F3559">
        <v>0</v>
      </c>
      <c r="G3559" t="s">
        <v>18</v>
      </c>
      <c r="H3559">
        <v>1</v>
      </c>
      <c r="I3559" t="s">
        <v>19</v>
      </c>
      <c r="J3559">
        <v>409</v>
      </c>
      <c r="K3559" t="s">
        <v>1600</v>
      </c>
      <c r="L3559" s="13">
        <v>42460</v>
      </c>
      <c r="M3559" t="s">
        <v>251</v>
      </c>
      <c r="N3559" t="s">
        <v>2545</v>
      </c>
      <c r="O3559">
        <v>20.28</v>
      </c>
      <c r="P3559" t="s">
        <v>46</v>
      </c>
    </row>
    <row r="3560" spans="1:16" x14ac:dyDescent="0.4">
      <c r="A3560" t="s">
        <v>15</v>
      </c>
      <c r="B3560" t="s">
        <v>16</v>
      </c>
      <c r="C3560" s="13">
        <v>42370</v>
      </c>
      <c r="D3560" s="13">
        <v>42735</v>
      </c>
      <c r="E3560" t="s">
        <v>17</v>
      </c>
      <c r="F3560">
        <v>0</v>
      </c>
      <c r="G3560" t="s">
        <v>18</v>
      </c>
      <c r="H3560">
        <v>1</v>
      </c>
      <c r="I3560" t="s">
        <v>19</v>
      </c>
      <c r="J3560">
        <v>409</v>
      </c>
      <c r="K3560" t="s">
        <v>1600</v>
      </c>
      <c r="L3560" s="13">
        <v>42551</v>
      </c>
      <c r="M3560" t="s">
        <v>251</v>
      </c>
      <c r="N3560" t="s">
        <v>46</v>
      </c>
      <c r="O3560">
        <v>20.28</v>
      </c>
      <c r="P3560" t="s">
        <v>46</v>
      </c>
    </row>
    <row r="3561" spans="1:16" x14ac:dyDescent="0.4">
      <c r="A3561" t="s">
        <v>15</v>
      </c>
      <c r="B3561" t="s">
        <v>16</v>
      </c>
      <c r="C3561" s="13">
        <v>42370</v>
      </c>
      <c r="D3561" s="13">
        <v>42735</v>
      </c>
      <c r="E3561" t="s">
        <v>17</v>
      </c>
      <c r="F3561">
        <v>0</v>
      </c>
      <c r="G3561" t="s">
        <v>18</v>
      </c>
      <c r="H3561">
        <v>1</v>
      </c>
      <c r="I3561" t="s">
        <v>19</v>
      </c>
      <c r="J3561">
        <v>409</v>
      </c>
      <c r="K3561" t="s">
        <v>1600</v>
      </c>
      <c r="L3561" s="13">
        <v>42643</v>
      </c>
      <c r="M3561" t="s">
        <v>251</v>
      </c>
      <c r="N3561" t="s">
        <v>46</v>
      </c>
      <c r="O3561">
        <v>20.28</v>
      </c>
      <c r="P3561" t="s">
        <v>46</v>
      </c>
    </row>
    <row r="3562" spans="1:16" x14ac:dyDescent="0.4">
      <c r="A3562" t="s">
        <v>15</v>
      </c>
      <c r="B3562" t="s">
        <v>16</v>
      </c>
      <c r="C3562" s="13">
        <v>42370</v>
      </c>
      <c r="D3562" s="13">
        <v>42735</v>
      </c>
      <c r="E3562" t="s">
        <v>17</v>
      </c>
      <c r="F3562">
        <v>0</v>
      </c>
      <c r="G3562" t="s">
        <v>18</v>
      </c>
      <c r="H3562">
        <v>1</v>
      </c>
      <c r="I3562" t="s">
        <v>19</v>
      </c>
      <c r="J3562">
        <v>409</v>
      </c>
      <c r="K3562" t="s">
        <v>1600</v>
      </c>
      <c r="L3562" s="13">
        <v>42735</v>
      </c>
      <c r="M3562" t="s">
        <v>251</v>
      </c>
      <c r="N3562" t="s">
        <v>46</v>
      </c>
      <c r="O3562">
        <v>20.28</v>
      </c>
      <c r="P3562" t="s">
        <v>46</v>
      </c>
    </row>
    <row r="3563" spans="1:16" x14ac:dyDescent="0.4">
      <c r="A3563" t="s">
        <v>15</v>
      </c>
      <c r="B3563" t="s">
        <v>16</v>
      </c>
      <c r="C3563" s="13">
        <v>42370</v>
      </c>
      <c r="D3563" s="13">
        <v>42735</v>
      </c>
      <c r="E3563" t="s">
        <v>30</v>
      </c>
      <c r="F3563">
        <v>0</v>
      </c>
      <c r="G3563" t="s">
        <v>18</v>
      </c>
      <c r="H3563">
        <v>1</v>
      </c>
      <c r="I3563" t="s">
        <v>19</v>
      </c>
      <c r="J3563">
        <v>667</v>
      </c>
      <c r="K3563" t="s">
        <v>2546</v>
      </c>
      <c r="L3563" s="13">
        <v>42536</v>
      </c>
      <c r="M3563" t="s">
        <v>2547</v>
      </c>
      <c r="N3563" t="s">
        <v>46</v>
      </c>
      <c r="O3563">
        <v>118.67</v>
      </c>
      <c r="P3563" t="s">
        <v>46</v>
      </c>
    </row>
    <row r="3564" spans="1:16" x14ac:dyDescent="0.4">
      <c r="A3564" t="s">
        <v>15</v>
      </c>
      <c r="B3564" t="s">
        <v>16</v>
      </c>
      <c r="C3564" s="13">
        <v>42370</v>
      </c>
      <c r="D3564" s="13">
        <v>42735</v>
      </c>
      <c r="E3564" t="s">
        <v>17</v>
      </c>
      <c r="F3564">
        <v>0</v>
      </c>
      <c r="G3564" t="s">
        <v>18</v>
      </c>
      <c r="H3564">
        <v>1</v>
      </c>
      <c r="I3564" t="s">
        <v>19</v>
      </c>
      <c r="J3564">
        <v>706</v>
      </c>
      <c r="K3564" t="s">
        <v>365</v>
      </c>
      <c r="L3564" s="13">
        <v>42521</v>
      </c>
      <c r="M3564" t="s">
        <v>2023</v>
      </c>
      <c r="N3564" t="s">
        <v>2548</v>
      </c>
      <c r="O3564">
        <v>50.05</v>
      </c>
      <c r="P3564" t="s">
        <v>368</v>
      </c>
    </row>
    <row r="3565" spans="1:16" x14ac:dyDescent="0.4">
      <c r="A3565" t="s">
        <v>15</v>
      </c>
      <c r="B3565" t="s">
        <v>16</v>
      </c>
      <c r="C3565" s="13">
        <v>42370</v>
      </c>
      <c r="D3565" s="13">
        <v>42735</v>
      </c>
      <c r="E3565" t="s">
        <v>17</v>
      </c>
      <c r="F3565">
        <v>0</v>
      </c>
      <c r="G3565" t="s">
        <v>18</v>
      </c>
      <c r="H3565">
        <v>1</v>
      </c>
      <c r="I3565" t="s">
        <v>19</v>
      </c>
      <c r="J3565">
        <v>706</v>
      </c>
      <c r="K3565" t="s">
        <v>365</v>
      </c>
      <c r="L3565" s="13">
        <v>42735</v>
      </c>
      <c r="M3565" t="s">
        <v>2549</v>
      </c>
      <c r="N3565" t="s">
        <v>46</v>
      </c>
      <c r="O3565">
        <v>49.17</v>
      </c>
      <c r="P3565" t="s">
        <v>46</v>
      </c>
    </row>
    <row r="3566" spans="1:16" x14ac:dyDescent="0.4">
      <c r="A3566" t="s">
        <v>15</v>
      </c>
      <c r="B3566" t="s">
        <v>16</v>
      </c>
      <c r="C3566" s="13">
        <v>42370</v>
      </c>
      <c r="D3566" s="13">
        <v>42735</v>
      </c>
      <c r="E3566" t="s">
        <v>30</v>
      </c>
      <c r="F3566">
        <v>0</v>
      </c>
      <c r="G3566" t="s">
        <v>18</v>
      </c>
      <c r="H3566">
        <v>1</v>
      </c>
      <c r="I3566" t="s">
        <v>19</v>
      </c>
      <c r="J3566">
        <v>708</v>
      </c>
      <c r="K3566" t="s">
        <v>2550</v>
      </c>
      <c r="L3566" s="13">
        <v>42400</v>
      </c>
      <c r="M3566" t="s">
        <v>2551</v>
      </c>
      <c r="N3566" t="s">
        <v>2552</v>
      </c>
      <c r="O3566">
        <v>300</v>
      </c>
      <c r="P3566" t="s">
        <v>368</v>
      </c>
    </row>
    <row r="3567" spans="1:16" x14ac:dyDescent="0.4">
      <c r="A3567" t="s">
        <v>15</v>
      </c>
      <c r="B3567" t="s">
        <v>16</v>
      </c>
      <c r="C3567" s="13">
        <v>42370</v>
      </c>
      <c r="D3567" s="13">
        <v>42735</v>
      </c>
      <c r="E3567" t="s">
        <v>30</v>
      </c>
      <c r="F3567">
        <v>0</v>
      </c>
      <c r="G3567" t="s">
        <v>18</v>
      </c>
      <c r="H3567">
        <v>1</v>
      </c>
      <c r="I3567" t="s">
        <v>19</v>
      </c>
      <c r="J3567">
        <v>787</v>
      </c>
      <c r="K3567" t="s">
        <v>1216</v>
      </c>
      <c r="L3567" s="13">
        <v>42684</v>
      </c>
      <c r="M3567" t="s">
        <v>2553</v>
      </c>
      <c r="N3567" t="s">
        <v>2554</v>
      </c>
      <c r="O3567">
        <v>60</v>
      </c>
      <c r="P3567" t="s">
        <v>280</v>
      </c>
    </row>
    <row r="3568" spans="1:16" x14ac:dyDescent="0.4">
      <c r="A3568" t="s">
        <v>15</v>
      </c>
      <c r="B3568" t="s">
        <v>16</v>
      </c>
      <c r="C3568" s="13">
        <v>42370</v>
      </c>
      <c r="D3568" s="13">
        <v>42735</v>
      </c>
      <c r="E3568" t="s">
        <v>17</v>
      </c>
      <c r="F3568">
        <v>0</v>
      </c>
      <c r="G3568" t="s">
        <v>18</v>
      </c>
      <c r="H3568">
        <v>1</v>
      </c>
      <c r="I3568" t="s">
        <v>19</v>
      </c>
      <c r="J3568">
        <v>791</v>
      </c>
      <c r="K3568" t="s">
        <v>277</v>
      </c>
      <c r="L3568" s="13">
        <v>42370</v>
      </c>
      <c r="M3568" t="s">
        <v>2555</v>
      </c>
      <c r="N3568" t="s">
        <v>2556</v>
      </c>
      <c r="O3568">
        <v>283.83</v>
      </c>
      <c r="P3568" t="s">
        <v>280</v>
      </c>
    </row>
    <row r="3569" spans="1:16" x14ac:dyDescent="0.4">
      <c r="A3569" t="s">
        <v>15</v>
      </c>
      <c r="B3569" t="s">
        <v>16</v>
      </c>
      <c r="C3569" s="13">
        <v>42370</v>
      </c>
      <c r="D3569" s="13">
        <v>42735</v>
      </c>
      <c r="E3569" t="s">
        <v>17</v>
      </c>
      <c r="F3569">
        <v>0</v>
      </c>
      <c r="G3569" t="s">
        <v>18</v>
      </c>
      <c r="H3569">
        <v>1</v>
      </c>
      <c r="I3569" t="s">
        <v>19</v>
      </c>
      <c r="J3569">
        <v>791</v>
      </c>
      <c r="K3569" t="s">
        <v>277</v>
      </c>
      <c r="L3569" s="13">
        <v>42461</v>
      </c>
      <c r="M3569" t="s">
        <v>2557</v>
      </c>
      <c r="N3569" t="s">
        <v>2558</v>
      </c>
      <c r="O3569">
        <v>283.83</v>
      </c>
      <c r="P3569" t="s">
        <v>280</v>
      </c>
    </row>
    <row r="3570" spans="1:16" x14ac:dyDescent="0.4">
      <c r="A3570" t="s">
        <v>15</v>
      </c>
      <c r="B3570" t="s">
        <v>16</v>
      </c>
      <c r="C3570" s="13">
        <v>42370</v>
      </c>
      <c r="D3570" s="13">
        <v>42735</v>
      </c>
      <c r="E3570" t="s">
        <v>17</v>
      </c>
      <c r="F3570">
        <v>0</v>
      </c>
      <c r="G3570" t="s">
        <v>18</v>
      </c>
      <c r="H3570">
        <v>1</v>
      </c>
      <c r="I3570" t="s">
        <v>19</v>
      </c>
      <c r="J3570">
        <v>791</v>
      </c>
      <c r="K3570" t="s">
        <v>277</v>
      </c>
      <c r="L3570" s="13">
        <v>42552</v>
      </c>
      <c r="M3570" t="s">
        <v>2559</v>
      </c>
      <c r="N3570" t="s">
        <v>2560</v>
      </c>
      <c r="O3570">
        <v>283.83</v>
      </c>
      <c r="P3570" t="s">
        <v>280</v>
      </c>
    </row>
    <row r="3571" spans="1:16" x14ac:dyDescent="0.4">
      <c r="A3571" t="s">
        <v>15</v>
      </c>
      <c r="B3571" t="s">
        <v>16</v>
      </c>
      <c r="C3571" s="13">
        <v>42370</v>
      </c>
      <c r="D3571" s="13">
        <v>42735</v>
      </c>
      <c r="E3571" t="s">
        <v>17</v>
      </c>
      <c r="F3571">
        <v>0</v>
      </c>
      <c r="G3571" t="s">
        <v>18</v>
      </c>
      <c r="H3571">
        <v>1</v>
      </c>
      <c r="I3571" t="s">
        <v>19</v>
      </c>
      <c r="J3571">
        <v>791</v>
      </c>
      <c r="K3571" t="s">
        <v>277</v>
      </c>
      <c r="L3571" s="13">
        <v>42644</v>
      </c>
      <c r="M3571" t="s">
        <v>2561</v>
      </c>
      <c r="N3571" t="s">
        <v>2562</v>
      </c>
      <c r="O3571">
        <v>283.83</v>
      </c>
      <c r="P3571" t="s">
        <v>280</v>
      </c>
    </row>
    <row r="3572" spans="1:16" x14ac:dyDescent="0.4">
      <c r="A3572" t="s">
        <v>15</v>
      </c>
      <c r="B3572" t="s">
        <v>16</v>
      </c>
      <c r="C3572" s="13">
        <v>42370</v>
      </c>
      <c r="D3572" s="13">
        <v>42735</v>
      </c>
      <c r="E3572" t="s">
        <v>17</v>
      </c>
      <c r="F3572">
        <v>0</v>
      </c>
      <c r="G3572" t="s">
        <v>18</v>
      </c>
      <c r="H3572">
        <v>1</v>
      </c>
      <c r="I3572" t="s">
        <v>19</v>
      </c>
      <c r="J3572">
        <v>791</v>
      </c>
      <c r="K3572" t="s">
        <v>277</v>
      </c>
      <c r="L3572" s="13">
        <v>42735</v>
      </c>
      <c r="M3572" t="s">
        <v>287</v>
      </c>
      <c r="N3572" t="s">
        <v>288</v>
      </c>
      <c r="O3572">
        <v>-756.8</v>
      </c>
      <c r="P3572" t="s">
        <v>46</v>
      </c>
    </row>
    <row r="3573" spans="1:16" x14ac:dyDescent="0.4">
      <c r="A3573" t="s">
        <v>15</v>
      </c>
      <c r="B3573" t="s">
        <v>16</v>
      </c>
      <c r="C3573" s="13">
        <v>42370</v>
      </c>
      <c r="D3573" s="13">
        <v>42735</v>
      </c>
      <c r="E3573" t="s">
        <v>17</v>
      </c>
      <c r="F3573">
        <v>0</v>
      </c>
      <c r="G3573" t="s">
        <v>18</v>
      </c>
      <c r="H3573">
        <v>1</v>
      </c>
      <c r="I3573" t="s">
        <v>19</v>
      </c>
      <c r="J3573">
        <v>881</v>
      </c>
      <c r="K3573" t="s">
        <v>327</v>
      </c>
      <c r="L3573" s="13">
        <v>42735</v>
      </c>
      <c r="M3573" t="s">
        <v>328</v>
      </c>
      <c r="N3573" t="s">
        <v>329</v>
      </c>
      <c r="O3573">
        <v>27.09</v>
      </c>
      <c r="P3573" t="s">
        <v>46</v>
      </c>
    </row>
    <row r="3574" spans="1:16" x14ac:dyDescent="0.4">
      <c r="A3574" t="s">
        <v>15</v>
      </c>
      <c r="B3574" t="s">
        <v>16</v>
      </c>
      <c r="C3574" s="13">
        <v>42370</v>
      </c>
      <c r="D3574" s="13">
        <v>42735</v>
      </c>
      <c r="E3574" t="s">
        <v>17</v>
      </c>
      <c r="F3574">
        <v>0</v>
      </c>
      <c r="G3574" t="s">
        <v>18</v>
      </c>
      <c r="H3574">
        <v>1</v>
      </c>
      <c r="I3574" t="s">
        <v>19</v>
      </c>
      <c r="J3574">
        <v>909</v>
      </c>
      <c r="K3574" t="s">
        <v>334</v>
      </c>
      <c r="L3574" s="13">
        <v>42735</v>
      </c>
      <c r="M3574" t="s">
        <v>2563</v>
      </c>
      <c r="N3574" t="s">
        <v>46</v>
      </c>
      <c r="O3574">
        <v>-1837.91</v>
      </c>
      <c r="P3574" t="s">
        <v>1444</v>
      </c>
    </row>
    <row r="3575" spans="1:16" x14ac:dyDescent="0.4">
      <c r="A3575" t="s">
        <v>15</v>
      </c>
      <c r="B3575" t="s">
        <v>16</v>
      </c>
      <c r="C3575" s="13">
        <v>42370</v>
      </c>
      <c r="D3575" s="13">
        <v>42735</v>
      </c>
      <c r="E3575" t="s">
        <v>17</v>
      </c>
      <c r="F3575">
        <v>0</v>
      </c>
      <c r="G3575" t="s">
        <v>18</v>
      </c>
      <c r="H3575">
        <v>1</v>
      </c>
      <c r="I3575" t="s">
        <v>19</v>
      </c>
      <c r="J3575">
        <v>909</v>
      </c>
      <c r="K3575" t="s">
        <v>334</v>
      </c>
      <c r="L3575" s="13">
        <v>42735</v>
      </c>
      <c r="M3575" t="s">
        <v>2564</v>
      </c>
      <c r="N3575" t="s">
        <v>46</v>
      </c>
      <c r="O3575">
        <v>-6812.99</v>
      </c>
      <c r="P3575" t="s">
        <v>1444</v>
      </c>
    </row>
    <row r="3576" spans="1:16" x14ac:dyDescent="0.4">
      <c r="A3576" t="s">
        <v>15</v>
      </c>
      <c r="B3576" t="s">
        <v>16</v>
      </c>
      <c r="C3576" s="13">
        <v>42370</v>
      </c>
      <c r="D3576" s="13">
        <v>42735</v>
      </c>
      <c r="E3576" t="s">
        <v>17</v>
      </c>
      <c r="F3576">
        <v>0</v>
      </c>
      <c r="G3576" t="s">
        <v>18</v>
      </c>
      <c r="H3576">
        <v>1</v>
      </c>
      <c r="I3576" t="s">
        <v>19</v>
      </c>
      <c r="J3576">
        <v>988</v>
      </c>
      <c r="K3576" t="s">
        <v>339</v>
      </c>
      <c r="L3576" s="13">
        <v>42370</v>
      </c>
      <c r="M3576" t="s">
        <v>2565</v>
      </c>
      <c r="N3576" t="s">
        <v>341</v>
      </c>
      <c r="O3576">
        <v>-0.89</v>
      </c>
      <c r="P3576" t="s">
        <v>46</v>
      </c>
    </row>
    <row r="3577" spans="1:16" x14ac:dyDescent="0.4">
      <c r="A3577" t="s">
        <v>15</v>
      </c>
      <c r="B3577" t="s">
        <v>16</v>
      </c>
      <c r="C3577" s="13">
        <v>42370</v>
      </c>
      <c r="D3577" s="13">
        <v>42735</v>
      </c>
      <c r="E3577" t="s">
        <v>17</v>
      </c>
      <c r="F3577">
        <v>0</v>
      </c>
      <c r="G3577" t="s">
        <v>342</v>
      </c>
      <c r="H3577">
        <v>2</v>
      </c>
      <c r="I3577" t="s">
        <v>343</v>
      </c>
      <c r="J3577">
        <v>242</v>
      </c>
      <c r="K3577" t="s">
        <v>348</v>
      </c>
      <c r="L3577" s="13">
        <v>42735</v>
      </c>
      <c r="M3577" t="s">
        <v>2566</v>
      </c>
      <c r="N3577" t="s">
        <v>45</v>
      </c>
      <c r="O3577">
        <v>432.48</v>
      </c>
      <c r="P3577" t="s">
        <v>46</v>
      </c>
    </row>
    <row r="3578" spans="1:16" x14ac:dyDescent="0.4">
      <c r="A3578" t="s">
        <v>15</v>
      </c>
      <c r="B3578" t="s">
        <v>16</v>
      </c>
      <c r="C3578" s="13">
        <v>42370</v>
      </c>
      <c r="D3578" s="13">
        <v>42735</v>
      </c>
      <c r="E3578" t="s">
        <v>17</v>
      </c>
      <c r="F3578">
        <v>0</v>
      </c>
      <c r="G3578" t="s">
        <v>342</v>
      </c>
      <c r="H3578">
        <v>2</v>
      </c>
      <c r="I3578" t="s">
        <v>343</v>
      </c>
      <c r="J3578">
        <v>269</v>
      </c>
      <c r="K3578" t="s">
        <v>350</v>
      </c>
      <c r="L3578" s="13">
        <v>42391</v>
      </c>
      <c r="M3578" t="s">
        <v>76</v>
      </c>
      <c r="N3578" t="s">
        <v>2567</v>
      </c>
      <c r="O3578">
        <v>32.54</v>
      </c>
      <c r="P3578" t="s">
        <v>565</v>
      </c>
    </row>
    <row r="3579" spans="1:16" x14ac:dyDescent="0.4">
      <c r="A3579" t="s">
        <v>15</v>
      </c>
      <c r="B3579" t="s">
        <v>16</v>
      </c>
      <c r="C3579" s="13">
        <v>42370</v>
      </c>
      <c r="D3579" s="13">
        <v>42735</v>
      </c>
      <c r="E3579" t="s">
        <v>17</v>
      </c>
      <c r="F3579">
        <v>0</v>
      </c>
      <c r="G3579" t="s">
        <v>342</v>
      </c>
      <c r="H3579">
        <v>2</v>
      </c>
      <c r="I3579" t="s">
        <v>343</v>
      </c>
      <c r="J3579">
        <v>269</v>
      </c>
      <c r="K3579" t="s">
        <v>350</v>
      </c>
      <c r="L3579" s="13">
        <v>42452</v>
      </c>
      <c r="M3579" t="s">
        <v>76</v>
      </c>
      <c r="N3579" t="s">
        <v>2568</v>
      </c>
      <c r="O3579">
        <v>34.82</v>
      </c>
      <c r="P3579" t="s">
        <v>565</v>
      </c>
    </row>
    <row r="3580" spans="1:16" x14ac:dyDescent="0.4">
      <c r="A3580" t="s">
        <v>15</v>
      </c>
      <c r="B3580" t="s">
        <v>16</v>
      </c>
      <c r="C3580" s="13">
        <v>42370</v>
      </c>
      <c r="D3580" s="13">
        <v>42735</v>
      </c>
      <c r="E3580" t="s">
        <v>17</v>
      </c>
      <c r="F3580">
        <v>0</v>
      </c>
      <c r="G3580" t="s">
        <v>342</v>
      </c>
      <c r="H3580">
        <v>2</v>
      </c>
      <c r="I3580" t="s">
        <v>343</v>
      </c>
      <c r="J3580">
        <v>269</v>
      </c>
      <c r="K3580" t="s">
        <v>350</v>
      </c>
      <c r="L3580" s="13">
        <v>42514</v>
      </c>
      <c r="M3580" t="s">
        <v>76</v>
      </c>
      <c r="N3580" t="s">
        <v>2569</v>
      </c>
      <c r="O3580">
        <v>30.86</v>
      </c>
      <c r="P3580" t="s">
        <v>565</v>
      </c>
    </row>
    <row r="3581" spans="1:16" x14ac:dyDescent="0.4">
      <c r="A3581" t="s">
        <v>15</v>
      </c>
      <c r="B3581" t="s">
        <v>16</v>
      </c>
      <c r="C3581" s="13">
        <v>42370</v>
      </c>
      <c r="D3581" s="13">
        <v>42735</v>
      </c>
      <c r="E3581" t="s">
        <v>17</v>
      </c>
      <c r="F3581">
        <v>0</v>
      </c>
      <c r="G3581" t="s">
        <v>342</v>
      </c>
      <c r="H3581">
        <v>2</v>
      </c>
      <c r="I3581" t="s">
        <v>343</v>
      </c>
      <c r="J3581">
        <v>269</v>
      </c>
      <c r="K3581" t="s">
        <v>350</v>
      </c>
      <c r="L3581" s="13">
        <v>42573</v>
      </c>
      <c r="M3581" t="s">
        <v>76</v>
      </c>
      <c r="N3581" t="s">
        <v>2570</v>
      </c>
      <c r="O3581">
        <v>26.9</v>
      </c>
      <c r="P3581" t="s">
        <v>565</v>
      </c>
    </row>
    <row r="3582" spans="1:16" x14ac:dyDescent="0.4">
      <c r="A3582" t="s">
        <v>15</v>
      </c>
      <c r="B3582" t="s">
        <v>16</v>
      </c>
      <c r="C3582" s="13">
        <v>42370</v>
      </c>
      <c r="D3582" s="13">
        <v>42735</v>
      </c>
      <c r="E3582" t="s">
        <v>17</v>
      </c>
      <c r="F3582">
        <v>0</v>
      </c>
      <c r="G3582" t="s">
        <v>342</v>
      </c>
      <c r="H3582">
        <v>2</v>
      </c>
      <c r="I3582" t="s">
        <v>343</v>
      </c>
      <c r="J3582">
        <v>269</v>
      </c>
      <c r="K3582" t="s">
        <v>350</v>
      </c>
      <c r="L3582" s="13">
        <v>42637</v>
      </c>
      <c r="M3582" t="s">
        <v>76</v>
      </c>
      <c r="N3582" t="s">
        <v>2571</v>
      </c>
      <c r="O3582">
        <v>29.45</v>
      </c>
      <c r="P3582" t="s">
        <v>565</v>
      </c>
    </row>
    <row r="3583" spans="1:16" x14ac:dyDescent="0.4">
      <c r="A3583" t="s">
        <v>15</v>
      </c>
      <c r="B3583" t="s">
        <v>16</v>
      </c>
      <c r="C3583" s="13">
        <v>42370</v>
      </c>
      <c r="D3583" s="13">
        <v>42735</v>
      </c>
      <c r="E3583" t="s">
        <v>17</v>
      </c>
      <c r="F3583">
        <v>0</v>
      </c>
      <c r="G3583" t="s">
        <v>342</v>
      </c>
      <c r="H3583">
        <v>2</v>
      </c>
      <c r="I3583" t="s">
        <v>343</v>
      </c>
      <c r="J3583">
        <v>269</v>
      </c>
      <c r="K3583" t="s">
        <v>350</v>
      </c>
      <c r="L3583" s="13">
        <v>42697</v>
      </c>
      <c r="M3583" t="s">
        <v>76</v>
      </c>
      <c r="N3583" t="s">
        <v>2572</v>
      </c>
      <c r="O3583">
        <v>30.66</v>
      </c>
      <c r="P3583" t="s">
        <v>565</v>
      </c>
    </row>
    <row r="3584" spans="1:16" x14ac:dyDescent="0.4">
      <c r="A3584" t="s">
        <v>15</v>
      </c>
      <c r="B3584" t="s">
        <v>16</v>
      </c>
      <c r="C3584" s="13">
        <v>42370</v>
      </c>
      <c r="D3584" s="13">
        <v>42735</v>
      </c>
      <c r="E3584" t="s">
        <v>17</v>
      </c>
      <c r="F3584">
        <v>0</v>
      </c>
      <c r="G3584" t="s">
        <v>342</v>
      </c>
      <c r="H3584">
        <v>2</v>
      </c>
      <c r="I3584" t="s">
        <v>343</v>
      </c>
      <c r="J3584">
        <v>706</v>
      </c>
      <c r="K3584" t="s">
        <v>365</v>
      </c>
      <c r="L3584" s="13">
        <v>42735</v>
      </c>
      <c r="M3584" t="s">
        <v>2573</v>
      </c>
      <c r="N3584" t="s">
        <v>46</v>
      </c>
      <c r="O3584">
        <v>147.53</v>
      </c>
      <c r="P3584" t="s">
        <v>46</v>
      </c>
    </row>
    <row r="3585" spans="1:16" x14ac:dyDescent="0.4">
      <c r="A3585" t="s">
        <v>15</v>
      </c>
      <c r="B3585" t="s">
        <v>16</v>
      </c>
      <c r="C3585" s="13">
        <v>42370</v>
      </c>
      <c r="D3585" s="13">
        <v>42735</v>
      </c>
      <c r="E3585" t="s">
        <v>17</v>
      </c>
      <c r="F3585">
        <v>0</v>
      </c>
      <c r="G3585" t="s">
        <v>342</v>
      </c>
      <c r="H3585">
        <v>2</v>
      </c>
      <c r="I3585" t="s">
        <v>343</v>
      </c>
      <c r="J3585">
        <v>791</v>
      </c>
      <c r="K3585" t="s">
        <v>369</v>
      </c>
      <c r="L3585" s="13">
        <v>42735</v>
      </c>
      <c r="M3585" t="s">
        <v>370</v>
      </c>
      <c r="N3585" t="s">
        <v>288</v>
      </c>
      <c r="O3585">
        <v>756.8</v>
      </c>
      <c r="P3585" t="s">
        <v>46</v>
      </c>
    </row>
    <row r="3586" spans="1:16" x14ac:dyDescent="0.4">
      <c r="A3586" t="s">
        <v>15</v>
      </c>
      <c r="B3586" t="s">
        <v>16</v>
      </c>
      <c r="C3586" s="13">
        <v>42370</v>
      </c>
      <c r="D3586" s="13">
        <v>42735</v>
      </c>
      <c r="E3586" t="s">
        <v>17</v>
      </c>
      <c r="F3586">
        <v>0</v>
      </c>
      <c r="G3586" t="s">
        <v>342</v>
      </c>
      <c r="H3586">
        <v>2</v>
      </c>
      <c r="I3586" t="s">
        <v>343</v>
      </c>
      <c r="J3586">
        <v>883</v>
      </c>
      <c r="K3586" t="s">
        <v>371</v>
      </c>
      <c r="L3586" s="13">
        <v>42370</v>
      </c>
      <c r="M3586" t="s">
        <v>2574</v>
      </c>
      <c r="N3586" t="s">
        <v>2575</v>
      </c>
      <c r="O3586">
        <v>145.44</v>
      </c>
      <c r="P3586" t="s">
        <v>374</v>
      </c>
    </row>
    <row r="3587" spans="1:16" x14ac:dyDescent="0.4">
      <c r="A3587" t="s">
        <v>15</v>
      </c>
      <c r="B3587" t="s">
        <v>16</v>
      </c>
      <c r="C3587" s="13">
        <v>42370</v>
      </c>
      <c r="D3587" s="13">
        <v>42735</v>
      </c>
      <c r="E3587" t="s">
        <v>17</v>
      </c>
      <c r="F3587">
        <v>0</v>
      </c>
      <c r="G3587" t="s">
        <v>342</v>
      </c>
      <c r="H3587">
        <v>2</v>
      </c>
      <c r="I3587" t="s">
        <v>343</v>
      </c>
      <c r="J3587">
        <v>883</v>
      </c>
      <c r="K3587" t="s">
        <v>371</v>
      </c>
      <c r="L3587" s="13">
        <v>42735</v>
      </c>
      <c r="M3587" t="s">
        <v>375</v>
      </c>
      <c r="N3587" t="s">
        <v>376</v>
      </c>
      <c r="O3587">
        <v>-48.48</v>
      </c>
      <c r="P3587" t="s">
        <v>46</v>
      </c>
    </row>
    <row r="3588" spans="1:16" x14ac:dyDescent="0.4">
      <c r="A3588" t="s">
        <v>15</v>
      </c>
      <c r="B3588" t="s">
        <v>16</v>
      </c>
      <c r="C3588" s="13">
        <v>42370</v>
      </c>
      <c r="D3588" s="13">
        <v>42735</v>
      </c>
      <c r="E3588" t="s">
        <v>17</v>
      </c>
      <c r="F3588">
        <v>0</v>
      </c>
      <c r="G3588" t="s">
        <v>342</v>
      </c>
      <c r="H3588">
        <v>2</v>
      </c>
      <c r="I3588" t="s">
        <v>343</v>
      </c>
      <c r="J3588">
        <v>891</v>
      </c>
      <c r="K3588" t="s">
        <v>377</v>
      </c>
      <c r="L3588" s="13">
        <v>42735</v>
      </c>
      <c r="M3588" t="s">
        <v>2576</v>
      </c>
      <c r="N3588" t="s">
        <v>46</v>
      </c>
      <c r="O3588">
        <v>9431.36</v>
      </c>
      <c r="P3588" t="s">
        <v>1444</v>
      </c>
    </row>
    <row r="3589" spans="1:16" x14ac:dyDescent="0.4">
      <c r="A3589" t="s">
        <v>15</v>
      </c>
      <c r="B3589" t="s">
        <v>16</v>
      </c>
      <c r="C3589" s="13">
        <v>42370</v>
      </c>
      <c r="D3589" s="13">
        <v>42735</v>
      </c>
      <c r="E3589" t="s">
        <v>17</v>
      </c>
      <c r="F3589">
        <v>0</v>
      </c>
      <c r="G3589" t="s">
        <v>467</v>
      </c>
      <c r="H3589">
        <v>17</v>
      </c>
      <c r="I3589" t="s">
        <v>468</v>
      </c>
      <c r="J3589">
        <v>177</v>
      </c>
      <c r="K3589" t="s">
        <v>2331</v>
      </c>
      <c r="L3589" s="13">
        <v>42400</v>
      </c>
      <c r="M3589" t="s">
        <v>2577</v>
      </c>
      <c r="N3589" t="s">
        <v>2578</v>
      </c>
      <c r="O3589">
        <v>200.66</v>
      </c>
      <c r="P3589" t="s">
        <v>2334</v>
      </c>
    </row>
    <row r="3590" spans="1:16" x14ac:dyDescent="0.4">
      <c r="A3590" t="s">
        <v>15</v>
      </c>
      <c r="B3590" t="s">
        <v>16</v>
      </c>
      <c r="C3590" s="13">
        <v>42370</v>
      </c>
      <c r="D3590" s="13">
        <v>42735</v>
      </c>
      <c r="E3590" t="s">
        <v>17</v>
      </c>
      <c r="F3590">
        <v>0</v>
      </c>
      <c r="G3590" t="s">
        <v>467</v>
      </c>
      <c r="H3590">
        <v>17</v>
      </c>
      <c r="I3590" t="s">
        <v>468</v>
      </c>
      <c r="J3590">
        <v>177</v>
      </c>
      <c r="K3590" t="s">
        <v>2331</v>
      </c>
      <c r="L3590" s="13">
        <v>42490</v>
      </c>
      <c r="M3590" t="s">
        <v>2579</v>
      </c>
      <c r="N3590" t="s">
        <v>2580</v>
      </c>
      <c r="O3590">
        <v>173.03</v>
      </c>
      <c r="P3590" t="s">
        <v>2334</v>
      </c>
    </row>
    <row r="3591" spans="1:16" x14ac:dyDescent="0.4">
      <c r="A3591" t="s">
        <v>15</v>
      </c>
      <c r="B3591" t="s">
        <v>16</v>
      </c>
      <c r="C3591" s="13">
        <v>42370</v>
      </c>
      <c r="D3591" s="13">
        <v>42735</v>
      </c>
      <c r="E3591" t="s">
        <v>17</v>
      </c>
      <c r="F3591">
        <v>0</v>
      </c>
      <c r="G3591" t="s">
        <v>467</v>
      </c>
      <c r="H3591">
        <v>17</v>
      </c>
      <c r="I3591" t="s">
        <v>468</v>
      </c>
      <c r="J3591">
        <v>177</v>
      </c>
      <c r="K3591" t="s">
        <v>2331</v>
      </c>
      <c r="L3591" s="13">
        <v>42643</v>
      </c>
      <c r="M3591" t="s">
        <v>2581</v>
      </c>
      <c r="N3591" t="s">
        <v>2582</v>
      </c>
      <c r="O3591">
        <v>108.94</v>
      </c>
      <c r="P3591" t="s">
        <v>2334</v>
      </c>
    </row>
    <row r="3592" spans="1:16" x14ac:dyDescent="0.4">
      <c r="A3592" t="s">
        <v>15</v>
      </c>
      <c r="B3592" t="s">
        <v>16</v>
      </c>
      <c r="C3592" s="13">
        <v>42370</v>
      </c>
      <c r="D3592" s="13">
        <v>42735</v>
      </c>
      <c r="E3592" t="s">
        <v>17</v>
      </c>
      <c r="F3592">
        <v>0</v>
      </c>
      <c r="G3592" t="s">
        <v>467</v>
      </c>
      <c r="H3592">
        <v>17</v>
      </c>
      <c r="I3592" t="s">
        <v>468</v>
      </c>
      <c r="J3592">
        <v>401</v>
      </c>
      <c r="K3592" t="s">
        <v>476</v>
      </c>
      <c r="L3592" s="13">
        <v>42735</v>
      </c>
      <c r="M3592" t="s">
        <v>2583</v>
      </c>
      <c r="N3592" t="s">
        <v>46</v>
      </c>
      <c r="O3592">
        <v>6797.48</v>
      </c>
      <c r="P3592" t="s">
        <v>1444</v>
      </c>
    </row>
    <row r="3593" spans="1:16" x14ac:dyDescent="0.4">
      <c r="A3593" t="s">
        <v>15</v>
      </c>
      <c r="B3593" t="s">
        <v>16</v>
      </c>
      <c r="C3593" s="13">
        <v>42370</v>
      </c>
      <c r="D3593" s="13">
        <v>42735</v>
      </c>
      <c r="E3593" t="s">
        <v>17</v>
      </c>
      <c r="F3593">
        <v>0</v>
      </c>
      <c r="G3593" t="s">
        <v>467</v>
      </c>
      <c r="H3593">
        <v>17</v>
      </c>
      <c r="I3593" t="s">
        <v>468</v>
      </c>
      <c r="J3593">
        <v>909</v>
      </c>
      <c r="K3593" t="s">
        <v>2584</v>
      </c>
      <c r="L3593" s="13">
        <v>42735</v>
      </c>
      <c r="M3593" t="s">
        <v>2424</v>
      </c>
      <c r="N3593" t="s">
        <v>2427</v>
      </c>
      <c r="O3593">
        <v>31149.77</v>
      </c>
      <c r="P3593" t="s">
        <v>46</v>
      </c>
    </row>
    <row r="3594" spans="1:16" x14ac:dyDescent="0.4">
      <c r="A3594" t="s">
        <v>15</v>
      </c>
      <c r="B3594" t="s">
        <v>16</v>
      </c>
      <c r="C3594" s="13">
        <v>42370</v>
      </c>
      <c r="D3594" s="13">
        <v>42735</v>
      </c>
      <c r="E3594" t="s">
        <v>17</v>
      </c>
      <c r="F3594">
        <v>0</v>
      </c>
      <c r="G3594" t="s">
        <v>478</v>
      </c>
      <c r="H3594">
        <v>55</v>
      </c>
      <c r="I3594" t="s">
        <v>479</v>
      </c>
      <c r="J3594">
        <v>282</v>
      </c>
      <c r="K3594" t="s">
        <v>480</v>
      </c>
      <c r="L3594" s="13">
        <v>42735</v>
      </c>
      <c r="M3594" t="s">
        <v>2585</v>
      </c>
      <c r="N3594" t="s">
        <v>86</v>
      </c>
      <c r="O3594">
        <v>8513.01</v>
      </c>
      <c r="P3594" t="s">
        <v>46</v>
      </c>
    </row>
    <row r="3595" spans="1:16" x14ac:dyDescent="0.4">
      <c r="A3595" t="s">
        <v>15</v>
      </c>
      <c r="B3595" t="s">
        <v>16</v>
      </c>
      <c r="C3595" s="13">
        <v>42370</v>
      </c>
      <c r="D3595" s="13">
        <v>42735</v>
      </c>
      <c r="E3595" t="s">
        <v>17</v>
      </c>
      <c r="F3595">
        <v>0</v>
      </c>
      <c r="G3595" t="s">
        <v>482</v>
      </c>
      <c r="H3595">
        <v>60</v>
      </c>
      <c r="I3595" t="s">
        <v>483</v>
      </c>
      <c r="J3595">
        <v>881</v>
      </c>
      <c r="K3595" t="s">
        <v>327</v>
      </c>
      <c r="L3595" s="13">
        <v>42522</v>
      </c>
      <c r="M3595" t="s">
        <v>2586</v>
      </c>
      <c r="N3595" t="s">
        <v>2587</v>
      </c>
      <c r="O3595">
        <v>1165.04</v>
      </c>
      <c r="P3595" t="s">
        <v>374</v>
      </c>
    </row>
    <row r="3596" spans="1:16" x14ac:dyDescent="0.4">
      <c r="A3596" t="s">
        <v>15</v>
      </c>
      <c r="B3596" t="s">
        <v>16</v>
      </c>
      <c r="C3596" s="13">
        <v>42370</v>
      </c>
      <c r="D3596" s="13">
        <v>42735</v>
      </c>
      <c r="E3596" t="s">
        <v>17</v>
      </c>
      <c r="F3596">
        <v>0</v>
      </c>
      <c r="G3596" t="s">
        <v>482</v>
      </c>
      <c r="H3596">
        <v>60</v>
      </c>
      <c r="I3596" t="s">
        <v>483</v>
      </c>
      <c r="J3596">
        <v>881</v>
      </c>
      <c r="K3596" t="s">
        <v>327</v>
      </c>
      <c r="L3596" s="13">
        <v>42735</v>
      </c>
      <c r="M3596" t="s">
        <v>486</v>
      </c>
      <c r="N3596" t="s">
        <v>329</v>
      </c>
      <c r="O3596">
        <v>-27.09</v>
      </c>
      <c r="P3596" t="s">
        <v>46</v>
      </c>
    </row>
    <row r="3597" spans="1:16" x14ac:dyDescent="0.4">
      <c r="A3597" t="s">
        <v>15</v>
      </c>
      <c r="B3597" t="s">
        <v>16</v>
      </c>
      <c r="C3597" s="13">
        <v>42370</v>
      </c>
      <c r="D3597" s="13">
        <v>42735</v>
      </c>
      <c r="E3597" t="s">
        <v>30</v>
      </c>
      <c r="F3597">
        <v>1</v>
      </c>
      <c r="G3597" t="s">
        <v>18</v>
      </c>
      <c r="H3597">
        <v>1</v>
      </c>
      <c r="I3597" t="s">
        <v>19</v>
      </c>
      <c r="J3597">
        <v>236</v>
      </c>
      <c r="K3597" t="s">
        <v>950</v>
      </c>
      <c r="L3597" s="13">
        <v>42704</v>
      </c>
      <c r="M3597" t="s">
        <v>2588</v>
      </c>
      <c r="N3597" t="s">
        <v>2589</v>
      </c>
      <c r="O3597">
        <v>1039.5</v>
      </c>
      <c r="P3597" t="s">
        <v>2590</v>
      </c>
    </row>
    <row r="3598" spans="1:16" x14ac:dyDescent="0.4">
      <c r="A3598" t="s">
        <v>15</v>
      </c>
      <c r="B3598" t="s">
        <v>16</v>
      </c>
      <c r="C3598" s="13">
        <v>42370</v>
      </c>
      <c r="D3598" s="13">
        <v>42735</v>
      </c>
      <c r="E3598" t="s">
        <v>17</v>
      </c>
      <c r="F3598">
        <v>1</v>
      </c>
      <c r="G3598" t="s">
        <v>18</v>
      </c>
      <c r="H3598">
        <v>1</v>
      </c>
      <c r="I3598" t="s">
        <v>19</v>
      </c>
      <c r="J3598">
        <v>242</v>
      </c>
      <c r="K3598" t="s">
        <v>487</v>
      </c>
      <c r="L3598" s="13">
        <v>42735</v>
      </c>
      <c r="M3598" t="s">
        <v>2566</v>
      </c>
      <c r="N3598" t="s">
        <v>45</v>
      </c>
      <c r="O3598">
        <v>324.36</v>
      </c>
      <c r="P3598" t="s">
        <v>46</v>
      </c>
    </row>
    <row r="3599" spans="1:16" x14ac:dyDescent="0.4">
      <c r="A3599" t="s">
        <v>15</v>
      </c>
      <c r="B3599" t="s">
        <v>16</v>
      </c>
      <c r="C3599" s="13">
        <v>42370</v>
      </c>
      <c r="D3599" s="13">
        <v>42735</v>
      </c>
      <c r="E3599" t="s">
        <v>17</v>
      </c>
      <c r="F3599">
        <v>1</v>
      </c>
      <c r="G3599" t="s">
        <v>18</v>
      </c>
      <c r="H3599">
        <v>1</v>
      </c>
      <c r="I3599" t="s">
        <v>19</v>
      </c>
      <c r="J3599">
        <v>269</v>
      </c>
      <c r="K3599" t="s">
        <v>75</v>
      </c>
      <c r="L3599" s="13">
        <v>42391</v>
      </c>
      <c r="M3599" t="s">
        <v>76</v>
      </c>
      <c r="N3599" t="s">
        <v>2431</v>
      </c>
      <c r="O3599">
        <v>24.73</v>
      </c>
      <c r="P3599" t="s">
        <v>565</v>
      </c>
    </row>
    <row r="3600" spans="1:16" x14ac:dyDescent="0.4">
      <c r="A3600" t="s">
        <v>15</v>
      </c>
      <c r="B3600" t="s">
        <v>16</v>
      </c>
      <c r="C3600" s="13">
        <v>42370</v>
      </c>
      <c r="D3600" s="13">
        <v>42735</v>
      </c>
      <c r="E3600" t="s">
        <v>17</v>
      </c>
      <c r="F3600">
        <v>1</v>
      </c>
      <c r="G3600" t="s">
        <v>18</v>
      </c>
      <c r="H3600">
        <v>1</v>
      </c>
      <c r="I3600" t="s">
        <v>19</v>
      </c>
      <c r="J3600">
        <v>269</v>
      </c>
      <c r="K3600" t="s">
        <v>75</v>
      </c>
      <c r="L3600" s="13">
        <v>42514</v>
      </c>
      <c r="M3600" t="s">
        <v>76</v>
      </c>
      <c r="N3600" t="s">
        <v>2432</v>
      </c>
      <c r="O3600">
        <v>17.16</v>
      </c>
      <c r="P3600" t="s">
        <v>565</v>
      </c>
    </row>
    <row r="3601" spans="1:16" x14ac:dyDescent="0.4">
      <c r="A3601" t="s">
        <v>15</v>
      </c>
      <c r="B3601" t="s">
        <v>16</v>
      </c>
      <c r="C3601" s="13">
        <v>42370</v>
      </c>
      <c r="D3601" s="13">
        <v>42735</v>
      </c>
      <c r="E3601" t="s">
        <v>17</v>
      </c>
      <c r="F3601">
        <v>1</v>
      </c>
      <c r="G3601" t="s">
        <v>18</v>
      </c>
      <c r="H3601">
        <v>1</v>
      </c>
      <c r="I3601" t="s">
        <v>19</v>
      </c>
      <c r="J3601">
        <v>269</v>
      </c>
      <c r="K3601" t="s">
        <v>75</v>
      </c>
      <c r="L3601" s="13">
        <v>42573</v>
      </c>
      <c r="M3601" t="s">
        <v>76</v>
      </c>
      <c r="N3601" t="s">
        <v>2433</v>
      </c>
      <c r="O3601">
        <v>12.75</v>
      </c>
      <c r="P3601" t="s">
        <v>565</v>
      </c>
    </row>
    <row r="3602" spans="1:16" x14ac:dyDescent="0.4">
      <c r="A3602" t="s">
        <v>15</v>
      </c>
      <c r="B3602" t="s">
        <v>16</v>
      </c>
      <c r="C3602" s="13">
        <v>42370</v>
      </c>
      <c r="D3602" s="13">
        <v>42735</v>
      </c>
      <c r="E3602" t="s">
        <v>17</v>
      </c>
      <c r="F3602">
        <v>1</v>
      </c>
      <c r="G3602" t="s">
        <v>18</v>
      </c>
      <c r="H3602">
        <v>1</v>
      </c>
      <c r="I3602" t="s">
        <v>19</v>
      </c>
      <c r="J3602">
        <v>269</v>
      </c>
      <c r="K3602" t="s">
        <v>75</v>
      </c>
      <c r="L3602" s="13">
        <v>42637</v>
      </c>
      <c r="M3602" t="s">
        <v>76</v>
      </c>
      <c r="N3602" t="s">
        <v>2434</v>
      </c>
      <c r="O3602">
        <v>49.5</v>
      </c>
      <c r="P3602" t="s">
        <v>565</v>
      </c>
    </row>
    <row r="3603" spans="1:16" x14ac:dyDescent="0.4">
      <c r="A3603" t="s">
        <v>15</v>
      </c>
      <c r="B3603" t="s">
        <v>16</v>
      </c>
      <c r="C3603" s="13">
        <v>42370</v>
      </c>
      <c r="D3603" s="13">
        <v>42735</v>
      </c>
      <c r="E3603" t="s">
        <v>17</v>
      </c>
      <c r="F3603">
        <v>1</v>
      </c>
      <c r="G3603" t="s">
        <v>18</v>
      </c>
      <c r="H3603">
        <v>1</v>
      </c>
      <c r="I3603" t="s">
        <v>19</v>
      </c>
      <c r="J3603">
        <v>269</v>
      </c>
      <c r="K3603" t="s">
        <v>75</v>
      </c>
      <c r="L3603" s="13">
        <v>42697</v>
      </c>
      <c r="M3603" t="s">
        <v>76</v>
      </c>
      <c r="N3603" t="s">
        <v>2435</v>
      </c>
      <c r="O3603">
        <v>18.52</v>
      </c>
      <c r="P3603" t="s">
        <v>565</v>
      </c>
    </row>
    <row r="3604" spans="1:16" x14ac:dyDescent="0.4">
      <c r="A3604" t="s">
        <v>15</v>
      </c>
      <c r="B3604" t="s">
        <v>16</v>
      </c>
      <c r="C3604" s="13">
        <v>42370</v>
      </c>
      <c r="D3604" s="13">
        <v>42735</v>
      </c>
      <c r="E3604" t="s">
        <v>17</v>
      </c>
      <c r="F3604">
        <v>1</v>
      </c>
      <c r="G3604" t="s">
        <v>18</v>
      </c>
      <c r="H3604">
        <v>1</v>
      </c>
      <c r="I3604" t="s">
        <v>19</v>
      </c>
      <c r="J3604">
        <v>401</v>
      </c>
      <c r="K3604" t="s">
        <v>476</v>
      </c>
      <c r="L3604" s="13">
        <v>42735</v>
      </c>
      <c r="M3604" t="s">
        <v>2583</v>
      </c>
      <c r="N3604" t="s">
        <v>46</v>
      </c>
      <c r="O3604">
        <v>1212.42</v>
      </c>
      <c r="P3604" t="s">
        <v>1444</v>
      </c>
    </row>
    <row r="3605" spans="1:16" x14ac:dyDescent="0.4">
      <c r="A3605" t="s">
        <v>15</v>
      </c>
      <c r="B3605" t="s">
        <v>16</v>
      </c>
      <c r="C3605" s="13">
        <v>42370</v>
      </c>
      <c r="D3605" s="13">
        <v>42735</v>
      </c>
      <c r="E3605" t="s">
        <v>17</v>
      </c>
      <c r="F3605">
        <v>1</v>
      </c>
      <c r="G3605" t="s">
        <v>18</v>
      </c>
      <c r="H3605">
        <v>1</v>
      </c>
      <c r="I3605" t="s">
        <v>19</v>
      </c>
      <c r="J3605">
        <v>441</v>
      </c>
      <c r="K3605" t="s">
        <v>268</v>
      </c>
      <c r="L3605" s="13">
        <v>42370</v>
      </c>
      <c r="M3605" t="s">
        <v>2591</v>
      </c>
      <c r="N3605" t="s">
        <v>2343</v>
      </c>
      <c r="O3605">
        <v>1997.98</v>
      </c>
      <c r="P3605" t="s">
        <v>2592</v>
      </c>
    </row>
    <row r="3606" spans="1:16" x14ac:dyDescent="0.4">
      <c r="A3606" t="s">
        <v>15</v>
      </c>
      <c r="B3606" t="s">
        <v>16</v>
      </c>
      <c r="C3606" s="13">
        <v>42370</v>
      </c>
      <c r="D3606" s="13">
        <v>42735</v>
      </c>
      <c r="E3606" t="s">
        <v>17</v>
      </c>
      <c r="F3606">
        <v>1</v>
      </c>
      <c r="G3606" t="s">
        <v>18</v>
      </c>
      <c r="H3606">
        <v>1</v>
      </c>
      <c r="I3606" t="s">
        <v>19</v>
      </c>
      <c r="J3606">
        <v>706</v>
      </c>
      <c r="K3606" t="s">
        <v>365</v>
      </c>
      <c r="L3606" s="13">
        <v>42735</v>
      </c>
      <c r="M3606" t="s">
        <v>2593</v>
      </c>
      <c r="N3606" t="s">
        <v>46</v>
      </c>
      <c r="O3606">
        <v>49.18</v>
      </c>
      <c r="P3606" t="s">
        <v>46</v>
      </c>
    </row>
    <row r="3607" spans="1:16" x14ac:dyDescent="0.4">
      <c r="A3607" t="s">
        <v>15</v>
      </c>
      <c r="B3607" t="s">
        <v>16</v>
      </c>
      <c r="C3607" s="13">
        <v>42370</v>
      </c>
      <c r="D3607" s="13">
        <v>42735</v>
      </c>
      <c r="E3607" t="s">
        <v>30</v>
      </c>
      <c r="F3607">
        <v>1</v>
      </c>
      <c r="G3607" t="s">
        <v>18</v>
      </c>
      <c r="H3607">
        <v>1</v>
      </c>
      <c r="I3607" t="s">
        <v>19</v>
      </c>
      <c r="J3607">
        <v>793</v>
      </c>
      <c r="K3607" t="s">
        <v>2594</v>
      </c>
      <c r="L3607" s="13">
        <v>42390</v>
      </c>
      <c r="M3607" t="s">
        <v>2595</v>
      </c>
      <c r="N3607" t="s">
        <v>2596</v>
      </c>
      <c r="O3607">
        <v>145.29</v>
      </c>
      <c r="P3607" t="s">
        <v>280</v>
      </c>
    </row>
    <row r="3608" spans="1:16" x14ac:dyDescent="0.4">
      <c r="A3608" t="s">
        <v>15</v>
      </c>
      <c r="B3608" t="s">
        <v>16</v>
      </c>
      <c r="C3608" s="13">
        <v>42370</v>
      </c>
      <c r="D3608" s="13">
        <v>42735</v>
      </c>
      <c r="E3608" t="s">
        <v>17</v>
      </c>
      <c r="F3608">
        <v>1</v>
      </c>
      <c r="G3608" t="s">
        <v>18</v>
      </c>
      <c r="H3608">
        <v>1</v>
      </c>
      <c r="I3608" t="s">
        <v>19</v>
      </c>
      <c r="J3608">
        <v>891</v>
      </c>
      <c r="K3608" t="s">
        <v>377</v>
      </c>
      <c r="L3608" s="13">
        <v>42735</v>
      </c>
      <c r="M3608" t="s">
        <v>2576</v>
      </c>
      <c r="N3608" t="s">
        <v>46</v>
      </c>
      <c r="O3608">
        <v>5555.27</v>
      </c>
      <c r="P3608" t="s">
        <v>1444</v>
      </c>
    </row>
    <row r="3609" spans="1:16" x14ac:dyDescent="0.4">
      <c r="A3609" t="s">
        <v>15</v>
      </c>
      <c r="B3609" t="s">
        <v>16</v>
      </c>
      <c r="C3609" s="13">
        <v>42370</v>
      </c>
      <c r="D3609" s="13">
        <v>42735</v>
      </c>
      <c r="E3609" t="s">
        <v>17</v>
      </c>
      <c r="F3609">
        <v>1</v>
      </c>
      <c r="G3609" t="s">
        <v>18</v>
      </c>
      <c r="H3609">
        <v>1</v>
      </c>
      <c r="I3609" t="s">
        <v>19</v>
      </c>
      <c r="J3609">
        <v>909</v>
      </c>
      <c r="K3609" t="s">
        <v>2584</v>
      </c>
      <c r="L3609" s="13">
        <v>42735</v>
      </c>
      <c r="M3609" t="s">
        <v>2424</v>
      </c>
      <c r="N3609" t="s">
        <v>2425</v>
      </c>
      <c r="O3609">
        <v>5142.5</v>
      </c>
      <c r="P3609" t="s">
        <v>46</v>
      </c>
    </row>
    <row r="3610" spans="1:16" x14ac:dyDescent="0.4">
      <c r="A3610" t="s">
        <v>15</v>
      </c>
      <c r="B3610" t="s">
        <v>16</v>
      </c>
      <c r="C3610" s="13">
        <v>42370</v>
      </c>
      <c r="D3610" s="13">
        <v>42735</v>
      </c>
      <c r="E3610" t="s">
        <v>17</v>
      </c>
      <c r="F3610">
        <v>3</v>
      </c>
      <c r="G3610" t="s">
        <v>18</v>
      </c>
      <c r="H3610">
        <v>1</v>
      </c>
      <c r="I3610" t="s">
        <v>19</v>
      </c>
      <c r="J3610">
        <v>242</v>
      </c>
      <c r="K3610" t="s">
        <v>348</v>
      </c>
      <c r="L3610" s="13">
        <v>42735</v>
      </c>
      <c r="M3610" t="s">
        <v>2566</v>
      </c>
      <c r="N3610" t="s">
        <v>45</v>
      </c>
      <c r="O3610">
        <v>108.12</v>
      </c>
      <c r="P3610" t="s">
        <v>46</v>
      </c>
    </row>
    <row r="3611" spans="1:16" x14ac:dyDescent="0.4">
      <c r="A3611" t="s">
        <v>15</v>
      </c>
      <c r="B3611" t="s">
        <v>16</v>
      </c>
      <c r="C3611" s="13">
        <v>42370</v>
      </c>
      <c r="D3611" s="13">
        <v>42735</v>
      </c>
      <c r="E3611" t="s">
        <v>17</v>
      </c>
      <c r="F3611">
        <v>3</v>
      </c>
      <c r="G3611" t="s">
        <v>18</v>
      </c>
      <c r="H3611">
        <v>1</v>
      </c>
      <c r="I3611" t="s">
        <v>19</v>
      </c>
      <c r="J3611">
        <v>269</v>
      </c>
      <c r="K3611" t="s">
        <v>75</v>
      </c>
      <c r="L3611" s="13">
        <v>42391</v>
      </c>
      <c r="M3611" t="s">
        <v>76</v>
      </c>
      <c r="N3611" t="s">
        <v>2431</v>
      </c>
      <c r="O3611">
        <v>24.23</v>
      </c>
      <c r="P3611" t="s">
        <v>565</v>
      </c>
    </row>
    <row r="3612" spans="1:16" x14ac:dyDescent="0.4">
      <c r="A3612" t="s">
        <v>15</v>
      </c>
      <c r="B3612" t="s">
        <v>16</v>
      </c>
      <c r="C3612" s="13">
        <v>42370</v>
      </c>
      <c r="D3612" s="13">
        <v>42735</v>
      </c>
      <c r="E3612" t="s">
        <v>17</v>
      </c>
      <c r="F3612">
        <v>3</v>
      </c>
      <c r="G3612" t="s">
        <v>18</v>
      </c>
      <c r="H3612">
        <v>1</v>
      </c>
      <c r="I3612" t="s">
        <v>19</v>
      </c>
      <c r="J3612">
        <v>269</v>
      </c>
      <c r="K3612" t="s">
        <v>75</v>
      </c>
      <c r="L3612" s="13">
        <v>42514</v>
      </c>
      <c r="M3612" t="s">
        <v>76</v>
      </c>
      <c r="N3612" t="s">
        <v>2432</v>
      </c>
      <c r="O3612">
        <v>16.82</v>
      </c>
      <c r="P3612" t="s">
        <v>565</v>
      </c>
    </row>
    <row r="3613" spans="1:16" x14ac:dyDescent="0.4">
      <c r="A3613" t="s">
        <v>15</v>
      </c>
      <c r="B3613" t="s">
        <v>16</v>
      </c>
      <c r="C3613" s="13">
        <v>42370</v>
      </c>
      <c r="D3613" s="13">
        <v>42735</v>
      </c>
      <c r="E3613" t="s">
        <v>17</v>
      </c>
      <c r="F3613">
        <v>3</v>
      </c>
      <c r="G3613" t="s">
        <v>18</v>
      </c>
      <c r="H3613">
        <v>1</v>
      </c>
      <c r="I3613" t="s">
        <v>19</v>
      </c>
      <c r="J3613">
        <v>269</v>
      </c>
      <c r="K3613" t="s">
        <v>75</v>
      </c>
      <c r="L3613" s="13">
        <v>42573</v>
      </c>
      <c r="M3613" t="s">
        <v>76</v>
      </c>
      <c r="N3613" t="s">
        <v>2433</v>
      </c>
      <c r="O3613">
        <v>12.5</v>
      </c>
      <c r="P3613" t="s">
        <v>565</v>
      </c>
    </row>
    <row r="3614" spans="1:16" x14ac:dyDescent="0.4">
      <c r="A3614" t="s">
        <v>15</v>
      </c>
      <c r="B3614" t="s">
        <v>16</v>
      </c>
      <c r="C3614" s="13">
        <v>42370</v>
      </c>
      <c r="D3614" s="13">
        <v>42735</v>
      </c>
      <c r="E3614" t="s">
        <v>17</v>
      </c>
      <c r="F3614">
        <v>3</v>
      </c>
      <c r="G3614" t="s">
        <v>18</v>
      </c>
      <c r="H3614">
        <v>1</v>
      </c>
      <c r="I3614" t="s">
        <v>19</v>
      </c>
      <c r="J3614">
        <v>269</v>
      </c>
      <c r="K3614" t="s">
        <v>75</v>
      </c>
      <c r="L3614" s="13">
        <v>42637</v>
      </c>
      <c r="M3614" t="s">
        <v>76</v>
      </c>
      <c r="N3614" t="s">
        <v>2434</v>
      </c>
      <c r="O3614">
        <v>48.51</v>
      </c>
      <c r="P3614" t="s">
        <v>565</v>
      </c>
    </row>
    <row r="3615" spans="1:16" x14ac:dyDescent="0.4">
      <c r="A3615" t="s">
        <v>15</v>
      </c>
      <c r="B3615" t="s">
        <v>16</v>
      </c>
      <c r="C3615" s="13">
        <v>42370</v>
      </c>
      <c r="D3615" s="13">
        <v>42735</v>
      </c>
      <c r="E3615" t="s">
        <v>17</v>
      </c>
      <c r="F3615">
        <v>3</v>
      </c>
      <c r="G3615" t="s">
        <v>18</v>
      </c>
      <c r="H3615">
        <v>1</v>
      </c>
      <c r="I3615" t="s">
        <v>19</v>
      </c>
      <c r="J3615">
        <v>269</v>
      </c>
      <c r="K3615" t="s">
        <v>75</v>
      </c>
      <c r="L3615" s="13">
        <v>42697</v>
      </c>
      <c r="M3615" t="s">
        <v>76</v>
      </c>
      <c r="N3615" t="s">
        <v>2435</v>
      </c>
      <c r="O3615">
        <v>18.149999999999999</v>
      </c>
      <c r="P3615" t="s">
        <v>565</v>
      </c>
    </row>
    <row r="3616" spans="1:16" x14ac:dyDescent="0.4">
      <c r="A3616" t="s">
        <v>15</v>
      </c>
      <c r="B3616" t="s">
        <v>16</v>
      </c>
      <c r="C3616" s="13">
        <v>42370</v>
      </c>
      <c r="D3616" s="13">
        <v>42735</v>
      </c>
      <c r="E3616" t="s">
        <v>17</v>
      </c>
      <c r="F3616">
        <v>3</v>
      </c>
      <c r="G3616" t="s">
        <v>18</v>
      </c>
      <c r="H3616">
        <v>1</v>
      </c>
      <c r="I3616" t="s">
        <v>19</v>
      </c>
      <c r="J3616">
        <v>441</v>
      </c>
      <c r="K3616" t="s">
        <v>268</v>
      </c>
      <c r="L3616" s="13">
        <v>42374</v>
      </c>
      <c r="M3616" t="s">
        <v>2597</v>
      </c>
      <c r="N3616" t="s">
        <v>2598</v>
      </c>
      <c r="O3616">
        <v>4060</v>
      </c>
      <c r="P3616" t="s">
        <v>494</v>
      </c>
    </row>
    <row r="3617" spans="1:16" x14ac:dyDescent="0.4">
      <c r="A3617" t="s">
        <v>15</v>
      </c>
      <c r="B3617" t="s">
        <v>16</v>
      </c>
      <c r="C3617" s="13">
        <v>42370</v>
      </c>
      <c r="D3617" s="13">
        <v>42735</v>
      </c>
      <c r="E3617" t="s">
        <v>17</v>
      </c>
      <c r="F3617">
        <v>3</v>
      </c>
      <c r="G3617" t="s">
        <v>18</v>
      </c>
      <c r="H3617">
        <v>1</v>
      </c>
      <c r="I3617" t="s">
        <v>19</v>
      </c>
      <c r="J3617">
        <v>706</v>
      </c>
      <c r="K3617" t="s">
        <v>365</v>
      </c>
      <c r="L3617" s="13">
        <v>42735</v>
      </c>
      <c r="M3617" t="s">
        <v>2593</v>
      </c>
      <c r="N3617" t="s">
        <v>46</v>
      </c>
      <c r="O3617">
        <v>49.18</v>
      </c>
      <c r="P3617" t="s">
        <v>46</v>
      </c>
    </row>
    <row r="3618" spans="1:16" x14ac:dyDescent="0.4">
      <c r="A3618" t="s">
        <v>15</v>
      </c>
      <c r="B3618" t="s">
        <v>16</v>
      </c>
      <c r="C3618" s="13">
        <v>42370</v>
      </c>
      <c r="D3618" s="13">
        <v>42735</v>
      </c>
      <c r="E3618" t="s">
        <v>17</v>
      </c>
      <c r="F3618">
        <v>3</v>
      </c>
      <c r="G3618" t="s">
        <v>18</v>
      </c>
      <c r="H3618">
        <v>1</v>
      </c>
      <c r="I3618" t="s">
        <v>19</v>
      </c>
      <c r="J3618">
        <v>883</v>
      </c>
      <c r="K3618" t="s">
        <v>371</v>
      </c>
      <c r="L3618" s="13">
        <v>42735</v>
      </c>
      <c r="M3618" t="s">
        <v>2599</v>
      </c>
      <c r="N3618" t="s">
        <v>376</v>
      </c>
      <c r="O3618">
        <v>48.48</v>
      </c>
      <c r="P3618" t="s">
        <v>46</v>
      </c>
    </row>
    <row r="3619" spans="1:16" x14ac:dyDescent="0.4">
      <c r="A3619" t="s">
        <v>15</v>
      </c>
      <c r="B3619" t="s">
        <v>16</v>
      </c>
      <c r="C3619" s="13">
        <v>42370</v>
      </c>
      <c r="D3619" s="13">
        <v>42735</v>
      </c>
      <c r="E3619" t="s">
        <v>17</v>
      </c>
      <c r="F3619">
        <v>3</v>
      </c>
      <c r="G3619" t="s">
        <v>18</v>
      </c>
      <c r="H3619">
        <v>1</v>
      </c>
      <c r="I3619" t="s">
        <v>19</v>
      </c>
      <c r="J3619">
        <v>891</v>
      </c>
      <c r="K3619" t="s">
        <v>377</v>
      </c>
      <c r="L3619" s="13">
        <v>42735</v>
      </c>
      <c r="M3619" t="s">
        <v>2576</v>
      </c>
      <c r="N3619" t="s">
        <v>46</v>
      </c>
      <c r="O3619">
        <v>4660.34</v>
      </c>
      <c r="P3619" t="s">
        <v>1444</v>
      </c>
    </row>
    <row r="3620" spans="1:16" x14ac:dyDescent="0.4">
      <c r="A3620" t="s">
        <v>15</v>
      </c>
      <c r="B3620" t="s">
        <v>16</v>
      </c>
      <c r="C3620" s="13">
        <v>42370</v>
      </c>
      <c r="D3620" s="13">
        <v>42735</v>
      </c>
      <c r="E3620" t="s">
        <v>17</v>
      </c>
      <c r="F3620">
        <v>5</v>
      </c>
      <c r="G3620" t="s">
        <v>501</v>
      </c>
      <c r="H3620">
        <v>40</v>
      </c>
      <c r="I3620" t="s">
        <v>501</v>
      </c>
      <c r="J3620">
        <v>264</v>
      </c>
      <c r="K3620" t="s">
        <v>502</v>
      </c>
      <c r="L3620" s="13">
        <v>42391</v>
      </c>
      <c r="M3620" t="s">
        <v>76</v>
      </c>
      <c r="N3620" t="s">
        <v>2431</v>
      </c>
      <c r="O3620">
        <v>25.22</v>
      </c>
      <c r="P3620" t="s">
        <v>565</v>
      </c>
    </row>
    <row r="3621" spans="1:16" x14ac:dyDescent="0.4">
      <c r="A3621" t="s">
        <v>15</v>
      </c>
      <c r="B3621" t="s">
        <v>16</v>
      </c>
      <c r="C3621" s="13">
        <v>42370</v>
      </c>
      <c r="D3621" s="13">
        <v>42735</v>
      </c>
      <c r="E3621" t="s">
        <v>17</v>
      </c>
      <c r="F3621">
        <v>5</v>
      </c>
      <c r="G3621" t="s">
        <v>501</v>
      </c>
      <c r="H3621">
        <v>40</v>
      </c>
      <c r="I3621" t="s">
        <v>501</v>
      </c>
      <c r="J3621">
        <v>264</v>
      </c>
      <c r="K3621" t="s">
        <v>502</v>
      </c>
      <c r="L3621" s="13">
        <v>42514</v>
      </c>
      <c r="M3621" t="s">
        <v>76</v>
      </c>
      <c r="N3621" t="s">
        <v>2432</v>
      </c>
      <c r="O3621">
        <v>17.489999999999998</v>
      </c>
      <c r="P3621" t="s">
        <v>565</v>
      </c>
    </row>
    <row r="3622" spans="1:16" x14ac:dyDescent="0.4">
      <c r="A3622" t="s">
        <v>15</v>
      </c>
      <c r="B3622" t="s">
        <v>16</v>
      </c>
      <c r="C3622" s="13">
        <v>42370</v>
      </c>
      <c r="D3622" s="13">
        <v>42735</v>
      </c>
      <c r="E3622" t="s">
        <v>17</v>
      </c>
      <c r="F3622">
        <v>5</v>
      </c>
      <c r="G3622" t="s">
        <v>501</v>
      </c>
      <c r="H3622">
        <v>40</v>
      </c>
      <c r="I3622" t="s">
        <v>501</v>
      </c>
      <c r="J3622">
        <v>264</v>
      </c>
      <c r="K3622" t="s">
        <v>502</v>
      </c>
      <c r="L3622" s="13">
        <v>42573</v>
      </c>
      <c r="M3622" t="s">
        <v>76</v>
      </c>
      <c r="N3622" t="s">
        <v>2433</v>
      </c>
      <c r="O3622">
        <v>13</v>
      </c>
      <c r="P3622" t="s">
        <v>565</v>
      </c>
    </row>
    <row r="3623" spans="1:16" x14ac:dyDescent="0.4">
      <c r="A3623" t="s">
        <v>15</v>
      </c>
      <c r="B3623" t="s">
        <v>16</v>
      </c>
      <c r="C3623" s="13">
        <v>42370</v>
      </c>
      <c r="D3623" s="13">
        <v>42735</v>
      </c>
      <c r="E3623" t="s">
        <v>17</v>
      </c>
      <c r="F3623">
        <v>5</v>
      </c>
      <c r="G3623" t="s">
        <v>501</v>
      </c>
      <c r="H3623">
        <v>40</v>
      </c>
      <c r="I3623" t="s">
        <v>501</v>
      </c>
      <c r="J3623">
        <v>264</v>
      </c>
      <c r="K3623" t="s">
        <v>502</v>
      </c>
      <c r="L3623" s="13">
        <v>42637</v>
      </c>
      <c r="M3623" t="s">
        <v>76</v>
      </c>
      <c r="N3623" t="s">
        <v>2434</v>
      </c>
      <c r="O3623">
        <v>50.47</v>
      </c>
      <c r="P3623" t="s">
        <v>565</v>
      </c>
    </row>
    <row r="3624" spans="1:16" x14ac:dyDescent="0.4">
      <c r="A3624" t="s">
        <v>15</v>
      </c>
      <c r="B3624" t="s">
        <v>16</v>
      </c>
      <c r="C3624" s="13">
        <v>42370</v>
      </c>
      <c r="D3624" s="13">
        <v>42735</v>
      </c>
      <c r="E3624" t="s">
        <v>17</v>
      </c>
      <c r="F3624">
        <v>5</v>
      </c>
      <c r="G3624" t="s">
        <v>501</v>
      </c>
      <c r="H3624">
        <v>40</v>
      </c>
      <c r="I3624" t="s">
        <v>501</v>
      </c>
      <c r="J3624">
        <v>264</v>
      </c>
      <c r="K3624" t="s">
        <v>502</v>
      </c>
      <c r="L3624" s="13">
        <v>42697</v>
      </c>
      <c r="M3624" t="s">
        <v>76</v>
      </c>
      <c r="N3624" t="s">
        <v>2435</v>
      </c>
      <c r="O3624">
        <v>18.899999999999999</v>
      </c>
      <c r="P3624" t="s">
        <v>565</v>
      </c>
    </row>
    <row r="3625" spans="1:16" x14ac:dyDescent="0.4">
      <c r="A3625" t="s">
        <v>15</v>
      </c>
      <c r="B3625" t="s">
        <v>16</v>
      </c>
      <c r="C3625" s="13">
        <v>42370</v>
      </c>
      <c r="D3625" s="13">
        <v>42735</v>
      </c>
      <c r="E3625" t="s">
        <v>17</v>
      </c>
      <c r="F3625">
        <v>5</v>
      </c>
      <c r="G3625" t="s">
        <v>501</v>
      </c>
      <c r="H3625">
        <v>40</v>
      </c>
      <c r="I3625" t="s">
        <v>501</v>
      </c>
      <c r="J3625">
        <v>367</v>
      </c>
      <c r="K3625" t="s">
        <v>503</v>
      </c>
      <c r="L3625" s="13">
        <v>42683</v>
      </c>
      <c r="M3625" t="s">
        <v>2600</v>
      </c>
      <c r="N3625" t="s">
        <v>2601</v>
      </c>
      <c r="O3625">
        <v>357.6</v>
      </c>
      <c r="P3625" t="s">
        <v>2602</v>
      </c>
    </row>
    <row r="3626" spans="1:16" x14ac:dyDescent="0.4">
      <c r="A3626" t="s">
        <v>15</v>
      </c>
      <c r="B3626" t="s">
        <v>16</v>
      </c>
      <c r="C3626" s="13">
        <v>42370</v>
      </c>
      <c r="D3626" s="13">
        <v>42735</v>
      </c>
      <c r="E3626" t="s">
        <v>17</v>
      </c>
      <c r="F3626">
        <v>5</v>
      </c>
      <c r="G3626" t="s">
        <v>501</v>
      </c>
      <c r="H3626">
        <v>40</v>
      </c>
      <c r="I3626" t="s">
        <v>501</v>
      </c>
      <c r="J3626">
        <v>741</v>
      </c>
      <c r="K3626" t="s">
        <v>505</v>
      </c>
      <c r="L3626" s="13">
        <v>42382</v>
      </c>
      <c r="M3626" t="s">
        <v>2603</v>
      </c>
      <c r="N3626" t="s">
        <v>2604</v>
      </c>
      <c r="O3626">
        <v>42.6</v>
      </c>
      <c r="P3626" t="s">
        <v>2605</v>
      </c>
    </row>
    <row r="3627" spans="1:16" x14ac:dyDescent="0.4">
      <c r="A3627" t="s">
        <v>15</v>
      </c>
      <c r="B3627" t="s">
        <v>16</v>
      </c>
      <c r="C3627" s="13">
        <v>42370</v>
      </c>
      <c r="D3627" s="13">
        <v>42735</v>
      </c>
      <c r="E3627" t="s">
        <v>17</v>
      </c>
      <c r="F3627">
        <v>5</v>
      </c>
      <c r="G3627" t="s">
        <v>501</v>
      </c>
      <c r="H3627">
        <v>40</v>
      </c>
      <c r="I3627" t="s">
        <v>501</v>
      </c>
      <c r="J3627">
        <v>741</v>
      </c>
      <c r="K3627" t="s">
        <v>505</v>
      </c>
      <c r="L3627" s="13">
        <v>42444</v>
      </c>
      <c r="M3627" t="s">
        <v>2603</v>
      </c>
      <c r="N3627" t="s">
        <v>2604</v>
      </c>
      <c r="O3627">
        <v>42.6</v>
      </c>
      <c r="P3627" t="s">
        <v>2605</v>
      </c>
    </row>
    <row r="3628" spans="1:16" x14ac:dyDescent="0.4">
      <c r="A3628" t="s">
        <v>15</v>
      </c>
      <c r="B3628" t="s">
        <v>16</v>
      </c>
      <c r="C3628" s="13">
        <v>42370</v>
      </c>
      <c r="D3628" s="13">
        <v>42735</v>
      </c>
      <c r="E3628" t="s">
        <v>17</v>
      </c>
      <c r="F3628">
        <v>5</v>
      </c>
      <c r="G3628" t="s">
        <v>501</v>
      </c>
      <c r="H3628">
        <v>40</v>
      </c>
      <c r="I3628" t="s">
        <v>501</v>
      </c>
      <c r="J3628">
        <v>741</v>
      </c>
      <c r="K3628" t="s">
        <v>505</v>
      </c>
      <c r="L3628" s="13">
        <v>42503</v>
      </c>
      <c r="M3628" t="s">
        <v>2603</v>
      </c>
      <c r="N3628" t="s">
        <v>2604</v>
      </c>
      <c r="O3628">
        <v>42.6</v>
      </c>
      <c r="P3628" t="s">
        <v>2605</v>
      </c>
    </row>
    <row r="3629" spans="1:16" x14ac:dyDescent="0.4">
      <c r="A3629" t="s">
        <v>15</v>
      </c>
      <c r="B3629" t="s">
        <v>16</v>
      </c>
      <c r="C3629" s="13">
        <v>42370</v>
      </c>
      <c r="D3629" s="13">
        <v>42735</v>
      </c>
      <c r="E3629" t="s">
        <v>17</v>
      </c>
      <c r="F3629">
        <v>5</v>
      </c>
      <c r="G3629" t="s">
        <v>501</v>
      </c>
      <c r="H3629">
        <v>40</v>
      </c>
      <c r="I3629" t="s">
        <v>501</v>
      </c>
      <c r="J3629">
        <v>741</v>
      </c>
      <c r="K3629" t="s">
        <v>505</v>
      </c>
      <c r="L3629" s="13">
        <v>42564</v>
      </c>
      <c r="M3629" t="s">
        <v>2603</v>
      </c>
      <c r="N3629" t="s">
        <v>2604</v>
      </c>
      <c r="O3629">
        <v>45.16</v>
      </c>
      <c r="P3629" t="s">
        <v>2605</v>
      </c>
    </row>
    <row r="3630" spans="1:16" x14ac:dyDescent="0.4">
      <c r="A3630" t="s">
        <v>15</v>
      </c>
      <c r="B3630" t="s">
        <v>16</v>
      </c>
      <c r="C3630" s="13">
        <v>42370</v>
      </c>
      <c r="D3630" s="13">
        <v>42735</v>
      </c>
      <c r="E3630" t="s">
        <v>17</v>
      </c>
      <c r="F3630">
        <v>5</v>
      </c>
      <c r="G3630" t="s">
        <v>501</v>
      </c>
      <c r="H3630">
        <v>40</v>
      </c>
      <c r="I3630" t="s">
        <v>501</v>
      </c>
      <c r="J3630">
        <v>741</v>
      </c>
      <c r="K3630" t="s">
        <v>505</v>
      </c>
      <c r="L3630" s="13">
        <v>42584</v>
      </c>
      <c r="M3630" t="s">
        <v>2603</v>
      </c>
      <c r="N3630" t="s">
        <v>2604</v>
      </c>
      <c r="O3630">
        <v>-40.81</v>
      </c>
      <c r="P3630" t="s">
        <v>2605</v>
      </c>
    </row>
    <row r="3631" spans="1:16" x14ac:dyDescent="0.4">
      <c r="A3631" t="s">
        <v>15</v>
      </c>
      <c r="B3631" t="s">
        <v>16</v>
      </c>
      <c r="C3631" s="13">
        <v>42370</v>
      </c>
      <c r="D3631" s="13">
        <v>42735</v>
      </c>
      <c r="E3631" t="s">
        <v>17</v>
      </c>
      <c r="F3631">
        <v>5</v>
      </c>
      <c r="G3631" t="s">
        <v>501</v>
      </c>
      <c r="H3631">
        <v>40</v>
      </c>
      <c r="I3631" t="s">
        <v>501</v>
      </c>
      <c r="J3631">
        <v>741</v>
      </c>
      <c r="K3631" t="s">
        <v>505</v>
      </c>
      <c r="L3631" s="13">
        <v>42704</v>
      </c>
      <c r="M3631" t="s">
        <v>2606</v>
      </c>
      <c r="N3631" t="s">
        <v>2607</v>
      </c>
      <c r="O3631">
        <v>50.52</v>
      </c>
      <c r="P3631" t="s">
        <v>508</v>
      </c>
    </row>
    <row r="3632" spans="1:16" x14ac:dyDescent="0.4">
      <c r="A3632" t="s">
        <v>15</v>
      </c>
      <c r="B3632" t="s">
        <v>16</v>
      </c>
      <c r="C3632" s="13">
        <v>42370</v>
      </c>
      <c r="D3632" s="13">
        <v>42735</v>
      </c>
      <c r="E3632" t="s">
        <v>17</v>
      </c>
      <c r="F3632">
        <v>5</v>
      </c>
      <c r="G3632" t="s">
        <v>501</v>
      </c>
      <c r="H3632">
        <v>40</v>
      </c>
      <c r="I3632" t="s">
        <v>501</v>
      </c>
      <c r="J3632">
        <v>741</v>
      </c>
      <c r="K3632" t="s">
        <v>505</v>
      </c>
      <c r="L3632" s="13">
        <v>42726</v>
      </c>
      <c r="M3632" t="s">
        <v>2608</v>
      </c>
      <c r="N3632" t="s">
        <v>2609</v>
      </c>
      <c r="O3632">
        <v>12.3</v>
      </c>
      <c r="P3632" t="s">
        <v>508</v>
      </c>
    </row>
    <row r="3633" spans="1:16" x14ac:dyDescent="0.4">
      <c r="A3633" t="s">
        <v>15</v>
      </c>
      <c r="B3633" t="s">
        <v>16</v>
      </c>
      <c r="C3633" s="13">
        <v>42370</v>
      </c>
      <c r="D3633" s="13">
        <v>42735</v>
      </c>
      <c r="E3633" t="s">
        <v>17</v>
      </c>
      <c r="F3633">
        <v>5</v>
      </c>
      <c r="G3633" t="s">
        <v>501</v>
      </c>
      <c r="H3633">
        <v>40</v>
      </c>
      <c r="I3633" t="s">
        <v>501</v>
      </c>
      <c r="J3633">
        <v>801</v>
      </c>
      <c r="K3633" t="s">
        <v>511</v>
      </c>
      <c r="L3633" s="13">
        <v>42370</v>
      </c>
      <c r="M3633" t="s">
        <v>2610</v>
      </c>
      <c r="N3633" t="s">
        <v>2611</v>
      </c>
      <c r="O3633">
        <v>247.48</v>
      </c>
      <c r="P3633" t="s">
        <v>508</v>
      </c>
    </row>
    <row r="3634" spans="1:16" x14ac:dyDescent="0.4">
      <c r="A3634" t="s">
        <v>15</v>
      </c>
      <c r="B3634" t="s">
        <v>16</v>
      </c>
      <c r="C3634" s="13">
        <v>42370</v>
      </c>
      <c r="D3634" s="13">
        <v>42735</v>
      </c>
      <c r="E3634" t="s">
        <v>17</v>
      </c>
      <c r="F3634">
        <v>5</v>
      </c>
      <c r="G3634" t="s">
        <v>501</v>
      </c>
      <c r="H3634">
        <v>40</v>
      </c>
      <c r="I3634" t="s">
        <v>501</v>
      </c>
      <c r="J3634">
        <v>801</v>
      </c>
      <c r="K3634" t="s">
        <v>511</v>
      </c>
      <c r="L3634" s="13">
        <v>42461</v>
      </c>
      <c r="M3634" t="s">
        <v>2612</v>
      </c>
      <c r="N3634" t="s">
        <v>2613</v>
      </c>
      <c r="O3634">
        <v>247.48</v>
      </c>
      <c r="P3634" t="s">
        <v>508</v>
      </c>
    </row>
    <row r="3635" spans="1:16" x14ac:dyDescent="0.4">
      <c r="A3635" t="s">
        <v>15</v>
      </c>
      <c r="B3635" t="s">
        <v>16</v>
      </c>
      <c r="C3635" s="13">
        <v>42370</v>
      </c>
      <c r="D3635" s="13">
        <v>42735</v>
      </c>
      <c r="E3635" t="s">
        <v>17</v>
      </c>
      <c r="F3635">
        <v>5</v>
      </c>
      <c r="G3635" t="s">
        <v>501</v>
      </c>
      <c r="H3635">
        <v>40</v>
      </c>
      <c r="I3635" t="s">
        <v>501</v>
      </c>
      <c r="J3635">
        <v>801</v>
      </c>
      <c r="K3635" t="s">
        <v>511</v>
      </c>
      <c r="L3635" s="13">
        <v>42552</v>
      </c>
      <c r="M3635" t="s">
        <v>2614</v>
      </c>
      <c r="N3635" t="s">
        <v>2615</v>
      </c>
      <c r="O3635">
        <v>247.48</v>
      </c>
      <c r="P3635" t="s">
        <v>508</v>
      </c>
    </row>
    <row r="3636" spans="1:16" x14ac:dyDescent="0.4">
      <c r="A3636" t="s">
        <v>15</v>
      </c>
      <c r="B3636" t="s">
        <v>16</v>
      </c>
      <c r="C3636" s="13">
        <v>42370</v>
      </c>
      <c r="D3636" s="13">
        <v>42735</v>
      </c>
      <c r="E3636" t="s">
        <v>17</v>
      </c>
      <c r="F3636">
        <v>5</v>
      </c>
      <c r="G3636" t="s">
        <v>501</v>
      </c>
      <c r="H3636">
        <v>40</v>
      </c>
      <c r="I3636" t="s">
        <v>501</v>
      </c>
      <c r="J3636">
        <v>801</v>
      </c>
      <c r="K3636" t="s">
        <v>511</v>
      </c>
      <c r="L3636" s="13">
        <v>42644</v>
      </c>
      <c r="M3636" t="s">
        <v>2616</v>
      </c>
      <c r="N3636" t="s">
        <v>2617</v>
      </c>
      <c r="O3636">
        <v>247.48</v>
      </c>
      <c r="P3636" t="s">
        <v>508</v>
      </c>
    </row>
    <row r="3637" spans="1:16" x14ac:dyDescent="0.4">
      <c r="A3637" t="s">
        <v>15</v>
      </c>
      <c r="B3637" t="s">
        <v>16</v>
      </c>
      <c r="C3637" s="13">
        <v>42370</v>
      </c>
      <c r="D3637" s="13">
        <v>42735</v>
      </c>
      <c r="E3637" t="s">
        <v>17</v>
      </c>
      <c r="F3637">
        <v>5</v>
      </c>
      <c r="G3637" t="s">
        <v>501</v>
      </c>
      <c r="H3637">
        <v>40</v>
      </c>
      <c r="I3637" t="s">
        <v>501</v>
      </c>
      <c r="J3637">
        <v>805</v>
      </c>
      <c r="K3637" t="s">
        <v>520</v>
      </c>
      <c r="L3637" s="13">
        <v>42444</v>
      </c>
      <c r="M3637" t="s">
        <v>2618</v>
      </c>
      <c r="N3637" t="s">
        <v>2619</v>
      </c>
      <c r="O3637">
        <v>271.91000000000003</v>
      </c>
      <c r="P3637" t="s">
        <v>508</v>
      </c>
    </row>
    <row r="3638" spans="1:16" x14ac:dyDescent="0.4">
      <c r="A3638" t="s">
        <v>15</v>
      </c>
      <c r="B3638" t="s">
        <v>16</v>
      </c>
      <c r="C3638" s="13">
        <v>42370</v>
      </c>
      <c r="D3638" s="13">
        <v>42735</v>
      </c>
      <c r="E3638" t="s">
        <v>17</v>
      </c>
      <c r="F3638">
        <v>8</v>
      </c>
      <c r="G3638" t="s">
        <v>501</v>
      </c>
      <c r="H3638">
        <v>40</v>
      </c>
      <c r="I3638" t="s">
        <v>501</v>
      </c>
      <c r="J3638">
        <v>264</v>
      </c>
      <c r="K3638" t="s">
        <v>502</v>
      </c>
      <c r="L3638" s="13">
        <v>42391</v>
      </c>
      <c r="M3638" t="s">
        <v>76</v>
      </c>
      <c r="N3638" t="s">
        <v>2567</v>
      </c>
      <c r="O3638">
        <v>26.03</v>
      </c>
      <c r="P3638" t="s">
        <v>565</v>
      </c>
    </row>
    <row r="3639" spans="1:16" x14ac:dyDescent="0.4">
      <c r="A3639" t="s">
        <v>15</v>
      </c>
      <c r="B3639" t="s">
        <v>16</v>
      </c>
      <c r="C3639" s="13">
        <v>42370</v>
      </c>
      <c r="D3639" s="13">
        <v>42735</v>
      </c>
      <c r="E3639" t="s">
        <v>17</v>
      </c>
      <c r="F3639">
        <v>8</v>
      </c>
      <c r="G3639" t="s">
        <v>501</v>
      </c>
      <c r="H3639">
        <v>40</v>
      </c>
      <c r="I3639" t="s">
        <v>501</v>
      </c>
      <c r="J3639">
        <v>264</v>
      </c>
      <c r="K3639" t="s">
        <v>502</v>
      </c>
      <c r="L3639" s="13">
        <v>42452</v>
      </c>
      <c r="M3639" t="s">
        <v>76</v>
      </c>
      <c r="N3639" t="s">
        <v>2568</v>
      </c>
      <c r="O3639">
        <v>27.85</v>
      </c>
      <c r="P3639" t="s">
        <v>565</v>
      </c>
    </row>
    <row r="3640" spans="1:16" x14ac:dyDescent="0.4">
      <c r="A3640" t="s">
        <v>15</v>
      </c>
      <c r="B3640" t="s">
        <v>16</v>
      </c>
      <c r="C3640" s="13">
        <v>42370</v>
      </c>
      <c r="D3640" s="13">
        <v>42735</v>
      </c>
      <c r="E3640" t="s">
        <v>17</v>
      </c>
      <c r="F3640">
        <v>8</v>
      </c>
      <c r="G3640" t="s">
        <v>501</v>
      </c>
      <c r="H3640">
        <v>40</v>
      </c>
      <c r="I3640" t="s">
        <v>501</v>
      </c>
      <c r="J3640">
        <v>264</v>
      </c>
      <c r="K3640" t="s">
        <v>502</v>
      </c>
      <c r="L3640" s="13">
        <v>42514</v>
      </c>
      <c r="M3640" t="s">
        <v>76</v>
      </c>
      <c r="N3640" t="s">
        <v>2569</v>
      </c>
      <c r="O3640">
        <v>24.69</v>
      </c>
      <c r="P3640" t="s">
        <v>565</v>
      </c>
    </row>
    <row r="3641" spans="1:16" x14ac:dyDescent="0.4">
      <c r="A3641" t="s">
        <v>15</v>
      </c>
      <c r="B3641" t="s">
        <v>16</v>
      </c>
      <c r="C3641" s="13">
        <v>42370</v>
      </c>
      <c r="D3641" s="13">
        <v>42735</v>
      </c>
      <c r="E3641" t="s">
        <v>17</v>
      </c>
      <c r="F3641">
        <v>8</v>
      </c>
      <c r="G3641" t="s">
        <v>501</v>
      </c>
      <c r="H3641">
        <v>40</v>
      </c>
      <c r="I3641" t="s">
        <v>501</v>
      </c>
      <c r="J3641">
        <v>264</v>
      </c>
      <c r="K3641" t="s">
        <v>502</v>
      </c>
      <c r="L3641" s="13">
        <v>42573</v>
      </c>
      <c r="M3641" t="s">
        <v>76</v>
      </c>
      <c r="N3641" t="s">
        <v>2570</v>
      </c>
      <c r="O3641">
        <v>21.52</v>
      </c>
      <c r="P3641" t="s">
        <v>565</v>
      </c>
    </row>
    <row r="3642" spans="1:16" x14ac:dyDescent="0.4">
      <c r="A3642" t="s">
        <v>15</v>
      </c>
      <c r="B3642" t="s">
        <v>16</v>
      </c>
      <c r="C3642" s="13">
        <v>42370</v>
      </c>
      <c r="D3642" s="13">
        <v>42735</v>
      </c>
      <c r="E3642" t="s">
        <v>17</v>
      </c>
      <c r="F3642">
        <v>8</v>
      </c>
      <c r="G3642" t="s">
        <v>501</v>
      </c>
      <c r="H3642">
        <v>40</v>
      </c>
      <c r="I3642" t="s">
        <v>501</v>
      </c>
      <c r="J3642">
        <v>264</v>
      </c>
      <c r="K3642" t="s">
        <v>502</v>
      </c>
      <c r="L3642" s="13">
        <v>42637</v>
      </c>
      <c r="M3642" t="s">
        <v>76</v>
      </c>
      <c r="N3642" t="s">
        <v>2571</v>
      </c>
      <c r="O3642">
        <v>23.56</v>
      </c>
      <c r="P3642" t="s">
        <v>565</v>
      </c>
    </row>
    <row r="3643" spans="1:16" x14ac:dyDescent="0.4">
      <c r="A3643" t="s">
        <v>15</v>
      </c>
      <c r="B3643" t="s">
        <v>16</v>
      </c>
      <c r="C3643" s="13">
        <v>42370</v>
      </c>
      <c r="D3643" s="13">
        <v>42735</v>
      </c>
      <c r="E3643" t="s">
        <v>17</v>
      </c>
      <c r="F3643">
        <v>8</v>
      </c>
      <c r="G3643" t="s">
        <v>501</v>
      </c>
      <c r="H3643">
        <v>40</v>
      </c>
      <c r="I3643" t="s">
        <v>501</v>
      </c>
      <c r="J3643">
        <v>264</v>
      </c>
      <c r="K3643" t="s">
        <v>502</v>
      </c>
      <c r="L3643" s="13">
        <v>42697</v>
      </c>
      <c r="M3643" t="s">
        <v>76</v>
      </c>
      <c r="N3643" t="s">
        <v>2572</v>
      </c>
      <c r="O3643">
        <v>24.53</v>
      </c>
      <c r="P3643" t="s">
        <v>565</v>
      </c>
    </row>
    <row r="3644" spans="1:16" x14ac:dyDescent="0.4">
      <c r="A3644" t="s">
        <v>15</v>
      </c>
      <c r="B3644" t="s">
        <v>16</v>
      </c>
      <c r="C3644" s="13">
        <v>42370</v>
      </c>
      <c r="D3644" s="13">
        <v>42735</v>
      </c>
      <c r="E3644" t="s">
        <v>17</v>
      </c>
      <c r="F3644">
        <v>8</v>
      </c>
      <c r="G3644" t="s">
        <v>501</v>
      </c>
      <c r="H3644">
        <v>40</v>
      </c>
      <c r="I3644" t="s">
        <v>501</v>
      </c>
      <c r="J3644">
        <v>367</v>
      </c>
      <c r="K3644" t="s">
        <v>503</v>
      </c>
      <c r="L3644" s="13">
        <v>42683</v>
      </c>
      <c r="M3644" t="s">
        <v>2600</v>
      </c>
      <c r="N3644" t="s">
        <v>2601</v>
      </c>
      <c r="O3644">
        <v>357.6</v>
      </c>
      <c r="P3644" t="s">
        <v>2602</v>
      </c>
    </row>
    <row r="3645" spans="1:16" x14ac:dyDescent="0.4">
      <c r="A3645" t="s">
        <v>15</v>
      </c>
      <c r="B3645" t="s">
        <v>16</v>
      </c>
      <c r="C3645" s="13">
        <v>42370</v>
      </c>
      <c r="D3645" s="13">
        <v>42735</v>
      </c>
      <c r="E3645" t="s">
        <v>17</v>
      </c>
      <c r="F3645">
        <v>8</v>
      </c>
      <c r="G3645" t="s">
        <v>501</v>
      </c>
      <c r="H3645">
        <v>40</v>
      </c>
      <c r="I3645" t="s">
        <v>501</v>
      </c>
      <c r="J3645">
        <v>741</v>
      </c>
      <c r="K3645" t="s">
        <v>505</v>
      </c>
      <c r="L3645" s="13">
        <v>42704</v>
      </c>
      <c r="M3645" t="s">
        <v>2620</v>
      </c>
      <c r="N3645" t="s">
        <v>2621</v>
      </c>
      <c r="O3645">
        <v>75.52</v>
      </c>
      <c r="P3645" t="s">
        <v>508</v>
      </c>
    </row>
    <row r="3646" spans="1:16" x14ac:dyDescent="0.4">
      <c r="A3646" t="s">
        <v>15</v>
      </c>
      <c r="B3646" t="s">
        <v>16</v>
      </c>
      <c r="C3646" s="13">
        <v>42370</v>
      </c>
      <c r="D3646" s="13">
        <v>42735</v>
      </c>
      <c r="E3646" t="s">
        <v>17</v>
      </c>
      <c r="F3646">
        <v>8</v>
      </c>
      <c r="G3646" t="s">
        <v>501</v>
      </c>
      <c r="H3646">
        <v>40</v>
      </c>
      <c r="I3646" t="s">
        <v>501</v>
      </c>
      <c r="J3646">
        <v>741</v>
      </c>
      <c r="K3646" t="s">
        <v>505</v>
      </c>
      <c r="L3646" s="13">
        <v>42726</v>
      </c>
      <c r="M3646" t="s">
        <v>2608</v>
      </c>
      <c r="N3646" t="s">
        <v>2622</v>
      </c>
      <c r="O3646">
        <v>14.27</v>
      </c>
      <c r="P3646" t="s">
        <v>508</v>
      </c>
    </row>
    <row r="3647" spans="1:16" x14ac:dyDescent="0.4">
      <c r="A3647" t="s">
        <v>15</v>
      </c>
      <c r="B3647" t="s">
        <v>16</v>
      </c>
      <c r="C3647" s="13">
        <v>42370</v>
      </c>
      <c r="D3647" s="13">
        <v>42735</v>
      </c>
      <c r="E3647" t="s">
        <v>17</v>
      </c>
      <c r="F3647">
        <v>8</v>
      </c>
      <c r="G3647" t="s">
        <v>501</v>
      </c>
      <c r="H3647">
        <v>40</v>
      </c>
      <c r="I3647" t="s">
        <v>501</v>
      </c>
      <c r="J3647">
        <v>801</v>
      </c>
      <c r="K3647" t="s">
        <v>511</v>
      </c>
      <c r="L3647" s="13">
        <v>42370</v>
      </c>
      <c r="M3647" t="s">
        <v>2610</v>
      </c>
      <c r="N3647" t="s">
        <v>2611</v>
      </c>
      <c r="O3647">
        <v>247.48</v>
      </c>
      <c r="P3647" t="s">
        <v>508</v>
      </c>
    </row>
    <row r="3648" spans="1:16" x14ac:dyDescent="0.4">
      <c r="A3648" t="s">
        <v>15</v>
      </c>
      <c r="B3648" t="s">
        <v>16</v>
      </c>
      <c r="C3648" s="13">
        <v>42370</v>
      </c>
      <c r="D3648" s="13">
        <v>42735</v>
      </c>
      <c r="E3648" t="s">
        <v>17</v>
      </c>
      <c r="F3648">
        <v>8</v>
      </c>
      <c r="G3648" t="s">
        <v>501</v>
      </c>
      <c r="H3648">
        <v>40</v>
      </c>
      <c r="I3648" t="s">
        <v>501</v>
      </c>
      <c r="J3648">
        <v>801</v>
      </c>
      <c r="K3648" t="s">
        <v>511</v>
      </c>
      <c r="L3648" s="13">
        <v>42461</v>
      </c>
      <c r="M3648" t="s">
        <v>2612</v>
      </c>
      <c r="N3648" t="s">
        <v>2613</v>
      </c>
      <c r="O3648">
        <v>247.48</v>
      </c>
      <c r="P3648" t="s">
        <v>508</v>
      </c>
    </row>
    <row r="3649" spans="1:16" x14ac:dyDescent="0.4">
      <c r="A3649" t="s">
        <v>15</v>
      </c>
      <c r="B3649" t="s">
        <v>16</v>
      </c>
      <c r="C3649" s="13">
        <v>42370</v>
      </c>
      <c r="D3649" s="13">
        <v>42735</v>
      </c>
      <c r="E3649" t="s">
        <v>17</v>
      </c>
      <c r="F3649">
        <v>8</v>
      </c>
      <c r="G3649" t="s">
        <v>501</v>
      </c>
      <c r="H3649">
        <v>40</v>
      </c>
      <c r="I3649" t="s">
        <v>501</v>
      </c>
      <c r="J3649">
        <v>801</v>
      </c>
      <c r="K3649" t="s">
        <v>511</v>
      </c>
      <c r="L3649" s="13">
        <v>42552</v>
      </c>
      <c r="M3649" t="s">
        <v>2614</v>
      </c>
      <c r="N3649" t="s">
        <v>2615</v>
      </c>
      <c r="O3649">
        <v>247.48</v>
      </c>
      <c r="P3649" t="s">
        <v>508</v>
      </c>
    </row>
    <row r="3650" spans="1:16" x14ac:dyDescent="0.4">
      <c r="A3650" t="s">
        <v>15</v>
      </c>
      <c r="B3650" t="s">
        <v>16</v>
      </c>
      <c r="C3650" s="13">
        <v>42370</v>
      </c>
      <c r="D3650" s="13">
        <v>42735</v>
      </c>
      <c r="E3650" t="s">
        <v>17</v>
      </c>
      <c r="F3650">
        <v>8</v>
      </c>
      <c r="G3650" t="s">
        <v>501</v>
      </c>
      <c r="H3650">
        <v>40</v>
      </c>
      <c r="I3650" t="s">
        <v>501</v>
      </c>
      <c r="J3650">
        <v>801</v>
      </c>
      <c r="K3650" t="s">
        <v>511</v>
      </c>
      <c r="L3650" s="13">
        <v>42644</v>
      </c>
      <c r="M3650" t="s">
        <v>2616</v>
      </c>
      <c r="N3650" t="s">
        <v>2617</v>
      </c>
      <c r="O3650">
        <v>247.48</v>
      </c>
      <c r="P3650" t="s">
        <v>508</v>
      </c>
    </row>
    <row r="3651" spans="1:16" x14ac:dyDescent="0.4">
      <c r="A3651" t="s">
        <v>15</v>
      </c>
      <c r="B3651" t="s">
        <v>16</v>
      </c>
      <c r="C3651" s="13">
        <v>42370</v>
      </c>
      <c r="D3651" s="13">
        <v>42735</v>
      </c>
      <c r="E3651" t="s">
        <v>17</v>
      </c>
      <c r="F3651">
        <v>8</v>
      </c>
      <c r="G3651" t="s">
        <v>501</v>
      </c>
      <c r="H3651">
        <v>40</v>
      </c>
      <c r="I3651" t="s">
        <v>501</v>
      </c>
      <c r="J3651">
        <v>805</v>
      </c>
      <c r="K3651" t="s">
        <v>520</v>
      </c>
      <c r="L3651" s="13">
        <v>42444</v>
      </c>
      <c r="M3651" t="s">
        <v>2618</v>
      </c>
      <c r="N3651" t="s">
        <v>2619</v>
      </c>
      <c r="O3651">
        <v>271.91000000000003</v>
      </c>
      <c r="P3651" t="s">
        <v>508</v>
      </c>
    </row>
    <row r="3652" spans="1:16" x14ac:dyDescent="0.4">
      <c r="A3652" t="s">
        <v>15</v>
      </c>
      <c r="B3652" t="s">
        <v>16</v>
      </c>
      <c r="C3652" s="13">
        <v>42370</v>
      </c>
      <c r="D3652" s="13">
        <v>42735</v>
      </c>
      <c r="E3652" t="s">
        <v>17</v>
      </c>
      <c r="F3652">
        <v>11</v>
      </c>
      <c r="G3652" t="s">
        <v>501</v>
      </c>
      <c r="H3652">
        <v>40</v>
      </c>
      <c r="I3652" t="s">
        <v>501</v>
      </c>
      <c r="J3652">
        <v>264</v>
      </c>
      <c r="K3652" t="s">
        <v>502</v>
      </c>
      <c r="L3652" s="13">
        <v>42391</v>
      </c>
      <c r="M3652" t="s">
        <v>76</v>
      </c>
      <c r="N3652" t="s">
        <v>2567</v>
      </c>
      <c r="O3652">
        <v>26.04</v>
      </c>
      <c r="P3652" t="s">
        <v>565</v>
      </c>
    </row>
    <row r="3653" spans="1:16" x14ac:dyDescent="0.4">
      <c r="A3653" t="s">
        <v>15</v>
      </c>
      <c r="B3653" t="s">
        <v>16</v>
      </c>
      <c r="C3653" s="13">
        <v>42370</v>
      </c>
      <c r="D3653" s="13">
        <v>42735</v>
      </c>
      <c r="E3653" t="s">
        <v>17</v>
      </c>
      <c r="F3653">
        <v>11</v>
      </c>
      <c r="G3653" t="s">
        <v>501</v>
      </c>
      <c r="H3653">
        <v>40</v>
      </c>
      <c r="I3653" t="s">
        <v>501</v>
      </c>
      <c r="J3653">
        <v>264</v>
      </c>
      <c r="K3653" t="s">
        <v>502</v>
      </c>
      <c r="L3653" s="13">
        <v>42452</v>
      </c>
      <c r="M3653" t="s">
        <v>76</v>
      </c>
      <c r="N3653" t="s">
        <v>2568</v>
      </c>
      <c r="O3653">
        <v>27.85</v>
      </c>
      <c r="P3653" t="s">
        <v>565</v>
      </c>
    </row>
    <row r="3654" spans="1:16" x14ac:dyDescent="0.4">
      <c r="A3654" t="s">
        <v>15</v>
      </c>
      <c r="B3654" t="s">
        <v>16</v>
      </c>
      <c r="C3654" s="13">
        <v>42370</v>
      </c>
      <c r="D3654" s="13">
        <v>42735</v>
      </c>
      <c r="E3654" t="s">
        <v>17</v>
      </c>
      <c r="F3654">
        <v>11</v>
      </c>
      <c r="G3654" t="s">
        <v>501</v>
      </c>
      <c r="H3654">
        <v>40</v>
      </c>
      <c r="I3654" t="s">
        <v>501</v>
      </c>
      <c r="J3654">
        <v>264</v>
      </c>
      <c r="K3654" t="s">
        <v>502</v>
      </c>
      <c r="L3654" s="13">
        <v>42514</v>
      </c>
      <c r="M3654" t="s">
        <v>76</v>
      </c>
      <c r="N3654" t="s">
        <v>2569</v>
      </c>
      <c r="O3654">
        <v>24.69</v>
      </c>
      <c r="P3654" t="s">
        <v>565</v>
      </c>
    </row>
    <row r="3655" spans="1:16" x14ac:dyDescent="0.4">
      <c r="A3655" t="s">
        <v>15</v>
      </c>
      <c r="B3655" t="s">
        <v>16</v>
      </c>
      <c r="C3655" s="13">
        <v>42370</v>
      </c>
      <c r="D3655" s="13">
        <v>42735</v>
      </c>
      <c r="E3655" t="s">
        <v>17</v>
      </c>
      <c r="F3655">
        <v>11</v>
      </c>
      <c r="G3655" t="s">
        <v>501</v>
      </c>
      <c r="H3655">
        <v>40</v>
      </c>
      <c r="I3655" t="s">
        <v>501</v>
      </c>
      <c r="J3655">
        <v>264</v>
      </c>
      <c r="K3655" t="s">
        <v>502</v>
      </c>
      <c r="L3655" s="13">
        <v>42573</v>
      </c>
      <c r="M3655" t="s">
        <v>76</v>
      </c>
      <c r="N3655" t="s">
        <v>2570</v>
      </c>
      <c r="O3655">
        <v>21.53</v>
      </c>
      <c r="P3655" t="s">
        <v>565</v>
      </c>
    </row>
    <row r="3656" spans="1:16" x14ac:dyDescent="0.4">
      <c r="A3656" t="s">
        <v>15</v>
      </c>
      <c r="B3656" t="s">
        <v>16</v>
      </c>
      <c r="C3656" s="13">
        <v>42370</v>
      </c>
      <c r="D3656" s="13">
        <v>42735</v>
      </c>
      <c r="E3656" t="s">
        <v>17</v>
      </c>
      <c r="F3656">
        <v>11</v>
      </c>
      <c r="G3656" t="s">
        <v>501</v>
      </c>
      <c r="H3656">
        <v>40</v>
      </c>
      <c r="I3656" t="s">
        <v>501</v>
      </c>
      <c r="J3656">
        <v>264</v>
      </c>
      <c r="K3656" t="s">
        <v>502</v>
      </c>
      <c r="L3656" s="13">
        <v>42637</v>
      </c>
      <c r="M3656" t="s">
        <v>76</v>
      </c>
      <c r="N3656" t="s">
        <v>2571</v>
      </c>
      <c r="O3656">
        <v>23.55</v>
      </c>
      <c r="P3656" t="s">
        <v>565</v>
      </c>
    </row>
    <row r="3657" spans="1:16" x14ac:dyDescent="0.4">
      <c r="A3657" t="s">
        <v>15</v>
      </c>
      <c r="B3657" t="s">
        <v>16</v>
      </c>
      <c r="C3657" s="13">
        <v>42370</v>
      </c>
      <c r="D3657" s="13">
        <v>42735</v>
      </c>
      <c r="E3657" t="s">
        <v>17</v>
      </c>
      <c r="F3657">
        <v>11</v>
      </c>
      <c r="G3657" t="s">
        <v>501</v>
      </c>
      <c r="H3657">
        <v>40</v>
      </c>
      <c r="I3657" t="s">
        <v>501</v>
      </c>
      <c r="J3657">
        <v>264</v>
      </c>
      <c r="K3657" t="s">
        <v>502</v>
      </c>
      <c r="L3657" s="13">
        <v>42697</v>
      </c>
      <c r="M3657" t="s">
        <v>76</v>
      </c>
      <c r="N3657" t="s">
        <v>2572</v>
      </c>
      <c r="O3657">
        <v>24.54</v>
      </c>
      <c r="P3657" t="s">
        <v>565</v>
      </c>
    </row>
    <row r="3658" spans="1:16" x14ac:dyDescent="0.4">
      <c r="A3658" t="s">
        <v>15</v>
      </c>
      <c r="B3658" t="s">
        <v>16</v>
      </c>
      <c r="C3658" s="13">
        <v>42370</v>
      </c>
      <c r="D3658" s="13">
        <v>42735</v>
      </c>
      <c r="E3658" t="s">
        <v>17</v>
      </c>
      <c r="F3658">
        <v>11</v>
      </c>
      <c r="G3658" t="s">
        <v>501</v>
      </c>
      <c r="H3658">
        <v>40</v>
      </c>
      <c r="I3658" t="s">
        <v>501</v>
      </c>
      <c r="J3658">
        <v>367</v>
      </c>
      <c r="K3658" t="s">
        <v>503</v>
      </c>
      <c r="L3658" s="13">
        <v>42683</v>
      </c>
      <c r="M3658" t="s">
        <v>2600</v>
      </c>
      <c r="N3658" t="s">
        <v>2601</v>
      </c>
      <c r="O3658">
        <v>357.6</v>
      </c>
      <c r="P3658" t="s">
        <v>2602</v>
      </c>
    </row>
    <row r="3659" spans="1:16" x14ac:dyDescent="0.4">
      <c r="A3659" t="s">
        <v>15</v>
      </c>
      <c r="B3659" t="s">
        <v>16</v>
      </c>
      <c r="C3659" s="13">
        <v>42370</v>
      </c>
      <c r="D3659" s="13">
        <v>42735</v>
      </c>
      <c r="E3659" t="s">
        <v>17</v>
      </c>
      <c r="F3659">
        <v>11</v>
      </c>
      <c r="G3659" t="s">
        <v>501</v>
      </c>
      <c r="H3659">
        <v>40</v>
      </c>
      <c r="I3659" t="s">
        <v>501</v>
      </c>
      <c r="J3659">
        <v>741</v>
      </c>
      <c r="K3659" t="s">
        <v>505</v>
      </c>
      <c r="L3659" s="13">
        <v>42382</v>
      </c>
      <c r="M3659" t="s">
        <v>2603</v>
      </c>
      <c r="N3659" t="s">
        <v>2623</v>
      </c>
      <c r="O3659">
        <v>42.6</v>
      </c>
      <c r="P3659" t="s">
        <v>2605</v>
      </c>
    </row>
    <row r="3660" spans="1:16" x14ac:dyDescent="0.4">
      <c r="A3660" t="s">
        <v>15</v>
      </c>
      <c r="B3660" t="s">
        <v>16</v>
      </c>
      <c r="C3660" s="13">
        <v>42370</v>
      </c>
      <c r="D3660" s="13">
        <v>42735</v>
      </c>
      <c r="E3660" t="s">
        <v>17</v>
      </c>
      <c r="F3660">
        <v>11</v>
      </c>
      <c r="G3660" t="s">
        <v>501</v>
      </c>
      <c r="H3660">
        <v>40</v>
      </c>
      <c r="I3660" t="s">
        <v>501</v>
      </c>
      <c r="J3660">
        <v>741</v>
      </c>
      <c r="K3660" t="s">
        <v>505</v>
      </c>
      <c r="L3660" s="13">
        <v>42444</v>
      </c>
      <c r="M3660" t="s">
        <v>2603</v>
      </c>
      <c r="N3660" t="s">
        <v>2623</v>
      </c>
      <c r="O3660">
        <v>42.6</v>
      </c>
      <c r="P3660" t="s">
        <v>2605</v>
      </c>
    </row>
    <row r="3661" spans="1:16" x14ac:dyDescent="0.4">
      <c r="A3661" t="s">
        <v>15</v>
      </c>
      <c r="B3661" t="s">
        <v>16</v>
      </c>
      <c r="C3661" s="13">
        <v>42370</v>
      </c>
      <c r="D3661" s="13">
        <v>42735</v>
      </c>
      <c r="E3661" t="s">
        <v>17</v>
      </c>
      <c r="F3661">
        <v>11</v>
      </c>
      <c r="G3661" t="s">
        <v>501</v>
      </c>
      <c r="H3661">
        <v>40</v>
      </c>
      <c r="I3661" t="s">
        <v>501</v>
      </c>
      <c r="J3661">
        <v>741</v>
      </c>
      <c r="K3661" t="s">
        <v>505</v>
      </c>
      <c r="L3661" s="13">
        <v>42503</v>
      </c>
      <c r="M3661" t="s">
        <v>2603</v>
      </c>
      <c r="N3661" t="s">
        <v>2623</v>
      </c>
      <c r="O3661">
        <v>42.6</v>
      </c>
      <c r="P3661" t="s">
        <v>2605</v>
      </c>
    </row>
    <row r="3662" spans="1:16" x14ac:dyDescent="0.4">
      <c r="A3662" t="s">
        <v>15</v>
      </c>
      <c r="B3662" t="s">
        <v>16</v>
      </c>
      <c r="C3662" s="13">
        <v>42370</v>
      </c>
      <c r="D3662" s="13">
        <v>42735</v>
      </c>
      <c r="E3662" t="s">
        <v>17</v>
      </c>
      <c r="F3662">
        <v>11</v>
      </c>
      <c r="G3662" t="s">
        <v>501</v>
      </c>
      <c r="H3662">
        <v>40</v>
      </c>
      <c r="I3662" t="s">
        <v>501</v>
      </c>
      <c r="J3662">
        <v>741</v>
      </c>
      <c r="K3662" t="s">
        <v>505</v>
      </c>
      <c r="L3662" s="13">
        <v>42564</v>
      </c>
      <c r="M3662" t="s">
        <v>2603</v>
      </c>
      <c r="N3662" t="s">
        <v>2623</v>
      </c>
      <c r="O3662">
        <v>45.16</v>
      </c>
      <c r="P3662" t="s">
        <v>2605</v>
      </c>
    </row>
    <row r="3663" spans="1:16" x14ac:dyDescent="0.4">
      <c r="A3663" t="s">
        <v>15</v>
      </c>
      <c r="B3663" t="s">
        <v>16</v>
      </c>
      <c r="C3663" s="13">
        <v>42370</v>
      </c>
      <c r="D3663" s="13">
        <v>42735</v>
      </c>
      <c r="E3663" t="s">
        <v>17</v>
      </c>
      <c r="F3663">
        <v>11</v>
      </c>
      <c r="G3663" t="s">
        <v>501</v>
      </c>
      <c r="H3663">
        <v>40</v>
      </c>
      <c r="I3663" t="s">
        <v>501</v>
      </c>
      <c r="J3663">
        <v>741</v>
      </c>
      <c r="K3663" t="s">
        <v>505</v>
      </c>
      <c r="L3663" s="13">
        <v>42584</v>
      </c>
      <c r="M3663" t="s">
        <v>2603</v>
      </c>
      <c r="N3663" t="s">
        <v>2623</v>
      </c>
      <c r="O3663">
        <v>-40.81</v>
      </c>
      <c r="P3663" t="s">
        <v>2605</v>
      </c>
    </row>
    <row r="3664" spans="1:16" x14ac:dyDescent="0.4">
      <c r="A3664" t="s">
        <v>15</v>
      </c>
      <c r="B3664" t="s">
        <v>16</v>
      </c>
      <c r="C3664" s="13">
        <v>42370</v>
      </c>
      <c r="D3664" s="13">
        <v>42735</v>
      </c>
      <c r="E3664" t="s">
        <v>17</v>
      </c>
      <c r="F3664">
        <v>11</v>
      </c>
      <c r="G3664" t="s">
        <v>501</v>
      </c>
      <c r="H3664">
        <v>40</v>
      </c>
      <c r="I3664" t="s">
        <v>501</v>
      </c>
      <c r="J3664">
        <v>741</v>
      </c>
      <c r="K3664" t="s">
        <v>505</v>
      </c>
      <c r="L3664" s="13">
        <v>42704</v>
      </c>
      <c r="M3664" t="s">
        <v>2606</v>
      </c>
      <c r="N3664" t="s">
        <v>2624</v>
      </c>
      <c r="O3664">
        <v>49.57</v>
      </c>
      <c r="P3664" t="s">
        <v>508</v>
      </c>
    </row>
    <row r="3665" spans="1:16" x14ac:dyDescent="0.4">
      <c r="A3665" t="s">
        <v>15</v>
      </c>
      <c r="B3665" t="s">
        <v>16</v>
      </c>
      <c r="C3665" s="13">
        <v>42370</v>
      </c>
      <c r="D3665" s="13">
        <v>42735</v>
      </c>
      <c r="E3665" t="s">
        <v>17</v>
      </c>
      <c r="F3665">
        <v>11</v>
      </c>
      <c r="G3665" t="s">
        <v>501</v>
      </c>
      <c r="H3665">
        <v>40</v>
      </c>
      <c r="I3665" t="s">
        <v>501</v>
      </c>
      <c r="J3665">
        <v>741</v>
      </c>
      <c r="K3665" t="s">
        <v>505</v>
      </c>
      <c r="L3665" s="13">
        <v>42726</v>
      </c>
      <c r="M3665" t="s">
        <v>2625</v>
      </c>
      <c r="N3665" t="s">
        <v>2626</v>
      </c>
      <c r="O3665">
        <v>12.11</v>
      </c>
      <c r="P3665" t="s">
        <v>508</v>
      </c>
    </row>
    <row r="3666" spans="1:16" x14ac:dyDescent="0.4">
      <c r="A3666" t="s">
        <v>15</v>
      </c>
      <c r="B3666" t="s">
        <v>16</v>
      </c>
      <c r="C3666" s="13">
        <v>42370</v>
      </c>
      <c r="D3666" s="13">
        <v>42735</v>
      </c>
      <c r="E3666" t="s">
        <v>17</v>
      </c>
      <c r="F3666">
        <v>11</v>
      </c>
      <c r="G3666" t="s">
        <v>501</v>
      </c>
      <c r="H3666">
        <v>40</v>
      </c>
      <c r="I3666" t="s">
        <v>501</v>
      </c>
      <c r="J3666">
        <v>801</v>
      </c>
      <c r="K3666" t="s">
        <v>511</v>
      </c>
      <c r="L3666" s="13">
        <v>42370</v>
      </c>
      <c r="M3666" t="s">
        <v>2610</v>
      </c>
      <c r="N3666" t="s">
        <v>2611</v>
      </c>
      <c r="O3666">
        <v>247.54</v>
      </c>
      <c r="P3666" t="s">
        <v>508</v>
      </c>
    </row>
    <row r="3667" spans="1:16" x14ac:dyDescent="0.4">
      <c r="A3667" t="s">
        <v>15</v>
      </c>
      <c r="B3667" t="s">
        <v>16</v>
      </c>
      <c r="C3667" s="13">
        <v>42370</v>
      </c>
      <c r="D3667" s="13">
        <v>42735</v>
      </c>
      <c r="E3667" t="s">
        <v>17</v>
      </c>
      <c r="F3667">
        <v>11</v>
      </c>
      <c r="G3667" t="s">
        <v>501</v>
      </c>
      <c r="H3667">
        <v>40</v>
      </c>
      <c r="I3667" t="s">
        <v>501</v>
      </c>
      <c r="J3667">
        <v>801</v>
      </c>
      <c r="K3667" t="s">
        <v>511</v>
      </c>
      <c r="L3667" s="13">
        <v>42461</v>
      </c>
      <c r="M3667" t="s">
        <v>2612</v>
      </c>
      <c r="N3667" t="s">
        <v>2613</v>
      </c>
      <c r="O3667">
        <v>247.54</v>
      </c>
      <c r="P3667" t="s">
        <v>508</v>
      </c>
    </row>
    <row r="3668" spans="1:16" x14ac:dyDescent="0.4">
      <c r="A3668" t="s">
        <v>15</v>
      </c>
      <c r="B3668" t="s">
        <v>16</v>
      </c>
      <c r="C3668" s="13">
        <v>42370</v>
      </c>
      <c r="D3668" s="13">
        <v>42735</v>
      </c>
      <c r="E3668" t="s">
        <v>17</v>
      </c>
      <c r="F3668">
        <v>11</v>
      </c>
      <c r="G3668" t="s">
        <v>501</v>
      </c>
      <c r="H3668">
        <v>40</v>
      </c>
      <c r="I3668" t="s">
        <v>501</v>
      </c>
      <c r="J3668">
        <v>801</v>
      </c>
      <c r="K3668" t="s">
        <v>511</v>
      </c>
      <c r="L3668" s="13">
        <v>42552</v>
      </c>
      <c r="M3668" t="s">
        <v>2614</v>
      </c>
      <c r="N3668" t="s">
        <v>2615</v>
      </c>
      <c r="O3668">
        <v>247.54</v>
      </c>
      <c r="P3668" t="s">
        <v>508</v>
      </c>
    </row>
    <row r="3669" spans="1:16" x14ac:dyDescent="0.4">
      <c r="A3669" t="s">
        <v>15</v>
      </c>
      <c r="B3669" t="s">
        <v>16</v>
      </c>
      <c r="C3669" s="13">
        <v>42370</v>
      </c>
      <c r="D3669" s="13">
        <v>42735</v>
      </c>
      <c r="E3669" t="s">
        <v>17</v>
      </c>
      <c r="F3669">
        <v>11</v>
      </c>
      <c r="G3669" t="s">
        <v>501</v>
      </c>
      <c r="H3669">
        <v>40</v>
      </c>
      <c r="I3669" t="s">
        <v>501</v>
      </c>
      <c r="J3669">
        <v>801</v>
      </c>
      <c r="K3669" t="s">
        <v>511</v>
      </c>
      <c r="L3669" s="13">
        <v>42644</v>
      </c>
      <c r="M3669" t="s">
        <v>2616</v>
      </c>
      <c r="N3669" t="s">
        <v>2617</v>
      </c>
      <c r="O3669">
        <v>247.54</v>
      </c>
      <c r="P3669" t="s">
        <v>508</v>
      </c>
    </row>
    <row r="3670" spans="1:16" x14ac:dyDescent="0.4">
      <c r="A3670" t="s">
        <v>15</v>
      </c>
      <c r="B3670" t="s">
        <v>16</v>
      </c>
      <c r="C3670" s="13">
        <v>42370</v>
      </c>
      <c r="D3670" s="13">
        <v>42735</v>
      </c>
      <c r="E3670" t="s">
        <v>17</v>
      </c>
      <c r="F3670">
        <v>11</v>
      </c>
      <c r="G3670" t="s">
        <v>501</v>
      </c>
      <c r="H3670">
        <v>40</v>
      </c>
      <c r="I3670" t="s">
        <v>501</v>
      </c>
      <c r="J3670">
        <v>805</v>
      </c>
      <c r="K3670" t="s">
        <v>520</v>
      </c>
      <c r="L3670" s="13">
        <v>42444</v>
      </c>
      <c r="M3670" t="s">
        <v>2618</v>
      </c>
      <c r="N3670" t="s">
        <v>2619</v>
      </c>
      <c r="O3670">
        <v>271.91000000000003</v>
      </c>
      <c r="P3670" t="s">
        <v>508</v>
      </c>
    </row>
    <row r="3671" spans="1:16" x14ac:dyDescent="0.4">
      <c r="A3671" t="s">
        <v>15</v>
      </c>
      <c r="B3671" t="s">
        <v>16</v>
      </c>
      <c r="C3671" s="13">
        <v>42370</v>
      </c>
      <c r="D3671" s="13">
        <v>42735</v>
      </c>
      <c r="E3671" t="s">
        <v>30</v>
      </c>
      <c r="F3671">
        <v>12</v>
      </c>
      <c r="G3671" t="s">
        <v>525</v>
      </c>
      <c r="H3671">
        <v>65</v>
      </c>
      <c r="I3671" t="s">
        <v>526</v>
      </c>
      <c r="J3671">
        <v>106</v>
      </c>
      <c r="K3671" t="s">
        <v>1378</v>
      </c>
      <c r="L3671" s="13">
        <v>42735</v>
      </c>
      <c r="M3671" t="s">
        <v>2627</v>
      </c>
      <c r="N3671" t="s">
        <v>2628</v>
      </c>
      <c r="O3671">
        <v>80.3</v>
      </c>
      <c r="P3671" t="s">
        <v>530</v>
      </c>
    </row>
    <row r="3672" spans="1:16" x14ac:dyDescent="0.4">
      <c r="A3672" t="s">
        <v>15</v>
      </c>
      <c r="B3672" t="s">
        <v>16</v>
      </c>
      <c r="C3672" s="13">
        <v>42370</v>
      </c>
      <c r="D3672" s="13">
        <v>42735</v>
      </c>
      <c r="E3672" t="s">
        <v>17</v>
      </c>
      <c r="F3672">
        <v>13</v>
      </c>
      <c r="G3672" t="s">
        <v>560</v>
      </c>
      <c r="H3672">
        <v>50</v>
      </c>
      <c r="I3672" t="s">
        <v>561</v>
      </c>
      <c r="J3672">
        <v>269</v>
      </c>
      <c r="K3672" t="s">
        <v>562</v>
      </c>
      <c r="L3672" s="13">
        <v>42377</v>
      </c>
      <c r="M3672" t="s">
        <v>76</v>
      </c>
      <c r="N3672" t="s">
        <v>2629</v>
      </c>
      <c r="O3672">
        <v>116.44</v>
      </c>
      <c r="P3672" t="s">
        <v>565</v>
      </c>
    </row>
    <row r="3673" spans="1:16" x14ac:dyDescent="0.4">
      <c r="A3673" t="s">
        <v>15</v>
      </c>
      <c r="B3673" t="s">
        <v>16</v>
      </c>
      <c r="C3673" s="13">
        <v>42370</v>
      </c>
      <c r="D3673" s="13">
        <v>42735</v>
      </c>
      <c r="E3673" t="s">
        <v>17</v>
      </c>
      <c r="F3673">
        <v>13</v>
      </c>
      <c r="G3673" t="s">
        <v>560</v>
      </c>
      <c r="H3673">
        <v>50</v>
      </c>
      <c r="I3673" t="s">
        <v>561</v>
      </c>
      <c r="J3673">
        <v>269</v>
      </c>
      <c r="K3673" t="s">
        <v>562</v>
      </c>
      <c r="L3673" s="13">
        <v>42383</v>
      </c>
      <c r="M3673" t="s">
        <v>76</v>
      </c>
      <c r="N3673" t="s">
        <v>46</v>
      </c>
      <c r="O3673">
        <v>411.52</v>
      </c>
      <c r="P3673" t="s">
        <v>46</v>
      </c>
    </row>
    <row r="3674" spans="1:16" x14ac:dyDescent="0.4">
      <c r="A3674" t="s">
        <v>15</v>
      </c>
      <c r="B3674" t="s">
        <v>16</v>
      </c>
      <c r="C3674" s="13">
        <v>42370</v>
      </c>
      <c r="D3674" s="13">
        <v>42735</v>
      </c>
      <c r="E3674" t="s">
        <v>17</v>
      </c>
      <c r="F3674">
        <v>13</v>
      </c>
      <c r="G3674" t="s">
        <v>560</v>
      </c>
      <c r="H3674">
        <v>50</v>
      </c>
      <c r="I3674" t="s">
        <v>561</v>
      </c>
      <c r="J3674">
        <v>269</v>
      </c>
      <c r="K3674" t="s">
        <v>562</v>
      </c>
      <c r="L3674" s="13">
        <v>42410</v>
      </c>
      <c r="M3674" t="s">
        <v>76</v>
      </c>
      <c r="N3674" t="s">
        <v>46</v>
      </c>
      <c r="O3674">
        <v>446.87</v>
      </c>
      <c r="P3674" t="s">
        <v>46</v>
      </c>
    </row>
    <row r="3675" spans="1:16" x14ac:dyDescent="0.4">
      <c r="A3675" t="s">
        <v>15</v>
      </c>
      <c r="B3675" t="s">
        <v>16</v>
      </c>
      <c r="C3675" s="13">
        <v>42370</v>
      </c>
      <c r="D3675" s="13">
        <v>42735</v>
      </c>
      <c r="E3675" t="s">
        <v>17</v>
      </c>
      <c r="F3675">
        <v>13</v>
      </c>
      <c r="G3675" t="s">
        <v>560</v>
      </c>
      <c r="H3675">
        <v>50</v>
      </c>
      <c r="I3675" t="s">
        <v>561</v>
      </c>
      <c r="J3675">
        <v>269</v>
      </c>
      <c r="K3675" t="s">
        <v>562</v>
      </c>
      <c r="L3675" s="13">
        <v>42440</v>
      </c>
      <c r="M3675" t="s">
        <v>76</v>
      </c>
      <c r="N3675" t="s">
        <v>2630</v>
      </c>
      <c r="O3675">
        <v>485.95</v>
      </c>
      <c r="P3675" t="s">
        <v>565</v>
      </c>
    </row>
    <row r="3676" spans="1:16" x14ac:dyDescent="0.4">
      <c r="A3676" t="s">
        <v>15</v>
      </c>
      <c r="B3676" t="s">
        <v>16</v>
      </c>
      <c r="C3676" s="13">
        <v>42370</v>
      </c>
      <c r="D3676" s="13">
        <v>42735</v>
      </c>
      <c r="E3676" t="s">
        <v>17</v>
      </c>
      <c r="F3676">
        <v>13</v>
      </c>
      <c r="G3676" t="s">
        <v>560</v>
      </c>
      <c r="H3676">
        <v>50</v>
      </c>
      <c r="I3676" t="s">
        <v>561</v>
      </c>
      <c r="J3676">
        <v>269</v>
      </c>
      <c r="K3676" t="s">
        <v>562</v>
      </c>
      <c r="L3676" s="13">
        <v>42465</v>
      </c>
      <c r="M3676" t="s">
        <v>76</v>
      </c>
      <c r="N3676" t="s">
        <v>2631</v>
      </c>
      <c r="O3676">
        <v>70.13</v>
      </c>
      <c r="P3676" t="s">
        <v>565</v>
      </c>
    </row>
    <row r="3677" spans="1:16" x14ac:dyDescent="0.4">
      <c r="A3677" t="s">
        <v>15</v>
      </c>
      <c r="B3677" t="s">
        <v>16</v>
      </c>
      <c r="C3677" s="13">
        <v>42370</v>
      </c>
      <c r="D3677" s="13">
        <v>42735</v>
      </c>
      <c r="E3677" t="s">
        <v>17</v>
      </c>
      <c r="F3677">
        <v>13</v>
      </c>
      <c r="G3677" t="s">
        <v>560</v>
      </c>
      <c r="H3677">
        <v>50</v>
      </c>
      <c r="I3677" t="s">
        <v>561</v>
      </c>
      <c r="J3677">
        <v>269</v>
      </c>
      <c r="K3677" t="s">
        <v>562</v>
      </c>
      <c r="L3677" s="13">
        <v>42479</v>
      </c>
      <c r="M3677" t="s">
        <v>76</v>
      </c>
      <c r="N3677" t="s">
        <v>2632</v>
      </c>
      <c r="O3677">
        <v>266.27999999999997</v>
      </c>
      <c r="P3677" t="s">
        <v>565</v>
      </c>
    </row>
    <row r="3678" spans="1:16" x14ac:dyDescent="0.4">
      <c r="A3678" t="s">
        <v>15</v>
      </c>
      <c r="B3678" t="s">
        <v>16</v>
      </c>
      <c r="C3678" s="13">
        <v>42370</v>
      </c>
      <c r="D3678" s="13">
        <v>42735</v>
      </c>
      <c r="E3678" t="s">
        <v>17</v>
      </c>
      <c r="F3678">
        <v>13</v>
      </c>
      <c r="G3678" t="s">
        <v>560</v>
      </c>
      <c r="H3678">
        <v>50</v>
      </c>
      <c r="I3678" t="s">
        <v>561</v>
      </c>
      <c r="J3678">
        <v>269</v>
      </c>
      <c r="K3678" t="s">
        <v>562</v>
      </c>
      <c r="L3678" s="13">
        <v>42502</v>
      </c>
      <c r="M3678" t="s">
        <v>76</v>
      </c>
      <c r="N3678" t="s">
        <v>2633</v>
      </c>
      <c r="O3678">
        <v>351.5</v>
      </c>
      <c r="P3678" t="s">
        <v>565</v>
      </c>
    </row>
    <row r="3679" spans="1:16" x14ac:dyDescent="0.4">
      <c r="A3679" t="s">
        <v>15</v>
      </c>
      <c r="B3679" t="s">
        <v>16</v>
      </c>
      <c r="C3679" s="13">
        <v>42370</v>
      </c>
      <c r="D3679" s="13">
        <v>42735</v>
      </c>
      <c r="E3679" t="s">
        <v>17</v>
      </c>
      <c r="F3679">
        <v>13</v>
      </c>
      <c r="G3679" t="s">
        <v>560</v>
      </c>
      <c r="H3679">
        <v>50</v>
      </c>
      <c r="I3679" t="s">
        <v>561</v>
      </c>
      <c r="J3679">
        <v>269</v>
      </c>
      <c r="K3679" t="s">
        <v>562</v>
      </c>
      <c r="L3679" s="13">
        <v>42531</v>
      </c>
      <c r="M3679" t="s">
        <v>76</v>
      </c>
      <c r="N3679" t="s">
        <v>2634</v>
      </c>
      <c r="O3679">
        <v>338.74</v>
      </c>
      <c r="P3679" t="s">
        <v>565</v>
      </c>
    </row>
    <row r="3680" spans="1:16" x14ac:dyDescent="0.4">
      <c r="A3680" t="s">
        <v>15</v>
      </c>
      <c r="B3680" t="s">
        <v>16</v>
      </c>
      <c r="C3680" s="13">
        <v>42370</v>
      </c>
      <c r="D3680" s="13">
        <v>42735</v>
      </c>
      <c r="E3680" t="s">
        <v>17</v>
      </c>
      <c r="F3680">
        <v>13</v>
      </c>
      <c r="G3680" t="s">
        <v>560</v>
      </c>
      <c r="H3680">
        <v>50</v>
      </c>
      <c r="I3680" t="s">
        <v>561</v>
      </c>
      <c r="J3680">
        <v>269</v>
      </c>
      <c r="K3680" t="s">
        <v>562</v>
      </c>
      <c r="L3680" s="13">
        <v>42564</v>
      </c>
      <c r="M3680" t="s">
        <v>76</v>
      </c>
      <c r="N3680" t="s">
        <v>46</v>
      </c>
      <c r="O3680">
        <v>335.58</v>
      </c>
      <c r="P3680" t="s">
        <v>46</v>
      </c>
    </row>
    <row r="3681" spans="1:16" x14ac:dyDescent="0.4">
      <c r="A3681" t="s">
        <v>15</v>
      </c>
      <c r="B3681" t="s">
        <v>16</v>
      </c>
      <c r="C3681" s="13">
        <v>42370</v>
      </c>
      <c r="D3681" s="13">
        <v>42735</v>
      </c>
      <c r="E3681" t="s">
        <v>17</v>
      </c>
      <c r="F3681">
        <v>13</v>
      </c>
      <c r="G3681" t="s">
        <v>560</v>
      </c>
      <c r="H3681">
        <v>50</v>
      </c>
      <c r="I3681" t="s">
        <v>561</v>
      </c>
      <c r="J3681">
        <v>269</v>
      </c>
      <c r="K3681" t="s">
        <v>562</v>
      </c>
      <c r="L3681" s="13">
        <v>42593</v>
      </c>
      <c r="M3681" t="s">
        <v>76</v>
      </c>
      <c r="N3681" t="s">
        <v>2635</v>
      </c>
      <c r="O3681">
        <v>290.08</v>
      </c>
      <c r="P3681" t="s">
        <v>565</v>
      </c>
    </row>
    <row r="3682" spans="1:16" x14ac:dyDescent="0.4">
      <c r="A3682" t="s">
        <v>15</v>
      </c>
      <c r="B3682" t="s">
        <v>16</v>
      </c>
      <c r="C3682" s="13">
        <v>42370</v>
      </c>
      <c r="D3682" s="13">
        <v>42735</v>
      </c>
      <c r="E3682" t="s">
        <v>17</v>
      </c>
      <c r="F3682">
        <v>13</v>
      </c>
      <c r="G3682" t="s">
        <v>560</v>
      </c>
      <c r="H3682">
        <v>50</v>
      </c>
      <c r="I3682" t="s">
        <v>561</v>
      </c>
      <c r="J3682">
        <v>269</v>
      </c>
      <c r="K3682" t="s">
        <v>562</v>
      </c>
      <c r="L3682" s="13">
        <v>42624</v>
      </c>
      <c r="M3682" t="s">
        <v>76</v>
      </c>
      <c r="N3682" t="s">
        <v>2636</v>
      </c>
      <c r="O3682">
        <v>290.23</v>
      </c>
      <c r="P3682" t="s">
        <v>565</v>
      </c>
    </row>
    <row r="3683" spans="1:16" x14ac:dyDescent="0.4">
      <c r="A3683" t="s">
        <v>15</v>
      </c>
      <c r="B3683" t="s">
        <v>16</v>
      </c>
      <c r="C3683" s="13">
        <v>42370</v>
      </c>
      <c r="D3683" s="13">
        <v>42735</v>
      </c>
      <c r="E3683" t="s">
        <v>17</v>
      </c>
      <c r="F3683">
        <v>13</v>
      </c>
      <c r="G3683" t="s">
        <v>560</v>
      </c>
      <c r="H3683">
        <v>50</v>
      </c>
      <c r="I3683" t="s">
        <v>561</v>
      </c>
      <c r="J3683">
        <v>269</v>
      </c>
      <c r="K3683" t="s">
        <v>562</v>
      </c>
      <c r="L3683" s="13">
        <v>42654</v>
      </c>
      <c r="M3683" t="s">
        <v>76</v>
      </c>
      <c r="N3683" t="s">
        <v>2637</v>
      </c>
      <c r="O3683">
        <v>309.52999999999997</v>
      </c>
      <c r="P3683" t="s">
        <v>565</v>
      </c>
    </row>
    <row r="3684" spans="1:16" x14ac:dyDescent="0.4">
      <c r="A3684" t="s">
        <v>15</v>
      </c>
      <c r="B3684" t="s">
        <v>16</v>
      </c>
      <c r="C3684" s="13">
        <v>42370</v>
      </c>
      <c r="D3684" s="13">
        <v>42735</v>
      </c>
      <c r="E3684" t="s">
        <v>17</v>
      </c>
      <c r="F3684">
        <v>13</v>
      </c>
      <c r="G3684" t="s">
        <v>560</v>
      </c>
      <c r="H3684">
        <v>50</v>
      </c>
      <c r="I3684" t="s">
        <v>561</v>
      </c>
      <c r="J3684">
        <v>269</v>
      </c>
      <c r="K3684" t="s">
        <v>562</v>
      </c>
      <c r="L3684" s="13">
        <v>42685</v>
      </c>
      <c r="M3684" t="s">
        <v>76</v>
      </c>
      <c r="N3684" t="s">
        <v>2638</v>
      </c>
      <c r="O3684">
        <v>354.91</v>
      </c>
      <c r="P3684" t="s">
        <v>565</v>
      </c>
    </row>
    <row r="3685" spans="1:16" x14ac:dyDescent="0.4">
      <c r="A3685" t="s">
        <v>15</v>
      </c>
      <c r="B3685" t="s">
        <v>16</v>
      </c>
      <c r="C3685" s="13">
        <v>42370</v>
      </c>
      <c r="D3685" s="13">
        <v>42735</v>
      </c>
      <c r="E3685" t="s">
        <v>17</v>
      </c>
      <c r="F3685">
        <v>13</v>
      </c>
      <c r="G3685" t="s">
        <v>560</v>
      </c>
      <c r="H3685">
        <v>50</v>
      </c>
      <c r="I3685" t="s">
        <v>561</v>
      </c>
      <c r="J3685">
        <v>269</v>
      </c>
      <c r="K3685" t="s">
        <v>562</v>
      </c>
      <c r="L3685" s="13">
        <v>42713</v>
      </c>
      <c r="M3685" t="s">
        <v>76</v>
      </c>
      <c r="N3685" t="s">
        <v>2639</v>
      </c>
      <c r="O3685">
        <v>357.94</v>
      </c>
      <c r="P3685" t="s">
        <v>565</v>
      </c>
    </row>
    <row r="3686" spans="1:16" x14ac:dyDescent="0.4">
      <c r="A3686" t="s">
        <v>15</v>
      </c>
      <c r="B3686" t="s">
        <v>16</v>
      </c>
      <c r="C3686" s="13">
        <v>42370</v>
      </c>
      <c r="D3686" s="13">
        <v>42735</v>
      </c>
      <c r="E3686" t="s">
        <v>17</v>
      </c>
      <c r="F3686">
        <v>13</v>
      </c>
      <c r="G3686" t="s">
        <v>560</v>
      </c>
      <c r="H3686">
        <v>50</v>
      </c>
      <c r="I3686" t="s">
        <v>561</v>
      </c>
      <c r="J3686">
        <v>286</v>
      </c>
      <c r="K3686" t="s">
        <v>588</v>
      </c>
      <c r="L3686" s="13">
        <v>42735</v>
      </c>
      <c r="M3686" t="s">
        <v>2640</v>
      </c>
      <c r="N3686" t="s">
        <v>86</v>
      </c>
      <c r="O3686">
        <v>1281.01</v>
      </c>
      <c r="P3686" t="s">
        <v>46</v>
      </c>
    </row>
    <row r="3687" spans="1:16" x14ac:dyDescent="0.4">
      <c r="A3687" t="s">
        <v>15</v>
      </c>
      <c r="B3687" t="s">
        <v>16</v>
      </c>
      <c r="C3687" s="13">
        <v>42370</v>
      </c>
      <c r="D3687" s="13">
        <v>42735</v>
      </c>
      <c r="E3687" t="s">
        <v>17</v>
      </c>
      <c r="F3687">
        <v>14</v>
      </c>
      <c r="G3687" t="s">
        <v>560</v>
      </c>
      <c r="H3687">
        <v>50</v>
      </c>
      <c r="I3687" t="s">
        <v>561</v>
      </c>
      <c r="J3687">
        <v>269</v>
      </c>
      <c r="K3687" t="s">
        <v>562</v>
      </c>
      <c r="L3687" s="13">
        <v>42381</v>
      </c>
      <c r="M3687" t="s">
        <v>76</v>
      </c>
      <c r="N3687" t="s">
        <v>2641</v>
      </c>
      <c r="O3687">
        <v>320.64</v>
      </c>
      <c r="P3687" t="s">
        <v>565</v>
      </c>
    </row>
    <row r="3688" spans="1:16" x14ac:dyDescent="0.4">
      <c r="A3688" t="s">
        <v>15</v>
      </c>
      <c r="B3688" t="s">
        <v>16</v>
      </c>
      <c r="C3688" s="13">
        <v>42370</v>
      </c>
      <c r="D3688" s="13">
        <v>42735</v>
      </c>
      <c r="E3688" t="s">
        <v>17</v>
      </c>
      <c r="F3688">
        <v>14</v>
      </c>
      <c r="G3688" t="s">
        <v>560</v>
      </c>
      <c r="H3688">
        <v>50</v>
      </c>
      <c r="I3688" t="s">
        <v>561</v>
      </c>
      <c r="J3688">
        <v>269</v>
      </c>
      <c r="K3688" t="s">
        <v>562</v>
      </c>
      <c r="L3688" s="13">
        <v>42402</v>
      </c>
      <c r="M3688" t="s">
        <v>76</v>
      </c>
      <c r="N3688" t="s">
        <v>46</v>
      </c>
      <c r="O3688">
        <v>608.41999999999996</v>
      </c>
      <c r="P3688" t="s">
        <v>46</v>
      </c>
    </row>
    <row r="3689" spans="1:16" x14ac:dyDescent="0.4">
      <c r="A3689" t="s">
        <v>15</v>
      </c>
      <c r="B3689" t="s">
        <v>16</v>
      </c>
      <c r="C3689" s="13">
        <v>42370</v>
      </c>
      <c r="D3689" s="13">
        <v>42735</v>
      </c>
      <c r="E3689" t="s">
        <v>17</v>
      </c>
      <c r="F3689">
        <v>14</v>
      </c>
      <c r="G3689" t="s">
        <v>560</v>
      </c>
      <c r="H3689">
        <v>50</v>
      </c>
      <c r="I3689" t="s">
        <v>561</v>
      </c>
      <c r="J3689">
        <v>269</v>
      </c>
      <c r="K3689" t="s">
        <v>562</v>
      </c>
      <c r="L3689" s="13">
        <v>42433</v>
      </c>
      <c r="M3689" t="s">
        <v>76</v>
      </c>
      <c r="N3689" t="s">
        <v>46</v>
      </c>
      <c r="O3689">
        <v>471.41</v>
      </c>
      <c r="P3689" t="s">
        <v>46</v>
      </c>
    </row>
    <row r="3690" spans="1:16" x14ac:dyDescent="0.4">
      <c r="A3690" t="s">
        <v>15</v>
      </c>
      <c r="B3690" t="s">
        <v>16</v>
      </c>
      <c r="C3690" s="13">
        <v>42370</v>
      </c>
      <c r="D3690" s="13">
        <v>42735</v>
      </c>
      <c r="E3690" t="s">
        <v>17</v>
      </c>
      <c r="F3690">
        <v>14</v>
      </c>
      <c r="G3690" t="s">
        <v>560</v>
      </c>
      <c r="H3690">
        <v>50</v>
      </c>
      <c r="I3690" t="s">
        <v>561</v>
      </c>
      <c r="J3690">
        <v>269</v>
      </c>
      <c r="K3690" t="s">
        <v>562</v>
      </c>
      <c r="L3690" s="13">
        <v>42466</v>
      </c>
      <c r="M3690" t="s">
        <v>76</v>
      </c>
      <c r="N3690" t="s">
        <v>2642</v>
      </c>
      <c r="O3690">
        <v>311.19</v>
      </c>
      <c r="P3690" t="s">
        <v>565</v>
      </c>
    </row>
    <row r="3691" spans="1:16" x14ac:dyDescent="0.4">
      <c r="A3691" t="s">
        <v>15</v>
      </c>
      <c r="B3691" t="s">
        <v>16</v>
      </c>
      <c r="C3691" s="13">
        <v>42370</v>
      </c>
      <c r="D3691" s="13">
        <v>42735</v>
      </c>
      <c r="E3691" t="s">
        <v>17</v>
      </c>
      <c r="F3691">
        <v>14</v>
      </c>
      <c r="G3691" t="s">
        <v>560</v>
      </c>
      <c r="H3691">
        <v>50</v>
      </c>
      <c r="I3691" t="s">
        <v>561</v>
      </c>
      <c r="J3691">
        <v>269</v>
      </c>
      <c r="K3691" t="s">
        <v>562</v>
      </c>
      <c r="L3691" s="13">
        <v>42479</v>
      </c>
      <c r="M3691" t="s">
        <v>76</v>
      </c>
      <c r="N3691" t="s">
        <v>2643</v>
      </c>
      <c r="O3691">
        <v>239.88</v>
      </c>
      <c r="P3691" t="s">
        <v>565</v>
      </c>
    </row>
    <row r="3692" spans="1:16" x14ac:dyDescent="0.4">
      <c r="A3692" t="s">
        <v>15</v>
      </c>
      <c r="B3692" t="s">
        <v>16</v>
      </c>
      <c r="C3692" s="13">
        <v>42370</v>
      </c>
      <c r="D3692" s="13">
        <v>42735</v>
      </c>
      <c r="E3692" t="s">
        <v>17</v>
      </c>
      <c r="F3692">
        <v>14</v>
      </c>
      <c r="G3692" t="s">
        <v>560</v>
      </c>
      <c r="H3692">
        <v>50</v>
      </c>
      <c r="I3692" t="s">
        <v>561</v>
      </c>
      <c r="J3692">
        <v>269</v>
      </c>
      <c r="K3692" t="s">
        <v>562</v>
      </c>
      <c r="L3692" s="13">
        <v>42502</v>
      </c>
      <c r="M3692" t="s">
        <v>76</v>
      </c>
      <c r="N3692" t="s">
        <v>2644</v>
      </c>
      <c r="O3692">
        <v>209.49</v>
      </c>
      <c r="P3692" t="s">
        <v>565</v>
      </c>
    </row>
    <row r="3693" spans="1:16" x14ac:dyDescent="0.4">
      <c r="A3693" t="s">
        <v>15</v>
      </c>
      <c r="B3693" t="s">
        <v>16</v>
      </c>
      <c r="C3693" s="13">
        <v>42370</v>
      </c>
      <c r="D3693" s="13">
        <v>42735</v>
      </c>
      <c r="E3693" t="s">
        <v>17</v>
      </c>
      <c r="F3693">
        <v>14</v>
      </c>
      <c r="G3693" t="s">
        <v>560</v>
      </c>
      <c r="H3693">
        <v>50</v>
      </c>
      <c r="I3693" t="s">
        <v>561</v>
      </c>
      <c r="J3693">
        <v>269</v>
      </c>
      <c r="K3693" t="s">
        <v>562</v>
      </c>
      <c r="L3693" s="13">
        <v>42533</v>
      </c>
      <c r="M3693" t="s">
        <v>76</v>
      </c>
      <c r="N3693" t="s">
        <v>46</v>
      </c>
      <c r="O3693">
        <v>314.79000000000002</v>
      </c>
      <c r="P3693" t="s">
        <v>46</v>
      </c>
    </row>
    <row r="3694" spans="1:16" x14ac:dyDescent="0.4">
      <c r="A3694" t="s">
        <v>15</v>
      </c>
      <c r="B3694" t="s">
        <v>16</v>
      </c>
      <c r="C3694" s="13">
        <v>42370</v>
      </c>
      <c r="D3694" s="13">
        <v>42735</v>
      </c>
      <c r="E3694" t="s">
        <v>17</v>
      </c>
      <c r="F3694">
        <v>14</v>
      </c>
      <c r="G3694" t="s">
        <v>560</v>
      </c>
      <c r="H3694">
        <v>50</v>
      </c>
      <c r="I3694" t="s">
        <v>561</v>
      </c>
      <c r="J3694">
        <v>269</v>
      </c>
      <c r="K3694" t="s">
        <v>562</v>
      </c>
      <c r="L3694" s="13">
        <v>42563</v>
      </c>
      <c r="M3694" t="s">
        <v>76</v>
      </c>
      <c r="N3694" t="s">
        <v>46</v>
      </c>
      <c r="O3694">
        <v>275.39999999999998</v>
      </c>
      <c r="P3694" t="s">
        <v>46</v>
      </c>
    </row>
    <row r="3695" spans="1:16" x14ac:dyDescent="0.4">
      <c r="A3695" t="s">
        <v>15</v>
      </c>
      <c r="B3695" t="s">
        <v>16</v>
      </c>
      <c r="C3695" s="13">
        <v>42370</v>
      </c>
      <c r="D3695" s="13">
        <v>42735</v>
      </c>
      <c r="E3695" t="s">
        <v>17</v>
      </c>
      <c r="F3695">
        <v>14</v>
      </c>
      <c r="G3695" t="s">
        <v>560</v>
      </c>
      <c r="H3695">
        <v>50</v>
      </c>
      <c r="I3695" t="s">
        <v>561</v>
      </c>
      <c r="J3695">
        <v>269</v>
      </c>
      <c r="K3695" t="s">
        <v>562</v>
      </c>
      <c r="L3695" s="13">
        <v>42594</v>
      </c>
      <c r="M3695" t="s">
        <v>76</v>
      </c>
      <c r="N3695" t="s">
        <v>2645</v>
      </c>
      <c r="O3695">
        <v>236.88</v>
      </c>
      <c r="P3695" t="s">
        <v>565</v>
      </c>
    </row>
    <row r="3696" spans="1:16" x14ac:dyDescent="0.4">
      <c r="A3696" t="s">
        <v>15</v>
      </c>
      <c r="B3696" t="s">
        <v>16</v>
      </c>
      <c r="C3696" s="13">
        <v>42370</v>
      </c>
      <c r="D3696" s="13">
        <v>42735</v>
      </c>
      <c r="E3696" t="s">
        <v>17</v>
      </c>
      <c r="F3696">
        <v>14</v>
      </c>
      <c r="G3696" t="s">
        <v>560</v>
      </c>
      <c r="H3696">
        <v>50</v>
      </c>
      <c r="I3696" t="s">
        <v>561</v>
      </c>
      <c r="J3696">
        <v>269</v>
      </c>
      <c r="K3696" t="s">
        <v>562</v>
      </c>
      <c r="L3696" s="13">
        <v>42625</v>
      </c>
      <c r="M3696" t="s">
        <v>76</v>
      </c>
      <c r="N3696" t="s">
        <v>2646</v>
      </c>
      <c r="O3696">
        <v>312.60000000000002</v>
      </c>
      <c r="P3696" t="s">
        <v>565</v>
      </c>
    </row>
    <row r="3697" spans="1:16" x14ac:dyDescent="0.4">
      <c r="A3697" t="s">
        <v>15</v>
      </c>
      <c r="B3697" t="s">
        <v>16</v>
      </c>
      <c r="C3697" s="13">
        <v>42370</v>
      </c>
      <c r="D3697" s="13">
        <v>42735</v>
      </c>
      <c r="E3697" t="s">
        <v>17</v>
      </c>
      <c r="F3697">
        <v>14</v>
      </c>
      <c r="G3697" t="s">
        <v>560</v>
      </c>
      <c r="H3697">
        <v>50</v>
      </c>
      <c r="I3697" t="s">
        <v>561</v>
      </c>
      <c r="J3697">
        <v>269</v>
      </c>
      <c r="K3697" t="s">
        <v>562</v>
      </c>
      <c r="L3697" s="13">
        <v>42655</v>
      </c>
      <c r="M3697" t="s">
        <v>76</v>
      </c>
      <c r="N3697" t="s">
        <v>2647</v>
      </c>
      <c r="O3697">
        <v>253.81</v>
      </c>
      <c r="P3697" t="s">
        <v>565</v>
      </c>
    </row>
    <row r="3698" spans="1:16" x14ac:dyDescent="0.4">
      <c r="A3698" t="s">
        <v>15</v>
      </c>
      <c r="B3698" t="s">
        <v>16</v>
      </c>
      <c r="C3698" s="13">
        <v>42370</v>
      </c>
      <c r="D3698" s="13">
        <v>42735</v>
      </c>
      <c r="E3698" t="s">
        <v>17</v>
      </c>
      <c r="F3698">
        <v>14</v>
      </c>
      <c r="G3698" t="s">
        <v>560</v>
      </c>
      <c r="H3698">
        <v>50</v>
      </c>
      <c r="I3698" t="s">
        <v>561</v>
      </c>
      <c r="J3698">
        <v>269</v>
      </c>
      <c r="K3698" t="s">
        <v>562</v>
      </c>
      <c r="L3698" s="13">
        <v>42686</v>
      </c>
      <c r="M3698" t="s">
        <v>76</v>
      </c>
      <c r="N3698" t="s">
        <v>2648</v>
      </c>
      <c r="O3698">
        <v>335.5</v>
      </c>
      <c r="P3698" t="s">
        <v>565</v>
      </c>
    </row>
    <row r="3699" spans="1:16" x14ac:dyDescent="0.4">
      <c r="A3699" t="s">
        <v>15</v>
      </c>
      <c r="B3699" t="s">
        <v>16</v>
      </c>
      <c r="C3699" s="13">
        <v>42370</v>
      </c>
      <c r="D3699" s="13">
        <v>42735</v>
      </c>
      <c r="E3699" t="s">
        <v>17</v>
      </c>
      <c r="F3699">
        <v>14</v>
      </c>
      <c r="G3699" t="s">
        <v>560</v>
      </c>
      <c r="H3699">
        <v>50</v>
      </c>
      <c r="I3699" t="s">
        <v>561</v>
      </c>
      <c r="J3699">
        <v>269</v>
      </c>
      <c r="K3699" t="s">
        <v>562</v>
      </c>
      <c r="L3699" s="13">
        <v>42709</v>
      </c>
      <c r="M3699" t="s">
        <v>76</v>
      </c>
      <c r="N3699" t="s">
        <v>2649</v>
      </c>
      <c r="O3699">
        <v>82.52</v>
      </c>
      <c r="P3699" t="s">
        <v>565</v>
      </c>
    </row>
    <row r="3700" spans="1:16" x14ac:dyDescent="0.4">
      <c r="A3700" t="s">
        <v>15</v>
      </c>
      <c r="B3700" t="s">
        <v>16</v>
      </c>
      <c r="C3700" s="13">
        <v>42370</v>
      </c>
      <c r="D3700" s="13">
        <v>42735</v>
      </c>
      <c r="E3700" t="s">
        <v>17</v>
      </c>
      <c r="F3700">
        <v>14</v>
      </c>
      <c r="G3700" t="s">
        <v>560</v>
      </c>
      <c r="H3700">
        <v>50</v>
      </c>
      <c r="I3700" t="s">
        <v>561</v>
      </c>
      <c r="J3700">
        <v>269</v>
      </c>
      <c r="K3700" t="s">
        <v>562</v>
      </c>
      <c r="L3700" s="13">
        <v>42717</v>
      </c>
      <c r="M3700" t="s">
        <v>76</v>
      </c>
      <c r="N3700" t="s">
        <v>2650</v>
      </c>
      <c r="O3700">
        <v>526.57000000000005</v>
      </c>
      <c r="P3700" t="s">
        <v>565</v>
      </c>
    </row>
    <row r="3701" spans="1:16" x14ac:dyDescent="0.4">
      <c r="A3701" t="s">
        <v>15</v>
      </c>
      <c r="B3701" t="s">
        <v>16</v>
      </c>
      <c r="C3701" s="13">
        <v>42370</v>
      </c>
      <c r="D3701" s="13">
        <v>42735</v>
      </c>
      <c r="E3701" t="s">
        <v>17</v>
      </c>
      <c r="F3701">
        <v>14</v>
      </c>
      <c r="G3701" t="s">
        <v>560</v>
      </c>
      <c r="H3701">
        <v>50</v>
      </c>
      <c r="I3701" t="s">
        <v>561</v>
      </c>
      <c r="J3701">
        <v>286</v>
      </c>
      <c r="K3701" t="s">
        <v>588</v>
      </c>
      <c r="L3701" s="13">
        <v>42735</v>
      </c>
      <c r="M3701" t="s">
        <v>2651</v>
      </c>
      <c r="N3701" t="s">
        <v>86</v>
      </c>
      <c r="O3701">
        <v>1125.96</v>
      </c>
      <c r="P3701" t="s">
        <v>46</v>
      </c>
    </row>
    <row r="3702" spans="1:16" x14ac:dyDescent="0.4">
      <c r="A3702" t="s">
        <v>15</v>
      </c>
      <c r="B3702" t="s">
        <v>16</v>
      </c>
      <c r="C3702" s="13">
        <v>42370</v>
      </c>
      <c r="D3702" s="13">
        <v>42735</v>
      </c>
      <c r="E3702" t="s">
        <v>17</v>
      </c>
      <c r="F3702">
        <v>15</v>
      </c>
      <c r="G3702" t="s">
        <v>560</v>
      </c>
      <c r="H3702">
        <v>50</v>
      </c>
      <c r="I3702" t="s">
        <v>561</v>
      </c>
      <c r="J3702">
        <v>269</v>
      </c>
      <c r="K3702" t="s">
        <v>562</v>
      </c>
      <c r="L3702" s="13">
        <v>42381</v>
      </c>
      <c r="M3702" t="s">
        <v>76</v>
      </c>
      <c r="N3702" t="s">
        <v>2641</v>
      </c>
      <c r="O3702">
        <v>320.64999999999998</v>
      </c>
      <c r="P3702" t="s">
        <v>565</v>
      </c>
    </row>
    <row r="3703" spans="1:16" x14ac:dyDescent="0.4">
      <c r="A3703" t="s">
        <v>15</v>
      </c>
      <c r="B3703" t="s">
        <v>16</v>
      </c>
      <c r="C3703" s="13">
        <v>42370</v>
      </c>
      <c r="D3703" s="13">
        <v>42735</v>
      </c>
      <c r="E3703" t="s">
        <v>17</v>
      </c>
      <c r="F3703">
        <v>15</v>
      </c>
      <c r="G3703" t="s">
        <v>560</v>
      </c>
      <c r="H3703">
        <v>50</v>
      </c>
      <c r="I3703" t="s">
        <v>561</v>
      </c>
      <c r="J3703">
        <v>269</v>
      </c>
      <c r="K3703" t="s">
        <v>562</v>
      </c>
      <c r="L3703" s="13">
        <v>42402</v>
      </c>
      <c r="M3703" t="s">
        <v>76</v>
      </c>
      <c r="N3703" t="s">
        <v>46</v>
      </c>
      <c r="O3703">
        <v>608.42999999999995</v>
      </c>
      <c r="P3703" t="s">
        <v>46</v>
      </c>
    </row>
    <row r="3704" spans="1:16" x14ac:dyDescent="0.4">
      <c r="A3704" t="s">
        <v>15</v>
      </c>
      <c r="B3704" t="s">
        <v>16</v>
      </c>
      <c r="C3704" s="13">
        <v>42370</v>
      </c>
      <c r="D3704" s="13">
        <v>42735</v>
      </c>
      <c r="E3704" t="s">
        <v>17</v>
      </c>
      <c r="F3704">
        <v>15</v>
      </c>
      <c r="G3704" t="s">
        <v>560</v>
      </c>
      <c r="H3704">
        <v>50</v>
      </c>
      <c r="I3704" t="s">
        <v>561</v>
      </c>
      <c r="J3704">
        <v>269</v>
      </c>
      <c r="K3704" t="s">
        <v>562</v>
      </c>
      <c r="L3704" s="13">
        <v>42433</v>
      </c>
      <c r="M3704" t="s">
        <v>76</v>
      </c>
      <c r="N3704" t="s">
        <v>46</v>
      </c>
      <c r="O3704">
        <v>471.41</v>
      </c>
      <c r="P3704" t="s">
        <v>46</v>
      </c>
    </row>
    <row r="3705" spans="1:16" x14ac:dyDescent="0.4">
      <c r="A3705" t="s">
        <v>15</v>
      </c>
      <c r="B3705" t="s">
        <v>16</v>
      </c>
      <c r="C3705" s="13">
        <v>42370</v>
      </c>
      <c r="D3705" s="13">
        <v>42735</v>
      </c>
      <c r="E3705" t="s">
        <v>17</v>
      </c>
      <c r="F3705">
        <v>15</v>
      </c>
      <c r="G3705" t="s">
        <v>560</v>
      </c>
      <c r="H3705">
        <v>50</v>
      </c>
      <c r="I3705" t="s">
        <v>561</v>
      </c>
      <c r="J3705">
        <v>269</v>
      </c>
      <c r="K3705" t="s">
        <v>562</v>
      </c>
      <c r="L3705" s="13">
        <v>42466</v>
      </c>
      <c r="M3705" t="s">
        <v>76</v>
      </c>
      <c r="N3705" t="s">
        <v>2642</v>
      </c>
      <c r="O3705">
        <v>311.19</v>
      </c>
      <c r="P3705" t="s">
        <v>565</v>
      </c>
    </row>
    <row r="3706" spans="1:16" x14ac:dyDescent="0.4">
      <c r="A3706" t="s">
        <v>15</v>
      </c>
      <c r="B3706" t="s">
        <v>16</v>
      </c>
      <c r="C3706" s="13">
        <v>42370</v>
      </c>
      <c r="D3706" s="13">
        <v>42735</v>
      </c>
      <c r="E3706" t="s">
        <v>17</v>
      </c>
      <c r="F3706">
        <v>15</v>
      </c>
      <c r="G3706" t="s">
        <v>560</v>
      </c>
      <c r="H3706">
        <v>50</v>
      </c>
      <c r="I3706" t="s">
        <v>561</v>
      </c>
      <c r="J3706">
        <v>269</v>
      </c>
      <c r="K3706" t="s">
        <v>562</v>
      </c>
      <c r="L3706" s="13">
        <v>42479</v>
      </c>
      <c r="M3706" t="s">
        <v>76</v>
      </c>
      <c r="N3706" t="s">
        <v>2643</v>
      </c>
      <c r="O3706">
        <v>239.88</v>
      </c>
      <c r="P3706" t="s">
        <v>565</v>
      </c>
    </row>
    <row r="3707" spans="1:16" x14ac:dyDescent="0.4">
      <c r="A3707" t="s">
        <v>15</v>
      </c>
      <c r="B3707" t="s">
        <v>16</v>
      </c>
      <c r="C3707" s="13">
        <v>42370</v>
      </c>
      <c r="D3707" s="13">
        <v>42735</v>
      </c>
      <c r="E3707" t="s">
        <v>17</v>
      </c>
      <c r="F3707">
        <v>15</v>
      </c>
      <c r="G3707" t="s">
        <v>560</v>
      </c>
      <c r="H3707">
        <v>50</v>
      </c>
      <c r="I3707" t="s">
        <v>561</v>
      </c>
      <c r="J3707">
        <v>269</v>
      </c>
      <c r="K3707" t="s">
        <v>562</v>
      </c>
      <c r="L3707" s="13">
        <v>42502</v>
      </c>
      <c r="M3707" t="s">
        <v>76</v>
      </c>
      <c r="N3707" t="s">
        <v>2644</v>
      </c>
      <c r="O3707">
        <v>209.49</v>
      </c>
      <c r="P3707" t="s">
        <v>565</v>
      </c>
    </row>
    <row r="3708" spans="1:16" x14ac:dyDescent="0.4">
      <c r="A3708" t="s">
        <v>15</v>
      </c>
      <c r="B3708" t="s">
        <v>16</v>
      </c>
      <c r="C3708" s="13">
        <v>42370</v>
      </c>
      <c r="D3708" s="13">
        <v>42735</v>
      </c>
      <c r="E3708" t="s">
        <v>17</v>
      </c>
      <c r="F3708">
        <v>15</v>
      </c>
      <c r="G3708" t="s">
        <v>560</v>
      </c>
      <c r="H3708">
        <v>50</v>
      </c>
      <c r="I3708" t="s">
        <v>561</v>
      </c>
      <c r="J3708">
        <v>269</v>
      </c>
      <c r="K3708" t="s">
        <v>562</v>
      </c>
      <c r="L3708" s="13">
        <v>42533</v>
      </c>
      <c r="M3708" t="s">
        <v>76</v>
      </c>
      <c r="N3708" t="s">
        <v>46</v>
      </c>
      <c r="O3708">
        <v>314.79000000000002</v>
      </c>
      <c r="P3708" t="s">
        <v>46</v>
      </c>
    </row>
    <row r="3709" spans="1:16" x14ac:dyDescent="0.4">
      <c r="A3709" t="s">
        <v>15</v>
      </c>
      <c r="B3709" t="s">
        <v>16</v>
      </c>
      <c r="C3709" s="13">
        <v>42370</v>
      </c>
      <c r="D3709" s="13">
        <v>42735</v>
      </c>
      <c r="E3709" t="s">
        <v>17</v>
      </c>
      <c r="F3709">
        <v>15</v>
      </c>
      <c r="G3709" t="s">
        <v>560</v>
      </c>
      <c r="H3709">
        <v>50</v>
      </c>
      <c r="I3709" t="s">
        <v>561</v>
      </c>
      <c r="J3709">
        <v>269</v>
      </c>
      <c r="K3709" t="s">
        <v>562</v>
      </c>
      <c r="L3709" s="13">
        <v>42563</v>
      </c>
      <c r="M3709" t="s">
        <v>76</v>
      </c>
      <c r="N3709" t="s">
        <v>46</v>
      </c>
      <c r="O3709">
        <v>275.39</v>
      </c>
      <c r="P3709" t="s">
        <v>46</v>
      </c>
    </row>
    <row r="3710" spans="1:16" x14ac:dyDescent="0.4">
      <c r="A3710" t="s">
        <v>15</v>
      </c>
      <c r="B3710" t="s">
        <v>16</v>
      </c>
      <c r="C3710" s="13">
        <v>42370</v>
      </c>
      <c r="D3710" s="13">
        <v>42735</v>
      </c>
      <c r="E3710" t="s">
        <v>17</v>
      </c>
      <c r="F3710">
        <v>15</v>
      </c>
      <c r="G3710" t="s">
        <v>560</v>
      </c>
      <c r="H3710">
        <v>50</v>
      </c>
      <c r="I3710" t="s">
        <v>561</v>
      </c>
      <c r="J3710">
        <v>269</v>
      </c>
      <c r="K3710" t="s">
        <v>562</v>
      </c>
      <c r="L3710" s="13">
        <v>42594</v>
      </c>
      <c r="M3710" t="s">
        <v>76</v>
      </c>
      <c r="N3710" t="s">
        <v>2645</v>
      </c>
      <c r="O3710">
        <v>236.89</v>
      </c>
      <c r="P3710" t="s">
        <v>565</v>
      </c>
    </row>
    <row r="3711" spans="1:16" x14ac:dyDescent="0.4">
      <c r="A3711" t="s">
        <v>15</v>
      </c>
      <c r="B3711" t="s">
        <v>16</v>
      </c>
      <c r="C3711" s="13">
        <v>42370</v>
      </c>
      <c r="D3711" s="13">
        <v>42735</v>
      </c>
      <c r="E3711" t="s">
        <v>17</v>
      </c>
      <c r="F3711">
        <v>15</v>
      </c>
      <c r="G3711" t="s">
        <v>560</v>
      </c>
      <c r="H3711">
        <v>50</v>
      </c>
      <c r="I3711" t="s">
        <v>561</v>
      </c>
      <c r="J3711">
        <v>269</v>
      </c>
      <c r="K3711" t="s">
        <v>562</v>
      </c>
      <c r="L3711" s="13">
        <v>42625</v>
      </c>
      <c r="M3711" t="s">
        <v>76</v>
      </c>
      <c r="N3711" t="s">
        <v>2646</v>
      </c>
      <c r="O3711">
        <v>312.60000000000002</v>
      </c>
      <c r="P3711" t="s">
        <v>565</v>
      </c>
    </row>
    <row r="3712" spans="1:16" x14ac:dyDescent="0.4">
      <c r="A3712" t="s">
        <v>15</v>
      </c>
      <c r="B3712" t="s">
        <v>16</v>
      </c>
      <c r="C3712" s="13">
        <v>42370</v>
      </c>
      <c r="D3712" s="13">
        <v>42735</v>
      </c>
      <c r="E3712" t="s">
        <v>17</v>
      </c>
      <c r="F3712">
        <v>15</v>
      </c>
      <c r="G3712" t="s">
        <v>560</v>
      </c>
      <c r="H3712">
        <v>50</v>
      </c>
      <c r="I3712" t="s">
        <v>561</v>
      </c>
      <c r="J3712">
        <v>269</v>
      </c>
      <c r="K3712" t="s">
        <v>562</v>
      </c>
      <c r="L3712" s="13">
        <v>42655</v>
      </c>
      <c r="M3712" t="s">
        <v>76</v>
      </c>
      <c r="N3712" t="s">
        <v>2647</v>
      </c>
      <c r="O3712">
        <v>253.8</v>
      </c>
      <c r="P3712" t="s">
        <v>565</v>
      </c>
    </row>
    <row r="3713" spans="1:16" x14ac:dyDescent="0.4">
      <c r="A3713" t="s">
        <v>15</v>
      </c>
      <c r="B3713" t="s">
        <v>16</v>
      </c>
      <c r="C3713" s="13">
        <v>42370</v>
      </c>
      <c r="D3713" s="13">
        <v>42735</v>
      </c>
      <c r="E3713" t="s">
        <v>17</v>
      </c>
      <c r="F3713">
        <v>15</v>
      </c>
      <c r="G3713" t="s">
        <v>560</v>
      </c>
      <c r="H3713">
        <v>50</v>
      </c>
      <c r="I3713" t="s">
        <v>561</v>
      </c>
      <c r="J3713">
        <v>269</v>
      </c>
      <c r="K3713" t="s">
        <v>562</v>
      </c>
      <c r="L3713" s="13">
        <v>42686</v>
      </c>
      <c r="M3713" t="s">
        <v>76</v>
      </c>
      <c r="N3713" t="s">
        <v>2648</v>
      </c>
      <c r="O3713">
        <v>335.5</v>
      </c>
      <c r="P3713" t="s">
        <v>565</v>
      </c>
    </row>
    <row r="3714" spans="1:16" x14ac:dyDescent="0.4">
      <c r="A3714" t="s">
        <v>15</v>
      </c>
      <c r="B3714" t="s">
        <v>16</v>
      </c>
      <c r="C3714" s="13">
        <v>42370</v>
      </c>
      <c r="D3714" s="13">
        <v>42735</v>
      </c>
      <c r="E3714" t="s">
        <v>17</v>
      </c>
      <c r="F3714">
        <v>15</v>
      </c>
      <c r="G3714" t="s">
        <v>560</v>
      </c>
      <c r="H3714">
        <v>50</v>
      </c>
      <c r="I3714" t="s">
        <v>561</v>
      </c>
      <c r="J3714">
        <v>269</v>
      </c>
      <c r="K3714" t="s">
        <v>562</v>
      </c>
      <c r="L3714" s="13">
        <v>42709</v>
      </c>
      <c r="M3714" t="s">
        <v>76</v>
      </c>
      <c r="N3714" t="s">
        <v>2649</v>
      </c>
      <c r="O3714">
        <v>82.53</v>
      </c>
      <c r="P3714" t="s">
        <v>565</v>
      </c>
    </row>
    <row r="3715" spans="1:16" x14ac:dyDescent="0.4">
      <c r="A3715" t="s">
        <v>15</v>
      </c>
      <c r="B3715" t="s">
        <v>16</v>
      </c>
      <c r="C3715" s="13">
        <v>42370</v>
      </c>
      <c r="D3715" s="13">
        <v>42735</v>
      </c>
      <c r="E3715" t="s">
        <v>17</v>
      </c>
      <c r="F3715">
        <v>15</v>
      </c>
      <c r="G3715" t="s">
        <v>560</v>
      </c>
      <c r="H3715">
        <v>50</v>
      </c>
      <c r="I3715" t="s">
        <v>561</v>
      </c>
      <c r="J3715">
        <v>269</v>
      </c>
      <c r="K3715" t="s">
        <v>562</v>
      </c>
      <c r="L3715" s="13">
        <v>42717</v>
      </c>
      <c r="M3715" t="s">
        <v>76</v>
      </c>
      <c r="N3715" t="s">
        <v>2650</v>
      </c>
      <c r="O3715">
        <v>526.55999999999995</v>
      </c>
      <c r="P3715" t="s">
        <v>565</v>
      </c>
    </row>
    <row r="3716" spans="1:16" x14ac:dyDescent="0.4">
      <c r="A3716" t="s">
        <v>15</v>
      </c>
      <c r="B3716" t="s">
        <v>16</v>
      </c>
      <c r="C3716" s="13">
        <v>42370</v>
      </c>
      <c r="D3716" s="13">
        <v>42735</v>
      </c>
      <c r="E3716" t="s">
        <v>17</v>
      </c>
      <c r="F3716">
        <v>15</v>
      </c>
      <c r="G3716" t="s">
        <v>560</v>
      </c>
      <c r="H3716">
        <v>50</v>
      </c>
      <c r="I3716" t="s">
        <v>561</v>
      </c>
      <c r="J3716">
        <v>286</v>
      </c>
      <c r="K3716" t="s">
        <v>588</v>
      </c>
      <c r="L3716" s="13">
        <v>42735</v>
      </c>
      <c r="M3716" t="s">
        <v>2652</v>
      </c>
      <c r="N3716" t="s">
        <v>86</v>
      </c>
      <c r="O3716">
        <v>1458.21</v>
      </c>
      <c r="P3716" t="s">
        <v>46</v>
      </c>
    </row>
    <row r="3717" spans="1:16" x14ac:dyDescent="0.4">
      <c r="A3717" t="s">
        <v>15</v>
      </c>
      <c r="B3717" t="s">
        <v>16</v>
      </c>
      <c r="C3717" s="13">
        <v>42370</v>
      </c>
      <c r="D3717" s="13">
        <v>42735</v>
      </c>
      <c r="E3717" t="s">
        <v>17</v>
      </c>
      <c r="F3717">
        <v>15</v>
      </c>
      <c r="G3717" t="s">
        <v>560</v>
      </c>
      <c r="H3717">
        <v>50</v>
      </c>
      <c r="I3717" t="s">
        <v>561</v>
      </c>
      <c r="J3717">
        <v>289</v>
      </c>
      <c r="K3717" t="s">
        <v>615</v>
      </c>
      <c r="L3717" s="13">
        <v>42735</v>
      </c>
      <c r="M3717" t="s">
        <v>616</v>
      </c>
      <c r="N3717" t="s">
        <v>98</v>
      </c>
      <c r="O3717">
        <v>-54.46</v>
      </c>
      <c r="P3717" t="s">
        <v>46</v>
      </c>
    </row>
    <row r="3718" spans="1:16" x14ac:dyDescent="0.4">
      <c r="A3718" t="s">
        <v>15</v>
      </c>
      <c r="B3718" t="s">
        <v>16</v>
      </c>
      <c r="C3718" s="13">
        <v>42370</v>
      </c>
      <c r="D3718" s="13">
        <v>42735</v>
      </c>
      <c r="E3718" t="s">
        <v>17</v>
      </c>
      <c r="F3718">
        <v>16</v>
      </c>
      <c r="G3718" t="s">
        <v>617</v>
      </c>
      <c r="H3718">
        <v>6</v>
      </c>
      <c r="I3718" t="s">
        <v>618</v>
      </c>
      <c r="J3718">
        <v>115</v>
      </c>
      <c r="K3718" t="s">
        <v>1416</v>
      </c>
      <c r="L3718" s="13">
        <v>42572</v>
      </c>
      <c r="M3718" t="s">
        <v>2653</v>
      </c>
      <c r="N3718" t="s">
        <v>2654</v>
      </c>
      <c r="O3718">
        <v>165</v>
      </c>
      <c r="P3718" t="s">
        <v>472</v>
      </c>
    </row>
    <row r="3719" spans="1:16" x14ac:dyDescent="0.4">
      <c r="A3719" t="s">
        <v>15</v>
      </c>
      <c r="B3719" t="s">
        <v>16</v>
      </c>
      <c r="C3719" s="13">
        <v>42370</v>
      </c>
      <c r="D3719" s="13">
        <v>42735</v>
      </c>
      <c r="E3719" t="s">
        <v>17</v>
      </c>
      <c r="F3719">
        <v>16</v>
      </c>
      <c r="G3719" t="s">
        <v>617</v>
      </c>
      <c r="H3719">
        <v>6</v>
      </c>
      <c r="I3719" t="s">
        <v>618</v>
      </c>
      <c r="J3719">
        <v>269</v>
      </c>
      <c r="K3719" t="s">
        <v>75</v>
      </c>
      <c r="L3719" s="13">
        <v>42391</v>
      </c>
      <c r="M3719" t="s">
        <v>76</v>
      </c>
      <c r="N3719" t="s">
        <v>2567</v>
      </c>
      <c r="O3719">
        <v>22.78</v>
      </c>
      <c r="P3719" t="s">
        <v>565</v>
      </c>
    </row>
    <row r="3720" spans="1:16" x14ac:dyDescent="0.4">
      <c r="A3720" t="s">
        <v>15</v>
      </c>
      <c r="B3720" t="s">
        <v>16</v>
      </c>
      <c r="C3720" s="13">
        <v>42370</v>
      </c>
      <c r="D3720" s="13">
        <v>42735</v>
      </c>
      <c r="E3720" t="s">
        <v>17</v>
      </c>
      <c r="F3720">
        <v>16</v>
      </c>
      <c r="G3720" t="s">
        <v>617</v>
      </c>
      <c r="H3720">
        <v>6</v>
      </c>
      <c r="I3720" t="s">
        <v>618</v>
      </c>
      <c r="J3720">
        <v>269</v>
      </c>
      <c r="K3720" t="s">
        <v>75</v>
      </c>
      <c r="L3720" s="13">
        <v>42452</v>
      </c>
      <c r="M3720" t="s">
        <v>76</v>
      </c>
      <c r="N3720" t="s">
        <v>2568</v>
      </c>
      <c r="O3720">
        <v>24.37</v>
      </c>
      <c r="P3720" t="s">
        <v>565</v>
      </c>
    </row>
    <row r="3721" spans="1:16" x14ac:dyDescent="0.4">
      <c r="A3721" t="s">
        <v>15</v>
      </c>
      <c r="B3721" t="s">
        <v>16</v>
      </c>
      <c r="C3721" s="13">
        <v>42370</v>
      </c>
      <c r="D3721" s="13">
        <v>42735</v>
      </c>
      <c r="E3721" t="s">
        <v>17</v>
      </c>
      <c r="F3721">
        <v>16</v>
      </c>
      <c r="G3721" t="s">
        <v>617</v>
      </c>
      <c r="H3721">
        <v>6</v>
      </c>
      <c r="I3721" t="s">
        <v>618</v>
      </c>
      <c r="J3721">
        <v>269</v>
      </c>
      <c r="K3721" t="s">
        <v>75</v>
      </c>
      <c r="L3721" s="13">
        <v>42514</v>
      </c>
      <c r="M3721" t="s">
        <v>76</v>
      </c>
      <c r="N3721" t="s">
        <v>2569</v>
      </c>
      <c r="O3721">
        <v>21.6</v>
      </c>
      <c r="P3721" t="s">
        <v>565</v>
      </c>
    </row>
    <row r="3722" spans="1:16" x14ac:dyDescent="0.4">
      <c r="A3722" t="s">
        <v>15</v>
      </c>
      <c r="B3722" t="s">
        <v>16</v>
      </c>
      <c r="C3722" s="13">
        <v>42370</v>
      </c>
      <c r="D3722" s="13">
        <v>42735</v>
      </c>
      <c r="E3722" t="s">
        <v>17</v>
      </c>
      <c r="F3722">
        <v>16</v>
      </c>
      <c r="G3722" t="s">
        <v>617</v>
      </c>
      <c r="H3722">
        <v>6</v>
      </c>
      <c r="I3722" t="s">
        <v>618</v>
      </c>
      <c r="J3722">
        <v>269</v>
      </c>
      <c r="K3722" t="s">
        <v>75</v>
      </c>
      <c r="L3722" s="13">
        <v>42573</v>
      </c>
      <c r="M3722" t="s">
        <v>76</v>
      </c>
      <c r="N3722" t="s">
        <v>2570</v>
      </c>
      <c r="O3722">
        <v>18.829999999999998</v>
      </c>
      <c r="P3722" t="s">
        <v>565</v>
      </c>
    </row>
    <row r="3723" spans="1:16" x14ac:dyDescent="0.4">
      <c r="A3723" t="s">
        <v>15</v>
      </c>
      <c r="B3723" t="s">
        <v>16</v>
      </c>
      <c r="C3723" s="13">
        <v>42370</v>
      </c>
      <c r="D3723" s="13">
        <v>42735</v>
      </c>
      <c r="E3723" t="s">
        <v>17</v>
      </c>
      <c r="F3723">
        <v>16</v>
      </c>
      <c r="G3723" t="s">
        <v>617</v>
      </c>
      <c r="H3723">
        <v>6</v>
      </c>
      <c r="I3723" t="s">
        <v>618</v>
      </c>
      <c r="J3723">
        <v>269</v>
      </c>
      <c r="K3723" t="s">
        <v>75</v>
      </c>
      <c r="L3723" s="13">
        <v>42637</v>
      </c>
      <c r="M3723" t="s">
        <v>76</v>
      </c>
      <c r="N3723" t="s">
        <v>2571</v>
      </c>
      <c r="O3723">
        <v>20.61</v>
      </c>
      <c r="P3723" t="s">
        <v>565</v>
      </c>
    </row>
    <row r="3724" spans="1:16" x14ac:dyDescent="0.4">
      <c r="A3724" t="s">
        <v>15</v>
      </c>
      <c r="B3724" t="s">
        <v>16</v>
      </c>
      <c r="C3724" s="13">
        <v>42370</v>
      </c>
      <c r="D3724" s="13">
        <v>42735</v>
      </c>
      <c r="E3724" t="s">
        <v>17</v>
      </c>
      <c r="F3724">
        <v>16</v>
      </c>
      <c r="G3724" t="s">
        <v>617</v>
      </c>
      <c r="H3724">
        <v>6</v>
      </c>
      <c r="I3724" t="s">
        <v>618</v>
      </c>
      <c r="J3724">
        <v>269</v>
      </c>
      <c r="K3724" t="s">
        <v>75</v>
      </c>
      <c r="L3724" s="13">
        <v>42697</v>
      </c>
      <c r="M3724" t="s">
        <v>76</v>
      </c>
      <c r="N3724" t="s">
        <v>2572</v>
      </c>
      <c r="O3724">
        <v>21.46</v>
      </c>
      <c r="P3724" t="s">
        <v>565</v>
      </c>
    </row>
    <row r="3725" spans="1:16" x14ac:dyDescent="0.4">
      <c r="A3725" t="s">
        <v>15</v>
      </c>
      <c r="B3725" t="s">
        <v>16</v>
      </c>
      <c r="C3725" s="13">
        <v>42370</v>
      </c>
      <c r="D3725" s="13">
        <v>42735</v>
      </c>
      <c r="E3725" t="s">
        <v>17</v>
      </c>
      <c r="F3725">
        <v>16</v>
      </c>
      <c r="G3725" t="s">
        <v>617</v>
      </c>
      <c r="H3725">
        <v>6</v>
      </c>
      <c r="I3725" t="s">
        <v>618</v>
      </c>
      <c r="J3725">
        <v>441</v>
      </c>
      <c r="K3725" t="s">
        <v>268</v>
      </c>
      <c r="L3725" s="13">
        <v>42370</v>
      </c>
      <c r="M3725" t="s">
        <v>2597</v>
      </c>
      <c r="N3725" t="s">
        <v>2655</v>
      </c>
      <c r="O3725">
        <v>6500.5</v>
      </c>
      <c r="P3725" t="s">
        <v>494</v>
      </c>
    </row>
    <row r="3726" spans="1:16" x14ac:dyDescent="0.4">
      <c r="A3726" t="s">
        <v>15</v>
      </c>
      <c r="B3726" t="s">
        <v>16</v>
      </c>
      <c r="C3726" s="13">
        <v>42370</v>
      </c>
      <c r="D3726" s="13">
        <v>42735</v>
      </c>
      <c r="E3726" t="s">
        <v>30</v>
      </c>
      <c r="F3726">
        <v>17</v>
      </c>
      <c r="G3726" t="s">
        <v>619</v>
      </c>
      <c r="H3726">
        <v>6</v>
      </c>
      <c r="I3726" t="s">
        <v>620</v>
      </c>
      <c r="J3726">
        <v>233</v>
      </c>
      <c r="K3726" t="s">
        <v>2128</v>
      </c>
      <c r="L3726" s="13">
        <v>42543</v>
      </c>
      <c r="M3726" t="s">
        <v>2656</v>
      </c>
      <c r="N3726" t="s">
        <v>46</v>
      </c>
      <c r="O3726">
        <v>47.28</v>
      </c>
      <c r="P3726" t="s">
        <v>46</v>
      </c>
    </row>
    <row r="3727" spans="1:16" x14ac:dyDescent="0.4">
      <c r="A3727" t="s">
        <v>15</v>
      </c>
      <c r="B3727" t="s">
        <v>16</v>
      </c>
      <c r="C3727" s="13">
        <v>42370</v>
      </c>
      <c r="D3727" s="13">
        <v>42735</v>
      </c>
      <c r="E3727" t="s">
        <v>17</v>
      </c>
      <c r="F3727">
        <v>17</v>
      </c>
      <c r="G3727" t="s">
        <v>619</v>
      </c>
      <c r="H3727">
        <v>6</v>
      </c>
      <c r="I3727" t="s">
        <v>620</v>
      </c>
      <c r="J3727">
        <v>269</v>
      </c>
      <c r="K3727" t="s">
        <v>75</v>
      </c>
      <c r="L3727" s="13">
        <v>42391</v>
      </c>
      <c r="M3727" t="s">
        <v>76</v>
      </c>
      <c r="N3727" t="s">
        <v>2567</v>
      </c>
      <c r="O3727">
        <v>22.78</v>
      </c>
      <c r="P3727" t="s">
        <v>565</v>
      </c>
    </row>
    <row r="3728" spans="1:16" x14ac:dyDescent="0.4">
      <c r="A3728" t="s">
        <v>15</v>
      </c>
      <c r="B3728" t="s">
        <v>16</v>
      </c>
      <c r="C3728" s="13">
        <v>42370</v>
      </c>
      <c r="D3728" s="13">
        <v>42735</v>
      </c>
      <c r="E3728" t="s">
        <v>17</v>
      </c>
      <c r="F3728">
        <v>17</v>
      </c>
      <c r="G3728" t="s">
        <v>619</v>
      </c>
      <c r="H3728">
        <v>6</v>
      </c>
      <c r="I3728" t="s">
        <v>620</v>
      </c>
      <c r="J3728">
        <v>269</v>
      </c>
      <c r="K3728" t="s">
        <v>75</v>
      </c>
      <c r="L3728" s="13">
        <v>42452</v>
      </c>
      <c r="M3728" t="s">
        <v>76</v>
      </c>
      <c r="N3728" t="s">
        <v>2568</v>
      </c>
      <c r="O3728">
        <v>24.37</v>
      </c>
      <c r="P3728" t="s">
        <v>565</v>
      </c>
    </row>
    <row r="3729" spans="1:16" x14ac:dyDescent="0.4">
      <c r="A3729" t="s">
        <v>15</v>
      </c>
      <c r="B3729" t="s">
        <v>16</v>
      </c>
      <c r="C3729" s="13">
        <v>42370</v>
      </c>
      <c r="D3729" s="13">
        <v>42735</v>
      </c>
      <c r="E3729" t="s">
        <v>17</v>
      </c>
      <c r="F3729">
        <v>17</v>
      </c>
      <c r="G3729" t="s">
        <v>619</v>
      </c>
      <c r="H3729">
        <v>6</v>
      </c>
      <c r="I3729" t="s">
        <v>620</v>
      </c>
      <c r="J3729">
        <v>269</v>
      </c>
      <c r="K3729" t="s">
        <v>75</v>
      </c>
      <c r="L3729" s="13">
        <v>42514</v>
      </c>
      <c r="M3729" t="s">
        <v>76</v>
      </c>
      <c r="N3729" t="s">
        <v>2569</v>
      </c>
      <c r="O3729">
        <v>21.6</v>
      </c>
      <c r="P3729" t="s">
        <v>565</v>
      </c>
    </row>
    <row r="3730" spans="1:16" x14ac:dyDescent="0.4">
      <c r="A3730" t="s">
        <v>15</v>
      </c>
      <c r="B3730" t="s">
        <v>16</v>
      </c>
      <c r="C3730" s="13">
        <v>42370</v>
      </c>
      <c r="D3730" s="13">
        <v>42735</v>
      </c>
      <c r="E3730" t="s">
        <v>17</v>
      </c>
      <c r="F3730">
        <v>17</v>
      </c>
      <c r="G3730" t="s">
        <v>619</v>
      </c>
      <c r="H3730">
        <v>6</v>
      </c>
      <c r="I3730" t="s">
        <v>620</v>
      </c>
      <c r="J3730">
        <v>269</v>
      </c>
      <c r="K3730" t="s">
        <v>75</v>
      </c>
      <c r="L3730" s="13">
        <v>42573</v>
      </c>
      <c r="M3730" t="s">
        <v>76</v>
      </c>
      <c r="N3730" t="s">
        <v>2570</v>
      </c>
      <c r="O3730">
        <v>18.829999999999998</v>
      </c>
      <c r="P3730" t="s">
        <v>565</v>
      </c>
    </row>
    <row r="3731" spans="1:16" x14ac:dyDescent="0.4">
      <c r="A3731" t="s">
        <v>15</v>
      </c>
      <c r="B3731" t="s">
        <v>16</v>
      </c>
      <c r="C3731" s="13">
        <v>42370</v>
      </c>
      <c r="D3731" s="13">
        <v>42735</v>
      </c>
      <c r="E3731" t="s">
        <v>17</v>
      </c>
      <c r="F3731">
        <v>17</v>
      </c>
      <c r="G3731" t="s">
        <v>619</v>
      </c>
      <c r="H3731">
        <v>6</v>
      </c>
      <c r="I3731" t="s">
        <v>620</v>
      </c>
      <c r="J3731">
        <v>269</v>
      </c>
      <c r="K3731" t="s">
        <v>75</v>
      </c>
      <c r="L3731" s="13">
        <v>42637</v>
      </c>
      <c r="M3731" t="s">
        <v>76</v>
      </c>
      <c r="N3731" t="s">
        <v>2571</v>
      </c>
      <c r="O3731">
        <v>20.61</v>
      </c>
      <c r="P3731" t="s">
        <v>565</v>
      </c>
    </row>
    <row r="3732" spans="1:16" x14ac:dyDescent="0.4">
      <c r="A3732" t="s">
        <v>15</v>
      </c>
      <c r="B3732" t="s">
        <v>16</v>
      </c>
      <c r="C3732" s="13">
        <v>42370</v>
      </c>
      <c r="D3732" s="13">
        <v>42735</v>
      </c>
      <c r="E3732" t="s">
        <v>17</v>
      </c>
      <c r="F3732">
        <v>17</v>
      </c>
      <c r="G3732" t="s">
        <v>619</v>
      </c>
      <c r="H3732">
        <v>6</v>
      </c>
      <c r="I3732" t="s">
        <v>620</v>
      </c>
      <c r="J3732">
        <v>269</v>
      </c>
      <c r="K3732" t="s">
        <v>75</v>
      </c>
      <c r="L3732" s="13">
        <v>42697</v>
      </c>
      <c r="M3732" t="s">
        <v>76</v>
      </c>
      <c r="N3732" t="s">
        <v>2572</v>
      </c>
      <c r="O3732">
        <v>21.46</v>
      </c>
      <c r="P3732" t="s">
        <v>565</v>
      </c>
    </row>
    <row r="3733" spans="1:16" x14ac:dyDescent="0.4">
      <c r="A3733" t="s">
        <v>15</v>
      </c>
      <c r="B3733" t="s">
        <v>16</v>
      </c>
      <c r="C3733" s="13">
        <v>42370</v>
      </c>
      <c r="D3733" s="13">
        <v>42735</v>
      </c>
      <c r="E3733" t="s">
        <v>17</v>
      </c>
      <c r="F3733">
        <v>17</v>
      </c>
      <c r="G3733" t="s">
        <v>619</v>
      </c>
      <c r="H3733">
        <v>6</v>
      </c>
      <c r="I3733" t="s">
        <v>620</v>
      </c>
      <c r="J3733">
        <v>441</v>
      </c>
      <c r="K3733" t="s">
        <v>268</v>
      </c>
      <c r="L3733" s="13">
        <v>42370</v>
      </c>
      <c r="M3733" t="s">
        <v>2597</v>
      </c>
      <c r="N3733" t="s">
        <v>2657</v>
      </c>
      <c r="O3733">
        <v>2184.9299999999998</v>
      </c>
      <c r="P3733" t="s">
        <v>494</v>
      </c>
    </row>
    <row r="3734" spans="1:16" x14ac:dyDescent="0.4">
      <c r="A3734" t="s">
        <v>15</v>
      </c>
      <c r="B3734" t="s">
        <v>16</v>
      </c>
      <c r="C3734" s="13">
        <v>42005</v>
      </c>
      <c r="D3734" s="13">
        <v>42369</v>
      </c>
      <c r="E3734" t="s">
        <v>30</v>
      </c>
      <c r="F3734">
        <v>0</v>
      </c>
      <c r="G3734" t="s">
        <v>18</v>
      </c>
      <c r="H3734">
        <v>1</v>
      </c>
      <c r="I3734" t="s">
        <v>19</v>
      </c>
      <c r="J3734">
        <v>106</v>
      </c>
      <c r="K3734" t="s">
        <v>422</v>
      </c>
      <c r="L3734" s="13">
        <v>42292</v>
      </c>
      <c r="M3734" t="s">
        <v>2658</v>
      </c>
      <c r="N3734" t="s">
        <v>2659</v>
      </c>
      <c r="O3734">
        <v>576</v>
      </c>
      <c r="P3734" t="s">
        <v>2660</v>
      </c>
    </row>
    <row r="3735" spans="1:16" x14ac:dyDescent="0.4">
      <c r="A3735" t="s">
        <v>15</v>
      </c>
      <c r="B3735" t="s">
        <v>16</v>
      </c>
      <c r="C3735" s="13">
        <v>42005</v>
      </c>
      <c r="D3735" s="13">
        <v>42369</v>
      </c>
      <c r="E3735" t="s">
        <v>17</v>
      </c>
      <c r="F3735">
        <v>0</v>
      </c>
      <c r="G3735" t="s">
        <v>18</v>
      </c>
      <c r="H3735">
        <v>1</v>
      </c>
      <c r="I3735" t="s">
        <v>19</v>
      </c>
      <c r="J3735">
        <v>115</v>
      </c>
      <c r="K3735" t="s">
        <v>1416</v>
      </c>
      <c r="L3735" s="13">
        <v>42257</v>
      </c>
      <c r="M3735" t="s">
        <v>2661</v>
      </c>
      <c r="N3735" t="s">
        <v>2662</v>
      </c>
      <c r="O3735">
        <v>388.52</v>
      </c>
      <c r="P3735" t="s">
        <v>472</v>
      </c>
    </row>
    <row r="3736" spans="1:16" x14ac:dyDescent="0.4">
      <c r="A3736" t="s">
        <v>15</v>
      </c>
      <c r="B3736" t="s">
        <v>16</v>
      </c>
      <c r="C3736" s="13">
        <v>42005</v>
      </c>
      <c r="D3736" s="13">
        <v>42369</v>
      </c>
      <c r="E3736" t="s">
        <v>17</v>
      </c>
      <c r="F3736">
        <v>0</v>
      </c>
      <c r="G3736" t="s">
        <v>18</v>
      </c>
      <c r="H3736">
        <v>1</v>
      </c>
      <c r="I3736" t="s">
        <v>19</v>
      </c>
      <c r="J3736">
        <v>171</v>
      </c>
      <c r="K3736" t="s">
        <v>20</v>
      </c>
      <c r="L3736" s="13">
        <v>42151</v>
      </c>
      <c r="M3736" t="s">
        <v>2663</v>
      </c>
      <c r="N3736" t="s">
        <v>2664</v>
      </c>
      <c r="O3736">
        <v>1159.2</v>
      </c>
      <c r="P3736" t="s">
        <v>2406</v>
      </c>
    </row>
    <row r="3737" spans="1:16" x14ac:dyDescent="0.4">
      <c r="A3737" t="s">
        <v>15</v>
      </c>
      <c r="B3737" t="s">
        <v>16</v>
      </c>
      <c r="C3737" s="13">
        <v>42005</v>
      </c>
      <c r="D3737" s="13">
        <v>42369</v>
      </c>
      <c r="E3737" t="s">
        <v>17</v>
      </c>
      <c r="F3737">
        <v>0</v>
      </c>
      <c r="G3737" t="s">
        <v>18</v>
      </c>
      <c r="H3737">
        <v>1</v>
      </c>
      <c r="I3737" t="s">
        <v>19</v>
      </c>
      <c r="J3737">
        <v>171</v>
      </c>
      <c r="K3737" t="s">
        <v>20</v>
      </c>
      <c r="L3737" s="13">
        <v>42276</v>
      </c>
      <c r="M3737" t="s">
        <v>2665</v>
      </c>
      <c r="N3737" t="s">
        <v>2666</v>
      </c>
      <c r="O3737">
        <v>1024.8</v>
      </c>
      <c r="P3737" t="s">
        <v>2406</v>
      </c>
    </row>
    <row r="3738" spans="1:16" x14ac:dyDescent="0.4">
      <c r="A3738" t="s">
        <v>15</v>
      </c>
      <c r="B3738" t="s">
        <v>16</v>
      </c>
      <c r="C3738" s="13">
        <v>42005</v>
      </c>
      <c r="D3738" s="13">
        <v>42369</v>
      </c>
      <c r="E3738" t="s">
        <v>30</v>
      </c>
      <c r="F3738">
        <v>0</v>
      </c>
      <c r="G3738" t="s">
        <v>18</v>
      </c>
      <c r="H3738">
        <v>1</v>
      </c>
      <c r="I3738" t="s">
        <v>19</v>
      </c>
      <c r="J3738">
        <v>233</v>
      </c>
      <c r="K3738" t="s">
        <v>31</v>
      </c>
      <c r="L3738" s="13">
        <v>42094</v>
      </c>
      <c r="M3738" t="s">
        <v>2667</v>
      </c>
      <c r="N3738" t="s">
        <v>2668</v>
      </c>
      <c r="O3738">
        <v>122.69</v>
      </c>
      <c r="P3738" t="s">
        <v>2334</v>
      </c>
    </row>
    <row r="3739" spans="1:16" x14ac:dyDescent="0.4">
      <c r="A3739" t="s">
        <v>15</v>
      </c>
      <c r="B3739" t="s">
        <v>16</v>
      </c>
      <c r="C3739" s="13">
        <v>42005</v>
      </c>
      <c r="D3739" s="13">
        <v>42369</v>
      </c>
      <c r="E3739" t="s">
        <v>30</v>
      </c>
      <c r="F3739">
        <v>0</v>
      </c>
      <c r="G3739" t="s">
        <v>18</v>
      </c>
      <c r="H3739">
        <v>1</v>
      </c>
      <c r="I3739" t="s">
        <v>19</v>
      </c>
      <c r="J3739">
        <v>233</v>
      </c>
      <c r="K3739" t="s">
        <v>31</v>
      </c>
      <c r="L3739" s="13">
        <v>42116</v>
      </c>
      <c r="M3739" t="s">
        <v>37</v>
      </c>
      <c r="N3739" t="s">
        <v>46</v>
      </c>
      <c r="O3739">
        <v>570.21</v>
      </c>
      <c r="P3739" t="s">
        <v>34</v>
      </c>
    </row>
    <row r="3740" spans="1:16" x14ac:dyDescent="0.4">
      <c r="A3740" t="s">
        <v>15</v>
      </c>
      <c r="B3740" t="s">
        <v>16</v>
      </c>
      <c r="C3740" s="13">
        <v>42005</v>
      </c>
      <c r="D3740" s="13">
        <v>42369</v>
      </c>
      <c r="E3740" t="s">
        <v>30</v>
      </c>
      <c r="F3740">
        <v>0</v>
      </c>
      <c r="G3740" t="s">
        <v>18</v>
      </c>
      <c r="H3740">
        <v>1</v>
      </c>
      <c r="I3740" t="s">
        <v>19</v>
      </c>
      <c r="J3740">
        <v>233</v>
      </c>
      <c r="K3740" t="s">
        <v>31</v>
      </c>
      <c r="L3740" s="13">
        <v>42345</v>
      </c>
      <c r="M3740" t="s">
        <v>2669</v>
      </c>
      <c r="N3740" t="s">
        <v>46</v>
      </c>
      <c r="O3740">
        <v>300</v>
      </c>
      <c r="P3740" t="s">
        <v>34</v>
      </c>
    </row>
    <row r="3741" spans="1:16" x14ac:dyDescent="0.4">
      <c r="A3741" t="s">
        <v>15</v>
      </c>
      <c r="B3741" t="s">
        <v>16</v>
      </c>
      <c r="C3741" s="13">
        <v>42005</v>
      </c>
      <c r="D3741" s="13">
        <v>42369</v>
      </c>
      <c r="E3741" t="s">
        <v>30</v>
      </c>
      <c r="F3741">
        <v>0</v>
      </c>
      <c r="G3741" t="s">
        <v>18</v>
      </c>
      <c r="H3741">
        <v>1</v>
      </c>
      <c r="I3741" t="s">
        <v>19</v>
      </c>
      <c r="J3741">
        <v>234</v>
      </c>
      <c r="K3741" t="s">
        <v>1769</v>
      </c>
      <c r="L3741" s="13">
        <v>42091</v>
      </c>
      <c r="M3741" t="s">
        <v>2670</v>
      </c>
      <c r="N3741" t="s">
        <v>2671</v>
      </c>
      <c r="O3741">
        <v>62.69</v>
      </c>
      <c r="P3741" t="s">
        <v>1319</v>
      </c>
    </row>
    <row r="3742" spans="1:16" x14ac:dyDescent="0.4">
      <c r="A3742" t="s">
        <v>15</v>
      </c>
      <c r="B3742" t="s">
        <v>16</v>
      </c>
      <c r="C3742" s="13">
        <v>42005</v>
      </c>
      <c r="D3742" s="13">
        <v>42369</v>
      </c>
      <c r="E3742" t="s">
        <v>30</v>
      </c>
      <c r="F3742">
        <v>0</v>
      </c>
      <c r="G3742" t="s">
        <v>18</v>
      </c>
      <c r="H3742">
        <v>1</v>
      </c>
      <c r="I3742" t="s">
        <v>19</v>
      </c>
      <c r="J3742">
        <v>236</v>
      </c>
      <c r="K3742" t="s">
        <v>950</v>
      </c>
      <c r="L3742" s="13">
        <v>42104</v>
      </c>
      <c r="M3742" t="s">
        <v>2672</v>
      </c>
      <c r="N3742" t="s">
        <v>2673</v>
      </c>
      <c r="O3742">
        <v>517</v>
      </c>
      <c r="P3742" t="s">
        <v>2674</v>
      </c>
    </row>
    <row r="3743" spans="1:16" x14ac:dyDescent="0.4">
      <c r="A3743" t="s">
        <v>15</v>
      </c>
      <c r="B3743" t="s">
        <v>16</v>
      </c>
      <c r="C3743" s="13">
        <v>42005</v>
      </c>
      <c r="D3743" s="13">
        <v>42369</v>
      </c>
      <c r="E3743" t="s">
        <v>30</v>
      </c>
      <c r="F3743">
        <v>0</v>
      </c>
      <c r="G3743" t="s">
        <v>18</v>
      </c>
      <c r="H3743">
        <v>1</v>
      </c>
      <c r="I3743" t="s">
        <v>19</v>
      </c>
      <c r="J3743">
        <v>237</v>
      </c>
      <c r="K3743" t="s">
        <v>2423</v>
      </c>
      <c r="L3743" s="13">
        <v>42369</v>
      </c>
      <c r="M3743" t="s">
        <v>2675</v>
      </c>
      <c r="N3743" t="s">
        <v>2425</v>
      </c>
      <c r="O3743">
        <v>-4745.62</v>
      </c>
      <c r="P3743" t="s">
        <v>46</v>
      </c>
    </row>
    <row r="3744" spans="1:16" x14ac:dyDescent="0.4">
      <c r="A3744" t="s">
        <v>15</v>
      </c>
      <c r="B3744" t="s">
        <v>16</v>
      </c>
      <c r="C3744" s="13">
        <v>42005</v>
      </c>
      <c r="D3744" s="13">
        <v>42369</v>
      </c>
      <c r="E3744" t="s">
        <v>30</v>
      </c>
      <c r="F3744">
        <v>0</v>
      </c>
      <c r="G3744" t="s">
        <v>18</v>
      </c>
      <c r="H3744">
        <v>1</v>
      </c>
      <c r="I3744" t="s">
        <v>19</v>
      </c>
      <c r="J3744">
        <v>238</v>
      </c>
      <c r="K3744" t="s">
        <v>2426</v>
      </c>
      <c r="L3744" s="13">
        <v>42369</v>
      </c>
      <c r="M3744" t="s">
        <v>2675</v>
      </c>
      <c r="N3744" t="s">
        <v>2427</v>
      </c>
      <c r="O3744">
        <v>-28745.77</v>
      </c>
      <c r="P3744" t="s">
        <v>46</v>
      </c>
    </row>
    <row r="3745" spans="1:16" x14ac:dyDescent="0.4">
      <c r="A3745" t="s">
        <v>15</v>
      </c>
      <c r="B3745" t="s">
        <v>16</v>
      </c>
      <c r="C3745" s="13">
        <v>42005</v>
      </c>
      <c r="D3745" s="13">
        <v>42369</v>
      </c>
      <c r="E3745" t="s">
        <v>17</v>
      </c>
      <c r="F3745">
        <v>0</v>
      </c>
      <c r="G3745" t="s">
        <v>18</v>
      </c>
      <c r="H3745">
        <v>1</v>
      </c>
      <c r="I3745" t="s">
        <v>19</v>
      </c>
      <c r="J3745">
        <v>242</v>
      </c>
      <c r="K3745" t="s">
        <v>40</v>
      </c>
      <c r="L3745" s="13">
        <v>42005</v>
      </c>
      <c r="M3745" t="s">
        <v>2155</v>
      </c>
      <c r="N3745" t="s">
        <v>2676</v>
      </c>
      <c r="O3745">
        <v>1485.67</v>
      </c>
      <c r="P3745" t="s">
        <v>43</v>
      </c>
    </row>
    <row r="3746" spans="1:16" x14ac:dyDescent="0.4">
      <c r="A3746" t="s">
        <v>15</v>
      </c>
      <c r="B3746" t="s">
        <v>16</v>
      </c>
      <c r="C3746" s="13">
        <v>42005</v>
      </c>
      <c r="D3746" s="13">
        <v>42369</v>
      </c>
      <c r="E3746" t="s">
        <v>17</v>
      </c>
      <c r="F3746">
        <v>0</v>
      </c>
      <c r="G3746" t="s">
        <v>18</v>
      </c>
      <c r="H3746">
        <v>1</v>
      </c>
      <c r="I3746" t="s">
        <v>19</v>
      </c>
      <c r="J3746">
        <v>242</v>
      </c>
      <c r="K3746" t="s">
        <v>40</v>
      </c>
      <c r="L3746" s="13">
        <v>42369</v>
      </c>
      <c r="M3746" t="s">
        <v>44</v>
      </c>
      <c r="N3746" t="s">
        <v>45</v>
      </c>
      <c r="O3746">
        <v>-322.06</v>
      </c>
      <c r="P3746" t="s">
        <v>46</v>
      </c>
    </row>
    <row r="3747" spans="1:16" x14ac:dyDescent="0.4">
      <c r="A3747" t="s">
        <v>15</v>
      </c>
      <c r="B3747" t="s">
        <v>16</v>
      </c>
      <c r="C3747" s="13">
        <v>42005</v>
      </c>
      <c r="D3747" s="13">
        <v>42369</v>
      </c>
      <c r="E3747" t="s">
        <v>17</v>
      </c>
      <c r="F3747">
        <v>0</v>
      </c>
      <c r="G3747" t="s">
        <v>18</v>
      </c>
      <c r="H3747">
        <v>1</v>
      </c>
      <c r="I3747" t="s">
        <v>19</v>
      </c>
      <c r="J3747">
        <v>242</v>
      </c>
      <c r="K3747" t="s">
        <v>40</v>
      </c>
      <c r="L3747" s="13">
        <v>42369</v>
      </c>
      <c r="M3747" t="s">
        <v>47</v>
      </c>
      <c r="N3747" t="s">
        <v>45</v>
      </c>
      <c r="O3747">
        <v>-429.41</v>
      </c>
      <c r="P3747" t="s">
        <v>46</v>
      </c>
    </row>
    <row r="3748" spans="1:16" x14ac:dyDescent="0.4">
      <c r="A3748" t="s">
        <v>15</v>
      </c>
      <c r="B3748" t="s">
        <v>16</v>
      </c>
      <c r="C3748" s="13">
        <v>42005</v>
      </c>
      <c r="D3748" s="13">
        <v>42369</v>
      </c>
      <c r="E3748" t="s">
        <v>17</v>
      </c>
      <c r="F3748">
        <v>0</v>
      </c>
      <c r="G3748" t="s">
        <v>18</v>
      </c>
      <c r="H3748">
        <v>1</v>
      </c>
      <c r="I3748" t="s">
        <v>19</v>
      </c>
      <c r="J3748">
        <v>242</v>
      </c>
      <c r="K3748" t="s">
        <v>40</v>
      </c>
      <c r="L3748" s="13">
        <v>42369</v>
      </c>
      <c r="M3748" t="s">
        <v>48</v>
      </c>
      <c r="N3748" t="s">
        <v>45</v>
      </c>
      <c r="O3748">
        <v>-107.35</v>
      </c>
      <c r="P3748" t="s">
        <v>46</v>
      </c>
    </row>
    <row r="3749" spans="1:16" x14ac:dyDescent="0.4">
      <c r="A3749" t="s">
        <v>15</v>
      </c>
      <c r="B3749" t="s">
        <v>16</v>
      </c>
      <c r="C3749" s="13">
        <v>42005</v>
      </c>
      <c r="D3749" s="13">
        <v>42369</v>
      </c>
      <c r="E3749" t="s">
        <v>17</v>
      </c>
      <c r="F3749">
        <v>0</v>
      </c>
      <c r="G3749" t="s">
        <v>18</v>
      </c>
      <c r="H3749">
        <v>1</v>
      </c>
      <c r="I3749" t="s">
        <v>19</v>
      </c>
      <c r="J3749">
        <v>269</v>
      </c>
      <c r="K3749" t="s">
        <v>75</v>
      </c>
      <c r="L3749" s="13">
        <v>42027</v>
      </c>
      <c r="M3749" t="s">
        <v>2677</v>
      </c>
      <c r="N3749" t="s">
        <v>2678</v>
      </c>
      <c r="O3749">
        <v>49.94</v>
      </c>
      <c r="P3749" t="s">
        <v>565</v>
      </c>
    </row>
    <row r="3750" spans="1:16" x14ac:dyDescent="0.4">
      <c r="A3750" t="s">
        <v>15</v>
      </c>
      <c r="B3750" t="s">
        <v>16</v>
      </c>
      <c r="C3750" s="13">
        <v>42005</v>
      </c>
      <c r="D3750" s="13">
        <v>42369</v>
      </c>
      <c r="E3750" t="s">
        <v>17</v>
      </c>
      <c r="F3750">
        <v>0</v>
      </c>
      <c r="G3750" t="s">
        <v>18</v>
      </c>
      <c r="H3750">
        <v>1</v>
      </c>
      <c r="I3750" t="s">
        <v>19</v>
      </c>
      <c r="J3750">
        <v>269</v>
      </c>
      <c r="K3750" t="s">
        <v>75</v>
      </c>
      <c r="L3750" s="13">
        <v>42027</v>
      </c>
      <c r="M3750" t="s">
        <v>2677</v>
      </c>
      <c r="N3750" t="s">
        <v>2678</v>
      </c>
      <c r="O3750">
        <v>374.56</v>
      </c>
      <c r="P3750" t="s">
        <v>565</v>
      </c>
    </row>
    <row r="3751" spans="1:16" x14ac:dyDescent="0.4">
      <c r="A3751" t="s">
        <v>15</v>
      </c>
      <c r="B3751" t="s">
        <v>16</v>
      </c>
      <c r="C3751" s="13">
        <v>42005</v>
      </c>
      <c r="D3751" s="13">
        <v>42369</v>
      </c>
      <c r="E3751" t="s">
        <v>17</v>
      </c>
      <c r="F3751">
        <v>0</v>
      </c>
      <c r="G3751" t="s">
        <v>18</v>
      </c>
      <c r="H3751">
        <v>1</v>
      </c>
      <c r="I3751" t="s">
        <v>19</v>
      </c>
      <c r="J3751">
        <v>269</v>
      </c>
      <c r="K3751" t="s">
        <v>75</v>
      </c>
      <c r="L3751" s="13">
        <v>42146</v>
      </c>
      <c r="M3751" t="s">
        <v>2677</v>
      </c>
      <c r="N3751" t="s">
        <v>2679</v>
      </c>
      <c r="O3751">
        <v>255.14</v>
      </c>
      <c r="P3751" t="s">
        <v>565</v>
      </c>
    </row>
    <row r="3752" spans="1:16" x14ac:dyDescent="0.4">
      <c r="A3752" t="s">
        <v>15</v>
      </c>
      <c r="B3752" t="s">
        <v>16</v>
      </c>
      <c r="C3752" s="13">
        <v>42005</v>
      </c>
      <c r="D3752" s="13">
        <v>42369</v>
      </c>
      <c r="E3752" t="s">
        <v>17</v>
      </c>
      <c r="F3752">
        <v>0</v>
      </c>
      <c r="G3752" t="s">
        <v>18</v>
      </c>
      <c r="H3752">
        <v>1</v>
      </c>
      <c r="I3752" t="s">
        <v>19</v>
      </c>
      <c r="J3752">
        <v>269</v>
      </c>
      <c r="K3752" t="s">
        <v>75</v>
      </c>
      <c r="L3752" s="13">
        <v>42146</v>
      </c>
      <c r="M3752" t="s">
        <v>2677</v>
      </c>
      <c r="N3752" t="s">
        <v>2679</v>
      </c>
      <c r="O3752">
        <v>34.020000000000003</v>
      </c>
      <c r="P3752" t="s">
        <v>565</v>
      </c>
    </row>
    <row r="3753" spans="1:16" x14ac:dyDescent="0.4">
      <c r="A3753" t="s">
        <v>15</v>
      </c>
      <c r="B3753" t="s">
        <v>16</v>
      </c>
      <c r="C3753" s="13">
        <v>42005</v>
      </c>
      <c r="D3753" s="13">
        <v>42369</v>
      </c>
      <c r="E3753" t="s">
        <v>17</v>
      </c>
      <c r="F3753">
        <v>0</v>
      </c>
      <c r="G3753" t="s">
        <v>18</v>
      </c>
      <c r="H3753">
        <v>1</v>
      </c>
      <c r="I3753" t="s">
        <v>19</v>
      </c>
      <c r="J3753">
        <v>269</v>
      </c>
      <c r="K3753" t="s">
        <v>75</v>
      </c>
      <c r="L3753" s="13">
        <v>42209</v>
      </c>
      <c r="M3753" t="s">
        <v>2677</v>
      </c>
      <c r="N3753" t="s">
        <v>2680</v>
      </c>
      <c r="O3753">
        <v>27.85</v>
      </c>
      <c r="P3753" t="s">
        <v>565</v>
      </c>
    </row>
    <row r="3754" spans="1:16" x14ac:dyDescent="0.4">
      <c r="A3754" t="s">
        <v>15</v>
      </c>
      <c r="B3754" t="s">
        <v>16</v>
      </c>
      <c r="C3754" s="13">
        <v>42005</v>
      </c>
      <c r="D3754" s="13">
        <v>42369</v>
      </c>
      <c r="E3754" t="s">
        <v>17</v>
      </c>
      <c r="F3754">
        <v>0</v>
      </c>
      <c r="G3754" t="s">
        <v>18</v>
      </c>
      <c r="H3754">
        <v>1</v>
      </c>
      <c r="I3754" t="s">
        <v>19</v>
      </c>
      <c r="J3754">
        <v>269</v>
      </c>
      <c r="K3754" t="s">
        <v>75</v>
      </c>
      <c r="L3754" s="13">
        <v>42209</v>
      </c>
      <c r="M3754" t="s">
        <v>2677</v>
      </c>
      <c r="N3754" t="s">
        <v>2680</v>
      </c>
      <c r="O3754">
        <v>208.84</v>
      </c>
      <c r="P3754" t="s">
        <v>565</v>
      </c>
    </row>
    <row r="3755" spans="1:16" x14ac:dyDescent="0.4">
      <c r="A3755" t="s">
        <v>15</v>
      </c>
      <c r="B3755" t="s">
        <v>16</v>
      </c>
      <c r="C3755" s="13">
        <v>42005</v>
      </c>
      <c r="D3755" s="13">
        <v>42369</v>
      </c>
      <c r="E3755" t="s">
        <v>17</v>
      </c>
      <c r="F3755">
        <v>0</v>
      </c>
      <c r="G3755" t="s">
        <v>18</v>
      </c>
      <c r="H3755">
        <v>1</v>
      </c>
      <c r="I3755" t="s">
        <v>19</v>
      </c>
      <c r="J3755">
        <v>269</v>
      </c>
      <c r="K3755" t="s">
        <v>75</v>
      </c>
      <c r="L3755" s="13">
        <v>42273</v>
      </c>
      <c r="M3755" t="s">
        <v>2677</v>
      </c>
      <c r="N3755" t="s">
        <v>2681</v>
      </c>
      <c r="O3755">
        <v>74.42</v>
      </c>
      <c r="P3755" t="s">
        <v>565</v>
      </c>
    </row>
    <row r="3756" spans="1:16" x14ac:dyDescent="0.4">
      <c r="A3756" t="s">
        <v>15</v>
      </c>
      <c r="B3756" t="s">
        <v>16</v>
      </c>
      <c r="C3756" s="13">
        <v>42005</v>
      </c>
      <c r="D3756" s="13">
        <v>42369</v>
      </c>
      <c r="E3756" t="s">
        <v>17</v>
      </c>
      <c r="F3756">
        <v>0</v>
      </c>
      <c r="G3756" t="s">
        <v>18</v>
      </c>
      <c r="H3756">
        <v>1</v>
      </c>
      <c r="I3756" t="s">
        <v>19</v>
      </c>
      <c r="J3756">
        <v>269</v>
      </c>
      <c r="K3756" t="s">
        <v>75</v>
      </c>
      <c r="L3756" s="13">
        <v>42273</v>
      </c>
      <c r="M3756" t="s">
        <v>2677</v>
      </c>
      <c r="N3756" t="s">
        <v>2681</v>
      </c>
      <c r="O3756">
        <v>558.15</v>
      </c>
      <c r="P3756" t="s">
        <v>565</v>
      </c>
    </row>
    <row r="3757" spans="1:16" x14ac:dyDescent="0.4">
      <c r="A3757" t="s">
        <v>15</v>
      </c>
      <c r="B3757" t="s">
        <v>16</v>
      </c>
      <c r="C3757" s="13">
        <v>42005</v>
      </c>
      <c r="D3757" s="13">
        <v>42369</v>
      </c>
      <c r="E3757" t="s">
        <v>17</v>
      </c>
      <c r="F3757">
        <v>0</v>
      </c>
      <c r="G3757" t="s">
        <v>18</v>
      </c>
      <c r="H3757">
        <v>1</v>
      </c>
      <c r="I3757" t="s">
        <v>19</v>
      </c>
      <c r="J3757">
        <v>269</v>
      </c>
      <c r="K3757" t="s">
        <v>75</v>
      </c>
      <c r="L3757" s="13">
        <v>42329</v>
      </c>
      <c r="M3757" t="s">
        <v>2677</v>
      </c>
      <c r="N3757" t="s">
        <v>2682</v>
      </c>
      <c r="O3757">
        <v>29.49</v>
      </c>
      <c r="P3757" t="s">
        <v>565</v>
      </c>
    </row>
    <row r="3758" spans="1:16" x14ac:dyDescent="0.4">
      <c r="A3758" t="s">
        <v>15</v>
      </c>
      <c r="B3758" t="s">
        <v>16</v>
      </c>
      <c r="C3758" s="13">
        <v>42005</v>
      </c>
      <c r="D3758" s="13">
        <v>42369</v>
      </c>
      <c r="E3758" t="s">
        <v>17</v>
      </c>
      <c r="F3758">
        <v>0</v>
      </c>
      <c r="G3758" t="s">
        <v>18</v>
      </c>
      <c r="H3758">
        <v>1</v>
      </c>
      <c r="I3758" t="s">
        <v>19</v>
      </c>
      <c r="J3758">
        <v>269</v>
      </c>
      <c r="K3758" t="s">
        <v>75</v>
      </c>
      <c r="L3758" s="13">
        <v>42329</v>
      </c>
      <c r="M3758" t="s">
        <v>2677</v>
      </c>
      <c r="N3758" t="s">
        <v>2682</v>
      </c>
      <c r="O3758">
        <v>221.19</v>
      </c>
      <c r="P3758" t="s">
        <v>565</v>
      </c>
    </row>
    <row r="3759" spans="1:16" x14ac:dyDescent="0.4">
      <c r="A3759" t="s">
        <v>15</v>
      </c>
      <c r="B3759" t="s">
        <v>16</v>
      </c>
      <c r="C3759" s="13">
        <v>42005</v>
      </c>
      <c r="D3759" s="13">
        <v>42369</v>
      </c>
      <c r="E3759" t="s">
        <v>17</v>
      </c>
      <c r="F3759">
        <v>0</v>
      </c>
      <c r="G3759" t="s">
        <v>18</v>
      </c>
      <c r="H3759">
        <v>1</v>
      </c>
      <c r="I3759" t="s">
        <v>19</v>
      </c>
      <c r="J3759">
        <v>269</v>
      </c>
      <c r="K3759" t="s">
        <v>75</v>
      </c>
      <c r="L3759" s="13">
        <v>42369</v>
      </c>
      <c r="M3759" t="s">
        <v>2683</v>
      </c>
      <c r="N3759" t="s">
        <v>46</v>
      </c>
      <c r="O3759">
        <v>-1617.88</v>
      </c>
      <c r="P3759" t="s">
        <v>1444</v>
      </c>
    </row>
    <row r="3760" spans="1:16" x14ac:dyDescent="0.4">
      <c r="A3760" t="s">
        <v>15</v>
      </c>
      <c r="B3760" t="s">
        <v>16</v>
      </c>
      <c r="C3760" s="13">
        <v>42005</v>
      </c>
      <c r="D3760" s="13">
        <v>42369</v>
      </c>
      <c r="E3760" t="s">
        <v>17</v>
      </c>
      <c r="F3760">
        <v>0</v>
      </c>
      <c r="G3760" t="s">
        <v>18</v>
      </c>
      <c r="H3760">
        <v>1</v>
      </c>
      <c r="I3760" t="s">
        <v>19</v>
      </c>
      <c r="J3760">
        <v>281</v>
      </c>
      <c r="K3760" t="s">
        <v>78</v>
      </c>
      <c r="L3760" s="13">
        <v>42135</v>
      </c>
      <c r="M3760" t="s">
        <v>1445</v>
      </c>
      <c r="N3760" t="s">
        <v>2684</v>
      </c>
      <c r="O3760">
        <v>5293.81</v>
      </c>
      <c r="P3760" t="s">
        <v>81</v>
      </c>
    </row>
    <row r="3761" spans="1:16" x14ac:dyDescent="0.4">
      <c r="A3761" t="s">
        <v>15</v>
      </c>
      <c r="B3761" t="s">
        <v>16</v>
      </c>
      <c r="C3761" s="13">
        <v>42005</v>
      </c>
      <c r="D3761" s="13">
        <v>42369</v>
      </c>
      <c r="E3761" t="s">
        <v>17</v>
      </c>
      <c r="F3761">
        <v>0</v>
      </c>
      <c r="G3761" t="s">
        <v>18</v>
      </c>
      <c r="H3761">
        <v>1</v>
      </c>
      <c r="I3761" t="s">
        <v>19</v>
      </c>
      <c r="J3761">
        <v>281</v>
      </c>
      <c r="K3761" t="s">
        <v>78</v>
      </c>
      <c r="L3761" s="13">
        <v>42223</v>
      </c>
      <c r="M3761" t="s">
        <v>1445</v>
      </c>
      <c r="N3761" t="s">
        <v>2685</v>
      </c>
      <c r="O3761">
        <v>6102.96</v>
      </c>
      <c r="P3761" t="s">
        <v>81</v>
      </c>
    </row>
    <row r="3762" spans="1:16" x14ac:dyDescent="0.4">
      <c r="A3762" t="s">
        <v>15</v>
      </c>
      <c r="B3762" t="s">
        <v>16</v>
      </c>
      <c r="C3762" s="13">
        <v>42005</v>
      </c>
      <c r="D3762" s="13">
        <v>42369</v>
      </c>
      <c r="E3762" t="s">
        <v>17</v>
      </c>
      <c r="F3762">
        <v>0</v>
      </c>
      <c r="G3762" t="s">
        <v>18</v>
      </c>
      <c r="H3762">
        <v>1</v>
      </c>
      <c r="I3762" t="s">
        <v>19</v>
      </c>
      <c r="J3762">
        <v>281</v>
      </c>
      <c r="K3762" t="s">
        <v>78</v>
      </c>
      <c r="L3762" s="13">
        <v>42369</v>
      </c>
      <c r="M3762" t="s">
        <v>89</v>
      </c>
      <c r="N3762" t="s">
        <v>86</v>
      </c>
      <c r="O3762">
        <v>-1130.29</v>
      </c>
      <c r="P3762" t="s">
        <v>46</v>
      </c>
    </row>
    <row r="3763" spans="1:16" x14ac:dyDescent="0.4">
      <c r="A3763" t="s">
        <v>15</v>
      </c>
      <c r="B3763" t="s">
        <v>16</v>
      </c>
      <c r="C3763" s="13">
        <v>42005</v>
      </c>
      <c r="D3763" s="13">
        <v>42369</v>
      </c>
      <c r="E3763" t="s">
        <v>17</v>
      </c>
      <c r="F3763">
        <v>0</v>
      </c>
      <c r="G3763" t="s">
        <v>18</v>
      </c>
      <c r="H3763">
        <v>1</v>
      </c>
      <c r="I3763" t="s">
        <v>19</v>
      </c>
      <c r="J3763">
        <v>281</v>
      </c>
      <c r="K3763" t="s">
        <v>78</v>
      </c>
      <c r="L3763" s="13">
        <v>42369</v>
      </c>
      <c r="M3763" t="s">
        <v>2686</v>
      </c>
      <c r="N3763" t="s">
        <v>46</v>
      </c>
      <c r="O3763">
        <v>-202.22</v>
      </c>
      <c r="P3763" t="s">
        <v>1444</v>
      </c>
    </row>
    <row r="3764" spans="1:16" x14ac:dyDescent="0.4">
      <c r="A3764" t="s">
        <v>15</v>
      </c>
      <c r="B3764" t="s">
        <v>16</v>
      </c>
      <c r="C3764" s="13">
        <v>42005</v>
      </c>
      <c r="D3764" s="13">
        <v>42369</v>
      </c>
      <c r="E3764" t="s">
        <v>17</v>
      </c>
      <c r="F3764">
        <v>0</v>
      </c>
      <c r="G3764" t="s">
        <v>18</v>
      </c>
      <c r="H3764">
        <v>1</v>
      </c>
      <c r="I3764" t="s">
        <v>19</v>
      </c>
      <c r="J3764">
        <v>281</v>
      </c>
      <c r="K3764" t="s">
        <v>78</v>
      </c>
      <c r="L3764" s="13">
        <v>42369</v>
      </c>
      <c r="M3764" t="s">
        <v>85</v>
      </c>
      <c r="N3764" t="s">
        <v>86</v>
      </c>
      <c r="O3764">
        <v>-7579.79</v>
      </c>
      <c r="P3764" t="s">
        <v>46</v>
      </c>
    </row>
    <row r="3765" spans="1:16" x14ac:dyDescent="0.4">
      <c r="A3765" t="s">
        <v>15</v>
      </c>
      <c r="B3765" t="s">
        <v>16</v>
      </c>
      <c r="C3765" s="13">
        <v>42005</v>
      </c>
      <c r="D3765" s="13">
        <v>42369</v>
      </c>
      <c r="E3765" t="s">
        <v>17</v>
      </c>
      <c r="F3765">
        <v>0</v>
      </c>
      <c r="G3765" t="s">
        <v>18</v>
      </c>
      <c r="H3765">
        <v>1</v>
      </c>
      <c r="I3765" t="s">
        <v>19</v>
      </c>
      <c r="J3765">
        <v>281</v>
      </c>
      <c r="K3765" t="s">
        <v>78</v>
      </c>
      <c r="L3765" s="13">
        <v>42369</v>
      </c>
      <c r="M3765" t="s">
        <v>87</v>
      </c>
      <c r="N3765" t="s">
        <v>86</v>
      </c>
      <c r="O3765">
        <v>-1336.12</v>
      </c>
      <c r="P3765" t="s">
        <v>46</v>
      </c>
    </row>
    <row r="3766" spans="1:16" x14ac:dyDescent="0.4">
      <c r="A3766" t="s">
        <v>15</v>
      </c>
      <c r="B3766" t="s">
        <v>16</v>
      </c>
      <c r="C3766" s="13">
        <v>42005</v>
      </c>
      <c r="D3766" s="13">
        <v>42369</v>
      </c>
      <c r="E3766" t="s">
        <v>17</v>
      </c>
      <c r="F3766">
        <v>0</v>
      </c>
      <c r="G3766" t="s">
        <v>18</v>
      </c>
      <c r="H3766">
        <v>1</v>
      </c>
      <c r="I3766" t="s">
        <v>19</v>
      </c>
      <c r="J3766">
        <v>281</v>
      </c>
      <c r="K3766" t="s">
        <v>78</v>
      </c>
      <c r="L3766" s="13">
        <v>42369</v>
      </c>
      <c r="M3766" t="s">
        <v>90</v>
      </c>
      <c r="N3766" t="s">
        <v>86</v>
      </c>
      <c r="O3766">
        <v>-1126.68</v>
      </c>
      <c r="P3766" t="s">
        <v>46</v>
      </c>
    </row>
    <row r="3767" spans="1:16" x14ac:dyDescent="0.4">
      <c r="A3767" t="s">
        <v>15</v>
      </c>
      <c r="B3767" t="s">
        <v>16</v>
      </c>
      <c r="C3767" s="13">
        <v>42005</v>
      </c>
      <c r="D3767" s="13">
        <v>42369</v>
      </c>
      <c r="E3767" t="s">
        <v>17</v>
      </c>
      <c r="F3767">
        <v>0</v>
      </c>
      <c r="G3767" t="s">
        <v>18</v>
      </c>
      <c r="H3767">
        <v>1</v>
      </c>
      <c r="I3767" t="s">
        <v>19</v>
      </c>
      <c r="J3767">
        <v>281</v>
      </c>
      <c r="K3767" t="s">
        <v>78</v>
      </c>
      <c r="L3767" s="13">
        <v>42369</v>
      </c>
      <c r="M3767" t="s">
        <v>88</v>
      </c>
      <c r="N3767" t="s">
        <v>86</v>
      </c>
      <c r="O3767">
        <v>-21.67</v>
      </c>
      <c r="P3767" t="s">
        <v>46</v>
      </c>
    </row>
    <row r="3768" spans="1:16" x14ac:dyDescent="0.4">
      <c r="A3768" t="s">
        <v>15</v>
      </c>
      <c r="B3768" t="s">
        <v>16</v>
      </c>
      <c r="C3768" s="13">
        <v>42005</v>
      </c>
      <c r="D3768" s="13">
        <v>42369</v>
      </c>
      <c r="E3768" t="s">
        <v>17</v>
      </c>
      <c r="F3768">
        <v>0</v>
      </c>
      <c r="G3768" t="s">
        <v>18</v>
      </c>
      <c r="H3768">
        <v>1</v>
      </c>
      <c r="I3768" t="s">
        <v>19</v>
      </c>
      <c r="J3768">
        <v>289</v>
      </c>
      <c r="K3768" t="s">
        <v>96</v>
      </c>
      <c r="L3768" s="13">
        <v>42369</v>
      </c>
      <c r="M3768" t="s">
        <v>2688</v>
      </c>
      <c r="N3768" t="s">
        <v>98</v>
      </c>
      <c r="O3768">
        <v>54.06</v>
      </c>
      <c r="P3768" t="s">
        <v>46</v>
      </c>
    </row>
    <row r="3769" spans="1:16" x14ac:dyDescent="0.4">
      <c r="A3769" t="s">
        <v>15</v>
      </c>
      <c r="B3769" t="s">
        <v>16</v>
      </c>
      <c r="C3769" s="13">
        <v>42005</v>
      </c>
      <c r="D3769" s="13">
        <v>42369</v>
      </c>
      <c r="E3769" t="s">
        <v>17</v>
      </c>
      <c r="F3769">
        <v>0</v>
      </c>
      <c r="G3769" t="s">
        <v>18</v>
      </c>
      <c r="H3769">
        <v>1</v>
      </c>
      <c r="I3769" t="s">
        <v>19</v>
      </c>
      <c r="J3769">
        <v>289</v>
      </c>
      <c r="K3769" t="s">
        <v>96</v>
      </c>
      <c r="L3769" s="13">
        <v>42369</v>
      </c>
      <c r="M3769" t="s">
        <v>2687</v>
      </c>
      <c r="N3769" t="s">
        <v>86</v>
      </c>
      <c r="O3769">
        <v>21.67</v>
      </c>
      <c r="P3769" t="s">
        <v>46</v>
      </c>
    </row>
    <row r="3770" spans="1:16" x14ac:dyDescent="0.4">
      <c r="A3770" t="s">
        <v>15</v>
      </c>
      <c r="B3770" t="s">
        <v>16</v>
      </c>
      <c r="C3770" s="13">
        <v>42005</v>
      </c>
      <c r="D3770" s="13">
        <v>42369</v>
      </c>
      <c r="E3770" t="s">
        <v>17</v>
      </c>
      <c r="F3770">
        <v>0</v>
      </c>
      <c r="G3770" t="s">
        <v>18</v>
      </c>
      <c r="H3770">
        <v>1</v>
      </c>
      <c r="I3770" t="s">
        <v>19</v>
      </c>
      <c r="J3770">
        <v>308</v>
      </c>
      <c r="K3770" t="s">
        <v>100</v>
      </c>
      <c r="L3770" s="13">
        <v>42058</v>
      </c>
      <c r="M3770" t="s">
        <v>2689</v>
      </c>
      <c r="N3770" t="s">
        <v>2690</v>
      </c>
      <c r="O3770">
        <v>116.7</v>
      </c>
      <c r="P3770" t="s">
        <v>756</v>
      </c>
    </row>
    <row r="3771" spans="1:16" x14ac:dyDescent="0.4">
      <c r="A3771" t="s">
        <v>15</v>
      </c>
      <c r="B3771" t="s">
        <v>16</v>
      </c>
      <c r="C3771" s="13">
        <v>42005</v>
      </c>
      <c r="D3771" s="13">
        <v>42369</v>
      </c>
      <c r="E3771" t="s">
        <v>17</v>
      </c>
      <c r="F3771">
        <v>0</v>
      </c>
      <c r="G3771" t="s">
        <v>18</v>
      </c>
      <c r="H3771">
        <v>1</v>
      </c>
      <c r="I3771" t="s">
        <v>19</v>
      </c>
      <c r="J3771">
        <v>321</v>
      </c>
      <c r="K3771" t="s">
        <v>104</v>
      </c>
      <c r="L3771" s="13">
        <v>42032</v>
      </c>
      <c r="M3771" t="s">
        <v>2691</v>
      </c>
      <c r="N3771" t="s">
        <v>2692</v>
      </c>
      <c r="O3771">
        <v>1910</v>
      </c>
      <c r="P3771" t="s">
        <v>34</v>
      </c>
    </row>
    <row r="3772" spans="1:16" x14ac:dyDescent="0.4">
      <c r="A3772" t="s">
        <v>15</v>
      </c>
      <c r="B3772" t="s">
        <v>16</v>
      </c>
      <c r="C3772" s="13">
        <v>42005</v>
      </c>
      <c r="D3772" s="13">
        <v>42369</v>
      </c>
      <c r="E3772" t="s">
        <v>17</v>
      </c>
      <c r="F3772">
        <v>0</v>
      </c>
      <c r="G3772" t="s">
        <v>18</v>
      </c>
      <c r="H3772">
        <v>1</v>
      </c>
      <c r="I3772" t="s">
        <v>19</v>
      </c>
      <c r="J3772">
        <v>321</v>
      </c>
      <c r="K3772" t="s">
        <v>104</v>
      </c>
      <c r="L3772" s="13">
        <v>42060</v>
      </c>
      <c r="M3772" t="s">
        <v>2693</v>
      </c>
      <c r="N3772" t="s">
        <v>2694</v>
      </c>
      <c r="O3772">
        <v>1910</v>
      </c>
      <c r="P3772" t="s">
        <v>34</v>
      </c>
    </row>
    <row r="3773" spans="1:16" x14ac:dyDescent="0.4">
      <c r="A3773" t="s">
        <v>15</v>
      </c>
      <c r="B3773" t="s">
        <v>16</v>
      </c>
      <c r="C3773" s="13">
        <v>42005</v>
      </c>
      <c r="D3773" s="13">
        <v>42369</v>
      </c>
      <c r="E3773" t="s">
        <v>17</v>
      </c>
      <c r="F3773">
        <v>0</v>
      </c>
      <c r="G3773" t="s">
        <v>18</v>
      </c>
      <c r="H3773">
        <v>1</v>
      </c>
      <c r="I3773" t="s">
        <v>19</v>
      </c>
      <c r="J3773">
        <v>321</v>
      </c>
      <c r="K3773" t="s">
        <v>104</v>
      </c>
      <c r="L3773" s="13">
        <v>42090</v>
      </c>
      <c r="M3773" t="s">
        <v>2695</v>
      </c>
      <c r="N3773" t="s">
        <v>2696</v>
      </c>
      <c r="O3773">
        <v>1954.4</v>
      </c>
      <c r="P3773" t="s">
        <v>34</v>
      </c>
    </row>
    <row r="3774" spans="1:16" x14ac:dyDescent="0.4">
      <c r="A3774" t="s">
        <v>15</v>
      </c>
      <c r="B3774" t="s">
        <v>16</v>
      </c>
      <c r="C3774" s="13">
        <v>42005</v>
      </c>
      <c r="D3774" s="13">
        <v>42369</v>
      </c>
      <c r="E3774" t="s">
        <v>17</v>
      </c>
      <c r="F3774">
        <v>0</v>
      </c>
      <c r="G3774" t="s">
        <v>18</v>
      </c>
      <c r="H3774">
        <v>1</v>
      </c>
      <c r="I3774" t="s">
        <v>19</v>
      </c>
      <c r="J3774">
        <v>321</v>
      </c>
      <c r="K3774" t="s">
        <v>104</v>
      </c>
      <c r="L3774" s="13">
        <v>42122</v>
      </c>
      <c r="M3774" t="s">
        <v>2697</v>
      </c>
      <c r="N3774" t="s">
        <v>2698</v>
      </c>
      <c r="O3774">
        <v>1971.91</v>
      </c>
      <c r="P3774" t="s">
        <v>34</v>
      </c>
    </row>
    <row r="3775" spans="1:16" x14ac:dyDescent="0.4">
      <c r="A3775" t="s">
        <v>15</v>
      </c>
      <c r="B3775" t="s">
        <v>16</v>
      </c>
      <c r="C3775" s="13">
        <v>42005</v>
      </c>
      <c r="D3775" s="13">
        <v>42369</v>
      </c>
      <c r="E3775" t="s">
        <v>17</v>
      </c>
      <c r="F3775">
        <v>0</v>
      </c>
      <c r="G3775" t="s">
        <v>18</v>
      </c>
      <c r="H3775">
        <v>1</v>
      </c>
      <c r="I3775" t="s">
        <v>19</v>
      </c>
      <c r="J3775">
        <v>321</v>
      </c>
      <c r="K3775" t="s">
        <v>104</v>
      </c>
      <c r="L3775" s="13">
        <v>42152</v>
      </c>
      <c r="M3775" t="s">
        <v>2699</v>
      </c>
      <c r="N3775" t="s">
        <v>2700</v>
      </c>
      <c r="O3775">
        <v>1971.91</v>
      </c>
      <c r="P3775" t="s">
        <v>34</v>
      </c>
    </row>
    <row r="3776" spans="1:16" x14ac:dyDescent="0.4">
      <c r="A3776" t="s">
        <v>15</v>
      </c>
      <c r="B3776" t="s">
        <v>16</v>
      </c>
      <c r="C3776" s="13">
        <v>42005</v>
      </c>
      <c r="D3776" s="13">
        <v>42369</v>
      </c>
      <c r="E3776" t="s">
        <v>17</v>
      </c>
      <c r="F3776">
        <v>0</v>
      </c>
      <c r="G3776" t="s">
        <v>18</v>
      </c>
      <c r="H3776">
        <v>1</v>
      </c>
      <c r="I3776" t="s">
        <v>19</v>
      </c>
      <c r="J3776">
        <v>321</v>
      </c>
      <c r="K3776" t="s">
        <v>104</v>
      </c>
      <c r="L3776" s="13">
        <v>42184</v>
      </c>
      <c r="M3776" t="s">
        <v>2701</v>
      </c>
      <c r="N3776" t="s">
        <v>2702</v>
      </c>
      <c r="O3776">
        <v>1971.91</v>
      </c>
      <c r="P3776" t="s">
        <v>34</v>
      </c>
    </row>
    <row r="3777" spans="1:16" x14ac:dyDescent="0.4">
      <c r="A3777" t="s">
        <v>15</v>
      </c>
      <c r="B3777" t="s">
        <v>16</v>
      </c>
      <c r="C3777" s="13">
        <v>42005</v>
      </c>
      <c r="D3777" s="13">
        <v>42369</v>
      </c>
      <c r="E3777" t="s">
        <v>17</v>
      </c>
      <c r="F3777">
        <v>0</v>
      </c>
      <c r="G3777" t="s">
        <v>18</v>
      </c>
      <c r="H3777">
        <v>1</v>
      </c>
      <c r="I3777" t="s">
        <v>19</v>
      </c>
      <c r="J3777">
        <v>321</v>
      </c>
      <c r="K3777" t="s">
        <v>104</v>
      </c>
      <c r="L3777" s="13">
        <v>42214</v>
      </c>
      <c r="M3777" t="s">
        <v>2703</v>
      </c>
      <c r="N3777" t="s">
        <v>2704</v>
      </c>
      <c r="O3777">
        <v>1971.91</v>
      </c>
      <c r="P3777" t="s">
        <v>34</v>
      </c>
    </row>
    <row r="3778" spans="1:16" x14ac:dyDescent="0.4">
      <c r="A3778" t="s">
        <v>15</v>
      </c>
      <c r="B3778" t="s">
        <v>16</v>
      </c>
      <c r="C3778" s="13">
        <v>42005</v>
      </c>
      <c r="D3778" s="13">
        <v>42369</v>
      </c>
      <c r="E3778" t="s">
        <v>17</v>
      </c>
      <c r="F3778">
        <v>0</v>
      </c>
      <c r="G3778" t="s">
        <v>18</v>
      </c>
      <c r="H3778">
        <v>1</v>
      </c>
      <c r="I3778" t="s">
        <v>19</v>
      </c>
      <c r="J3778">
        <v>321</v>
      </c>
      <c r="K3778" t="s">
        <v>104</v>
      </c>
      <c r="L3778" s="13">
        <v>42247</v>
      </c>
      <c r="M3778" t="s">
        <v>2705</v>
      </c>
      <c r="N3778" t="s">
        <v>2706</v>
      </c>
      <c r="O3778">
        <v>1971.91</v>
      </c>
      <c r="P3778" t="s">
        <v>34</v>
      </c>
    </row>
    <row r="3779" spans="1:16" x14ac:dyDescent="0.4">
      <c r="A3779" t="s">
        <v>15</v>
      </c>
      <c r="B3779" t="s">
        <v>16</v>
      </c>
      <c r="C3779" s="13">
        <v>42005</v>
      </c>
      <c r="D3779" s="13">
        <v>42369</v>
      </c>
      <c r="E3779" t="s">
        <v>17</v>
      </c>
      <c r="F3779">
        <v>0</v>
      </c>
      <c r="G3779" t="s">
        <v>18</v>
      </c>
      <c r="H3779">
        <v>1</v>
      </c>
      <c r="I3779" t="s">
        <v>19</v>
      </c>
      <c r="J3779">
        <v>321</v>
      </c>
      <c r="K3779" t="s">
        <v>104</v>
      </c>
      <c r="L3779" s="13">
        <v>42276</v>
      </c>
      <c r="M3779" t="s">
        <v>2707</v>
      </c>
      <c r="N3779" t="s">
        <v>2708</v>
      </c>
      <c r="O3779">
        <v>1971.91</v>
      </c>
      <c r="P3779" t="s">
        <v>34</v>
      </c>
    </row>
    <row r="3780" spans="1:16" x14ac:dyDescent="0.4">
      <c r="A3780" t="s">
        <v>15</v>
      </c>
      <c r="B3780" t="s">
        <v>16</v>
      </c>
      <c r="C3780" s="13">
        <v>42005</v>
      </c>
      <c r="D3780" s="13">
        <v>42369</v>
      </c>
      <c r="E3780" t="s">
        <v>17</v>
      </c>
      <c r="F3780">
        <v>0</v>
      </c>
      <c r="G3780" t="s">
        <v>18</v>
      </c>
      <c r="H3780">
        <v>1</v>
      </c>
      <c r="I3780" t="s">
        <v>19</v>
      </c>
      <c r="J3780">
        <v>321</v>
      </c>
      <c r="K3780" t="s">
        <v>104</v>
      </c>
      <c r="L3780" s="13">
        <v>42305</v>
      </c>
      <c r="M3780" t="s">
        <v>2709</v>
      </c>
      <c r="N3780" t="s">
        <v>2710</v>
      </c>
      <c r="O3780">
        <v>1971.91</v>
      </c>
      <c r="P3780" t="s">
        <v>34</v>
      </c>
    </row>
    <row r="3781" spans="1:16" x14ac:dyDescent="0.4">
      <c r="A3781" t="s">
        <v>15</v>
      </c>
      <c r="B3781" t="s">
        <v>16</v>
      </c>
      <c r="C3781" s="13">
        <v>42005</v>
      </c>
      <c r="D3781" s="13">
        <v>42369</v>
      </c>
      <c r="E3781" t="s">
        <v>17</v>
      </c>
      <c r="F3781">
        <v>0</v>
      </c>
      <c r="G3781" t="s">
        <v>18</v>
      </c>
      <c r="H3781">
        <v>1</v>
      </c>
      <c r="I3781" t="s">
        <v>19</v>
      </c>
      <c r="J3781">
        <v>321</v>
      </c>
      <c r="K3781" t="s">
        <v>104</v>
      </c>
      <c r="L3781" s="13">
        <v>42335</v>
      </c>
      <c r="M3781" t="s">
        <v>2711</v>
      </c>
      <c r="N3781" t="s">
        <v>2712</v>
      </c>
      <c r="O3781">
        <v>1971.91</v>
      </c>
      <c r="P3781" t="s">
        <v>34</v>
      </c>
    </row>
    <row r="3782" spans="1:16" x14ac:dyDescent="0.4">
      <c r="A3782" t="s">
        <v>15</v>
      </c>
      <c r="B3782" t="s">
        <v>16</v>
      </c>
      <c r="C3782" s="13">
        <v>42005</v>
      </c>
      <c r="D3782" s="13">
        <v>42369</v>
      </c>
      <c r="E3782" t="s">
        <v>17</v>
      </c>
      <c r="F3782">
        <v>0</v>
      </c>
      <c r="G3782" t="s">
        <v>18</v>
      </c>
      <c r="H3782">
        <v>1</v>
      </c>
      <c r="I3782" t="s">
        <v>19</v>
      </c>
      <c r="J3782">
        <v>321</v>
      </c>
      <c r="K3782" t="s">
        <v>104</v>
      </c>
      <c r="L3782" s="13">
        <v>42361</v>
      </c>
      <c r="M3782" t="s">
        <v>2713</v>
      </c>
      <c r="N3782" t="s">
        <v>2714</v>
      </c>
      <c r="O3782">
        <v>3887.7</v>
      </c>
      <c r="P3782" t="s">
        <v>34</v>
      </c>
    </row>
    <row r="3783" spans="1:16" x14ac:dyDescent="0.4">
      <c r="A3783" t="s">
        <v>15</v>
      </c>
      <c r="B3783" t="s">
        <v>16</v>
      </c>
      <c r="C3783" s="13">
        <v>42005</v>
      </c>
      <c r="D3783" s="13">
        <v>42369</v>
      </c>
      <c r="E3783" t="s">
        <v>17</v>
      </c>
      <c r="F3783">
        <v>0</v>
      </c>
      <c r="G3783" t="s">
        <v>18</v>
      </c>
      <c r="H3783">
        <v>1</v>
      </c>
      <c r="I3783" t="s">
        <v>19</v>
      </c>
      <c r="J3783">
        <v>322</v>
      </c>
      <c r="K3783" t="s">
        <v>143</v>
      </c>
      <c r="L3783" s="13">
        <v>42032</v>
      </c>
      <c r="M3783" t="s">
        <v>2715</v>
      </c>
      <c r="N3783" t="s">
        <v>2692</v>
      </c>
      <c r="O3783">
        <v>454.13</v>
      </c>
      <c r="P3783" t="s">
        <v>34</v>
      </c>
    </row>
    <row r="3784" spans="1:16" x14ac:dyDescent="0.4">
      <c r="A3784" t="s">
        <v>15</v>
      </c>
      <c r="B3784" t="s">
        <v>16</v>
      </c>
      <c r="C3784" s="13">
        <v>42005</v>
      </c>
      <c r="D3784" s="13">
        <v>42369</v>
      </c>
      <c r="E3784" t="s">
        <v>17</v>
      </c>
      <c r="F3784">
        <v>0</v>
      </c>
      <c r="G3784" t="s">
        <v>18</v>
      </c>
      <c r="H3784">
        <v>1</v>
      </c>
      <c r="I3784" t="s">
        <v>19</v>
      </c>
      <c r="J3784">
        <v>322</v>
      </c>
      <c r="K3784" t="s">
        <v>143</v>
      </c>
      <c r="L3784" s="13">
        <v>42060</v>
      </c>
      <c r="M3784" t="s">
        <v>2716</v>
      </c>
      <c r="N3784" t="s">
        <v>2694</v>
      </c>
      <c r="O3784">
        <v>454.13</v>
      </c>
      <c r="P3784" t="s">
        <v>34</v>
      </c>
    </row>
    <row r="3785" spans="1:16" x14ac:dyDescent="0.4">
      <c r="A3785" t="s">
        <v>15</v>
      </c>
      <c r="B3785" t="s">
        <v>16</v>
      </c>
      <c r="C3785" s="13">
        <v>42005</v>
      </c>
      <c r="D3785" s="13">
        <v>42369</v>
      </c>
      <c r="E3785" t="s">
        <v>17</v>
      </c>
      <c r="F3785">
        <v>0</v>
      </c>
      <c r="G3785" t="s">
        <v>18</v>
      </c>
      <c r="H3785">
        <v>1</v>
      </c>
      <c r="I3785" t="s">
        <v>19</v>
      </c>
      <c r="J3785">
        <v>322</v>
      </c>
      <c r="K3785" t="s">
        <v>143</v>
      </c>
      <c r="L3785" s="13">
        <v>42090</v>
      </c>
      <c r="M3785" t="s">
        <v>2717</v>
      </c>
      <c r="N3785" t="s">
        <v>2696</v>
      </c>
      <c r="O3785">
        <v>489.5</v>
      </c>
      <c r="P3785" t="s">
        <v>34</v>
      </c>
    </row>
    <row r="3786" spans="1:16" x14ac:dyDescent="0.4">
      <c r="A3786" t="s">
        <v>15</v>
      </c>
      <c r="B3786" t="s">
        <v>16</v>
      </c>
      <c r="C3786" s="13">
        <v>42005</v>
      </c>
      <c r="D3786" s="13">
        <v>42369</v>
      </c>
      <c r="E3786" t="s">
        <v>17</v>
      </c>
      <c r="F3786">
        <v>0</v>
      </c>
      <c r="G3786" t="s">
        <v>18</v>
      </c>
      <c r="H3786">
        <v>1</v>
      </c>
      <c r="I3786" t="s">
        <v>19</v>
      </c>
      <c r="J3786">
        <v>322</v>
      </c>
      <c r="K3786" t="s">
        <v>143</v>
      </c>
      <c r="L3786" s="13">
        <v>42094</v>
      </c>
      <c r="M3786" t="s">
        <v>2718</v>
      </c>
      <c r="N3786" t="s">
        <v>2719</v>
      </c>
      <c r="O3786">
        <v>0.56999999999999995</v>
      </c>
      <c r="P3786" t="s">
        <v>146</v>
      </c>
    </row>
    <row r="3787" spans="1:16" x14ac:dyDescent="0.4">
      <c r="A3787" t="s">
        <v>15</v>
      </c>
      <c r="B3787" t="s">
        <v>16</v>
      </c>
      <c r="C3787" s="13">
        <v>42005</v>
      </c>
      <c r="D3787" s="13">
        <v>42369</v>
      </c>
      <c r="E3787" t="s">
        <v>17</v>
      </c>
      <c r="F3787">
        <v>0</v>
      </c>
      <c r="G3787" t="s">
        <v>18</v>
      </c>
      <c r="H3787">
        <v>1</v>
      </c>
      <c r="I3787" t="s">
        <v>19</v>
      </c>
      <c r="J3787">
        <v>322</v>
      </c>
      <c r="K3787" t="s">
        <v>143</v>
      </c>
      <c r="L3787" s="13">
        <v>42122</v>
      </c>
      <c r="M3787" t="s">
        <v>2720</v>
      </c>
      <c r="N3787" t="s">
        <v>2698</v>
      </c>
      <c r="O3787">
        <v>504.44</v>
      </c>
      <c r="P3787" t="s">
        <v>34</v>
      </c>
    </row>
    <row r="3788" spans="1:16" x14ac:dyDescent="0.4">
      <c r="A3788" t="s">
        <v>15</v>
      </c>
      <c r="B3788" t="s">
        <v>16</v>
      </c>
      <c r="C3788" s="13">
        <v>42005</v>
      </c>
      <c r="D3788" s="13">
        <v>42369</v>
      </c>
      <c r="E3788" t="s">
        <v>17</v>
      </c>
      <c r="F3788">
        <v>0</v>
      </c>
      <c r="G3788" t="s">
        <v>18</v>
      </c>
      <c r="H3788">
        <v>1</v>
      </c>
      <c r="I3788" t="s">
        <v>19</v>
      </c>
      <c r="J3788">
        <v>322</v>
      </c>
      <c r="K3788" t="s">
        <v>143</v>
      </c>
      <c r="L3788" s="13">
        <v>42152</v>
      </c>
      <c r="M3788" t="s">
        <v>2721</v>
      </c>
      <c r="N3788" t="s">
        <v>2700</v>
      </c>
      <c r="O3788">
        <v>503.65</v>
      </c>
      <c r="P3788" t="s">
        <v>34</v>
      </c>
    </row>
    <row r="3789" spans="1:16" x14ac:dyDescent="0.4">
      <c r="A3789" t="s">
        <v>15</v>
      </c>
      <c r="B3789" t="s">
        <v>16</v>
      </c>
      <c r="C3789" s="13">
        <v>42005</v>
      </c>
      <c r="D3789" s="13">
        <v>42369</v>
      </c>
      <c r="E3789" t="s">
        <v>17</v>
      </c>
      <c r="F3789">
        <v>0</v>
      </c>
      <c r="G3789" t="s">
        <v>18</v>
      </c>
      <c r="H3789">
        <v>1</v>
      </c>
      <c r="I3789" t="s">
        <v>19</v>
      </c>
      <c r="J3789">
        <v>322</v>
      </c>
      <c r="K3789" t="s">
        <v>143</v>
      </c>
      <c r="L3789" s="13">
        <v>42184</v>
      </c>
      <c r="M3789" t="s">
        <v>2722</v>
      </c>
      <c r="N3789" t="s">
        <v>2702</v>
      </c>
      <c r="O3789">
        <v>504.54</v>
      </c>
      <c r="P3789" t="s">
        <v>34</v>
      </c>
    </row>
    <row r="3790" spans="1:16" x14ac:dyDescent="0.4">
      <c r="A3790" t="s">
        <v>15</v>
      </c>
      <c r="B3790" t="s">
        <v>16</v>
      </c>
      <c r="C3790" s="13">
        <v>42005</v>
      </c>
      <c r="D3790" s="13">
        <v>42369</v>
      </c>
      <c r="E3790" t="s">
        <v>17</v>
      </c>
      <c r="F3790">
        <v>0</v>
      </c>
      <c r="G3790" t="s">
        <v>18</v>
      </c>
      <c r="H3790">
        <v>1</v>
      </c>
      <c r="I3790" t="s">
        <v>19</v>
      </c>
      <c r="J3790">
        <v>322</v>
      </c>
      <c r="K3790" t="s">
        <v>143</v>
      </c>
      <c r="L3790" s="13">
        <v>42185</v>
      </c>
      <c r="M3790" t="s">
        <v>2723</v>
      </c>
      <c r="N3790" t="s">
        <v>2724</v>
      </c>
      <c r="O3790">
        <v>-0.06</v>
      </c>
      <c r="P3790" t="s">
        <v>146</v>
      </c>
    </row>
    <row r="3791" spans="1:16" x14ac:dyDescent="0.4">
      <c r="A3791" t="s">
        <v>15</v>
      </c>
      <c r="B3791" t="s">
        <v>16</v>
      </c>
      <c r="C3791" s="13">
        <v>42005</v>
      </c>
      <c r="D3791" s="13">
        <v>42369</v>
      </c>
      <c r="E3791" t="s">
        <v>17</v>
      </c>
      <c r="F3791">
        <v>0</v>
      </c>
      <c r="G3791" t="s">
        <v>18</v>
      </c>
      <c r="H3791">
        <v>1</v>
      </c>
      <c r="I3791" t="s">
        <v>19</v>
      </c>
      <c r="J3791">
        <v>322</v>
      </c>
      <c r="K3791" t="s">
        <v>143</v>
      </c>
      <c r="L3791" s="13">
        <v>42214</v>
      </c>
      <c r="M3791" t="s">
        <v>2725</v>
      </c>
      <c r="N3791" t="s">
        <v>2704</v>
      </c>
      <c r="O3791">
        <v>503.22</v>
      </c>
      <c r="P3791" t="s">
        <v>34</v>
      </c>
    </row>
    <row r="3792" spans="1:16" x14ac:dyDescent="0.4">
      <c r="A3792" t="s">
        <v>15</v>
      </c>
      <c r="B3792" t="s">
        <v>16</v>
      </c>
      <c r="C3792" s="13">
        <v>42005</v>
      </c>
      <c r="D3792" s="13">
        <v>42369</v>
      </c>
      <c r="E3792" t="s">
        <v>17</v>
      </c>
      <c r="F3792">
        <v>0</v>
      </c>
      <c r="G3792" t="s">
        <v>18</v>
      </c>
      <c r="H3792">
        <v>1</v>
      </c>
      <c r="I3792" t="s">
        <v>19</v>
      </c>
      <c r="J3792">
        <v>322</v>
      </c>
      <c r="K3792" t="s">
        <v>143</v>
      </c>
      <c r="L3792" s="13">
        <v>42247</v>
      </c>
      <c r="M3792" t="s">
        <v>2726</v>
      </c>
      <c r="N3792" t="s">
        <v>2706</v>
      </c>
      <c r="O3792">
        <v>503.64</v>
      </c>
      <c r="P3792" t="s">
        <v>34</v>
      </c>
    </row>
    <row r="3793" spans="1:16" x14ac:dyDescent="0.4">
      <c r="A3793" t="s">
        <v>15</v>
      </c>
      <c r="B3793" t="s">
        <v>16</v>
      </c>
      <c r="C3793" s="13">
        <v>42005</v>
      </c>
      <c r="D3793" s="13">
        <v>42369</v>
      </c>
      <c r="E3793" t="s">
        <v>17</v>
      </c>
      <c r="F3793">
        <v>0</v>
      </c>
      <c r="G3793" t="s">
        <v>18</v>
      </c>
      <c r="H3793">
        <v>1</v>
      </c>
      <c r="I3793" t="s">
        <v>19</v>
      </c>
      <c r="J3793">
        <v>322</v>
      </c>
      <c r="K3793" t="s">
        <v>143</v>
      </c>
      <c r="L3793" s="13">
        <v>42276</v>
      </c>
      <c r="M3793" t="s">
        <v>2727</v>
      </c>
      <c r="N3793" t="s">
        <v>2708</v>
      </c>
      <c r="O3793">
        <v>504.65</v>
      </c>
      <c r="P3793" t="s">
        <v>34</v>
      </c>
    </row>
    <row r="3794" spans="1:16" x14ac:dyDescent="0.4">
      <c r="A3794" t="s">
        <v>15</v>
      </c>
      <c r="B3794" t="s">
        <v>16</v>
      </c>
      <c r="C3794" s="13">
        <v>42005</v>
      </c>
      <c r="D3794" s="13">
        <v>42369</v>
      </c>
      <c r="E3794" t="s">
        <v>17</v>
      </c>
      <c r="F3794">
        <v>0</v>
      </c>
      <c r="G3794" t="s">
        <v>18</v>
      </c>
      <c r="H3794">
        <v>1</v>
      </c>
      <c r="I3794" t="s">
        <v>19</v>
      </c>
      <c r="J3794">
        <v>322</v>
      </c>
      <c r="K3794" t="s">
        <v>143</v>
      </c>
      <c r="L3794" s="13">
        <v>42277</v>
      </c>
      <c r="M3794" t="s">
        <v>2728</v>
      </c>
      <c r="N3794" t="s">
        <v>2729</v>
      </c>
      <c r="O3794">
        <v>-0.14000000000000001</v>
      </c>
      <c r="P3794" t="s">
        <v>146</v>
      </c>
    </row>
    <row r="3795" spans="1:16" x14ac:dyDescent="0.4">
      <c r="A3795" t="s">
        <v>15</v>
      </c>
      <c r="B3795" t="s">
        <v>16</v>
      </c>
      <c r="C3795" s="13">
        <v>42005</v>
      </c>
      <c r="D3795" s="13">
        <v>42369</v>
      </c>
      <c r="E3795" t="s">
        <v>17</v>
      </c>
      <c r="F3795">
        <v>0</v>
      </c>
      <c r="G3795" t="s">
        <v>18</v>
      </c>
      <c r="H3795">
        <v>1</v>
      </c>
      <c r="I3795" t="s">
        <v>19</v>
      </c>
      <c r="J3795">
        <v>322</v>
      </c>
      <c r="K3795" t="s">
        <v>143</v>
      </c>
      <c r="L3795" s="13">
        <v>42305</v>
      </c>
      <c r="M3795" t="s">
        <v>2730</v>
      </c>
      <c r="N3795" t="s">
        <v>2710</v>
      </c>
      <c r="O3795">
        <v>503.09</v>
      </c>
      <c r="P3795" t="s">
        <v>34</v>
      </c>
    </row>
    <row r="3796" spans="1:16" x14ac:dyDescent="0.4">
      <c r="A3796" t="s">
        <v>15</v>
      </c>
      <c r="B3796" t="s">
        <v>16</v>
      </c>
      <c r="C3796" s="13">
        <v>42005</v>
      </c>
      <c r="D3796" s="13">
        <v>42369</v>
      </c>
      <c r="E3796" t="s">
        <v>17</v>
      </c>
      <c r="F3796">
        <v>0</v>
      </c>
      <c r="G3796" t="s">
        <v>18</v>
      </c>
      <c r="H3796">
        <v>1</v>
      </c>
      <c r="I3796" t="s">
        <v>19</v>
      </c>
      <c r="J3796">
        <v>322</v>
      </c>
      <c r="K3796" t="s">
        <v>143</v>
      </c>
      <c r="L3796" s="13">
        <v>42335</v>
      </c>
      <c r="M3796" t="s">
        <v>2731</v>
      </c>
      <c r="N3796" t="s">
        <v>2712</v>
      </c>
      <c r="O3796">
        <v>504.67</v>
      </c>
      <c r="P3796" t="s">
        <v>34</v>
      </c>
    </row>
    <row r="3797" spans="1:16" x14ac:dyDescent="0.4">
      <c r="A3797" t="s">
        <v>15</v>
      </c>
      <c r="B3797" t="s">
        <v>16</v>
      </c>
      <c r="C3797" s="13">
        <v>42005</v>
      </c>
      <c r="D3797" s="13">
        <v>42369</v>
      </c>
      <c r="E3797" t="s">
        <v>17</v>
      </c>
      <c r="F3797">
        <v>0</v>
      </c>
      <c r="G3797" t="s">
        <v>18</v>
      </c>
      <c r="H3797">
        <v>1</v>
      </c>
      <c r="I3797" t="s">
        <v>19</v>
      </c>
      <c r="J3797">
        <v>322</v>
      </c>
      <c r="K3797" t="s">
        <v>143</v>
      </c>
      <c r="L3797" s="13">
        <v>42361</v>
      </c>
      <c r="M3797" t="s">
        <v>2732</v>
      </c>
      <c r="N3797" t="s">
        <v>2714</v>
      </c>
      <c r="O3797">
        <v>2047.92</v>
      </c>
      <c r="P3797" t="s">
        <v>34</v>
      </c>
    </row>
    <row r="3798" spans="1:16" x14ac:dyDescent="0.4">
      <c r="A3798" t="s">
        <v>15</v>
      </c>
      <c r="B3798" t="s">
        <v>16</v>
      </c>
      <c r="C3798" s="13">
        <v>42005</v>
      </c>
      <c r="D3798" s="13">
        <v>42369</v>
      </c>
      <c r="E3798" t="s">
        <v>17</v>
      </c>
      <c r="F3798">
        <v>0</v>
      </c>
      <c r="G3798" t="s">
        <v>18</v>
      </c>
      <c r="H3798">
        <v>1</v>
      </c>
      <c r="I3798" t="s">
        <v>19</v>
      </c>
      <c r="J3798">
        <v>322</v>
      </c>
      <c r="K3798" t="s">
        <v>143</v>
      </c>
      <c r="L3798" s="13">
        <v>42367</v>
      </c>
      <c r="M3798" t="s">
        <v>2733</v>
      </c>
      <c r="N3798" t="s">
        <v>2734</v>
      </c>
      <c r="O3798">
        <v>-0.26</v>
      </c>
      <c r="P3798" t="s">
        <v>146</v>
      </c>
    </row>
    <row r="3799" spans="1:16" x14ac:dyDescent="0.4">
      <c r="A3799" t="s">
        <v>15</v>
      </c>
      <c r="B3799" t="s">
        <v>16</v>
      </c>
      <c r="C3799" s="13">
        <v>42005</v>
      </c>
      <c r="D3799" s="13">
        <v>42369</v>
      </c>
      <c r="E3799" t="s">
        <v>17</v>
      </c>
      <c r="F3799">
        <v>0</v>
      </c>
      <c r="G3799" t="s">
        <v>18</v>
      </c>
      <c r="H3799">
        <v>1</v>
      </c>
      <c r="I3799" t="s">
        <v>19</v>
      </c>
      <c r="J3799">
        <v>323</v>
      </c>
      <c r="K3799" t="s">
        <v>181</v>
      </c>
      <c r="L3799" s="13">
        <v>42032</v>
      </c>
      <c r="M3799" t="s">
        <v>2735</v>
      </c>
      <c r="N3799" t="s">
        <v>2692</v>
      </c>
      <c r="O3799">
        <v>127.97</v>
      </c>
      <c r="P3799" t="s">
        <v>34</v>
      </c>
    </row>
    <row r="3800" spans="1:16" x14ac:dyDescent="0.4">
      <c r="A3800" t="s">
        <v>15</v>
      </c>
      <c r="B3800" t="s">
        <v>16</v>
      </c>
      <c r="C3800" s="13">
        <v>42005</v>
      </c>
      <c r="D3800" s="13">
        <v>42369</v>
      </c>
      <c r="E3800" t="s">
        <v>17</v>
      </c>
      <c r="F3800">
        <v>0</v>
      </c>
      <c r="G3800" t="s">
        <v>18</v>
      </c>
      <c r="H3800">
        <v>1</v>
      </c>
      <c r="I3800" t="s">
        <v>19</v>
      </c>
      <c r="J3800">
        <v>323</v>
      </c>
      <c r="K3800" t="s">
        <v>181</v>
      </c>
      <c r="L3800" s="13">
        <v>42060</v>
      </c>
      <c r="M3800" t="s">
        <v>2736</v>
      </c>
      <c r="N3800" t="s">
        <v>2694</v>
      </c>
      <c r="O3800">
        <v>127.97</v>
      </c>
      <c r="P3800" t="s">
        <v>34</v>
      </c>
    </row>
    <row r="3801" spans="1:16" x14ac:dyDescent="0.4">
      <c r="A3801" t="s">
        <v>15</v>
      </c>
      <c r="B3801" t="s">
        <v>16</v>
      </c>
      <c r="C3801" s="13">
        <v>42005</v>
      </c>
      <c r="D3801" s="13">
        <v>42369</v>
      </c>
      <c r="E3801" t="s">
        <v>17</v>
      </c>
      <c r="F3801">
        <v>0</v>
      </c>
      <c r="G3801" t="s">
        <v>18</v>
      </c>
      <c r="H3801">
        <v>1</v>
      </c>
      <c r="I3801" t="s">
        <v>19</v>
      </c>
      <c r="J3801">
        <v>323</v>
      </c>
      <c r="K3801" t="s">
        <v>181</v>
      </c>
      <c r="L3801" s="13">
        <v>42090</v>
      </c>
      <c r="M3801" t="s">
        <v>2737</v>
      </c>
      <c r="N3801" t="s">
        <v>2696</v>
      </c>
      <c r="O3801">
        <v>130.94</v>
      </c>
      <c r="P3801" t="s">
        <v>34</v>
      </c>
    </row>
    <row r="3802" spans="1:16" x14ac:dyDescent="0.4">
      <c r="A3802" t="s">
        <v>15</v>
      </c>
      <c r="B3802" t="s">
        <v>16</v>
      </c>
      <c r="C3802" s="13">
        <v>42005</v>
      </c>
      <c r="D3802" s="13">
        <v>42369</v>
      </c>
      <c r="E3802" t="s">
        <v>17</v>
      </c>
      <c r="F3802">
        <v>0</v>
      </c>
      <c r="G3802" t="s">
        <v>18</v>
      </c>
      <c r="H3802">
        <v>1</v>
      </c>
      <c r="I3802" t="s">
        <v>19</v>
      </c>
      <c r="J3802">
        <v>323</v>
      </c>
      <c r="K3802" t="s">
        <v>181</v>
      </c>
      <c r="L3802" s="13">
        <v>42122</v>
      </c>
      <c r="M3802" t="s">
        <v>2738</v>
      </c>
      <c r="N3802" t="s">
        <v>2698</v>
      </c>
      <c r="O3802">
        <v>132.12</v>
      </c>
      <c r="P3802" t="s">
        <v>34</v>
      </c>
    </row>
    <row r="3803" spans="1:16" x14ac:dyDescent="0.4">
      <c r="A3803" t="s">
        <v>15</v>
      </c>
      <c r="B3803" t="s">
        <v>16</v>
      </c>
      <c r="C3803" s="13">
        <v>42005</v>
      </c>
      <c r="D3803" s="13">
        <v>42369</v>
      </c>
      <c r="E3803" t="s">
        <v>17</v>
      </c>
      <c r="F3803">
        <v>0</v>
      </c>
      <c r="G3803" t="s">
        <v>18</v>
      </c>
      <c r="H3803">
        <v>1</v>
      </c>
      <c r="I3803" t="s">
        <v>19</v>
      </c>
      <c r="J3803">
        <v>323</v>
      </c>
      <c r="K3803" t="s">
        <v>181</v>
      </c>
      <c r="L3803" s="13">
        <v>42152</v>
      </c>
      <c r="M3803" t="s">
        <v>2739</v>
      </c>
      <c r="N3803" t="s">
        <v>2700</v>
      </c>
      <c r="O3803">
        <v>132.12</v>
      </c>
      <c r="P3803" t="s">
        <v>34</v>
      </c>
    </row>
    <row r="3804" spans="1:16" x14ac:dyDescent="0.4">
      <c r="A3804" t="s">
        <v>15</v>
      </c>
      <c r="B3804" t="s">
        <v>16</v>
      </c>
      <c r="C3804" s="13">
        <v>42005</v>
      </c>
      <c r="D3804" s="13">
        <v>42369</v>
      </c>
      <c r="E3804" t="s">
        <v>17</v>
      </c>
      <c r="F3804">
        <v>0</v>
      </c>
      <c r="G3804" t="s">
        <v>18</v>
      </c>
      <c r="H3804">
        <v>1</v>
      </c>
      <c r="I3804" t="s">
        <v>19</v>
      </c>
      <c r="J3804">
        <v>323</v>
      </c>
      <c r="K3804" t="s">
        <v>181</v>
      </c>
      <c r="L3804" s="13">
        <v>42184</v>
      </c>
      <c r="M3804" t="s">
        <v>2740</v>
      </c>
      <c r="N3804" t="s">
        <v>2702</v>
      </c>
      <c r="O3804">
        <v>132.12</v>
      </c>
      <c r="P3804" t="s">
        <v>34</v>
      </c>
    </row>
    <row r="3805" spans="1:16" x14ac:dyDescent="0.4">
      <c r="A3805" t="s">
        <v>15</v>
      </c>
      <c r="B3805" t="s">
        <v>16</v>
      </c>
      <c r="C3805" s="13">
        <v>42005</v>
      </c>
      <c r="D3805" s="13">
        <v>42369</v>
      </c>
      <c r="E3805" t="s">
        <v>17</v>
      </c>
      <c r="F3805">
        <v>0</v>
      </c>
      <c r="G3805" t="s">
        <v>18</v>
      </c>
      <c r="H3805">
        <v>1</v>
      </c>
      <c r="I3805" t="s">
        <v>19</v>
      </c>
      <c r="J3805">
        <v>323</v>
      </c>
      <c r="K3805" t="s">
        <v>181</v>
      </c>
      <c r="L3805" s="13">
        <v>42185</v>
      </c>
      <c r="M3805" t="s">
        <v>2741</v>
      </c>
      <c r="N3805" t="s">
        <v>731</v>
      </c>
      <c r="O3805">
        <v>-0.04</v>
      </c>
      <c r="P3805" t="s">
        <v>2505</v>
      </c>
    </row>
    <row r="3806" spans="1:16" x14ac:dyDescent="0.4">
      <c r="A3806" t="s">
        <v>15</v>
      </c>
      <c r="B3806" t="s">
        <v>16</v>
      </c>
      <c r="C3806" s="13">
        <v>42005</v>
      </c>
      <c r="D3806" s="13">
        <v>42369</v>
      </c>
      <c r="E3806" t="s">
        <v>17</v>
      </c>
      <c r="F3806">
        <v>0</v>
      </c>
      <c r="G3806" t="s">
        <v>18</v>
      </c>
      <c r="H3806">
        <v>1</v>
      </c>
      <c r="I3806" t="s">
        <v>19</v>
      </c>
      <c r="J3806">
        <v>323</v>
      </c>
      <c r="K3806" t="s">
        <v>181</v>
      </c>
      <c r="L3806" s="13">
        <v>42214</v>
      </c>
      <c r="M3806" t="s">
        <v>2742</v>
      </c>
      <c r="N3806" t="s">
        <v>2704</v>
      </c>
      <c r="O3806">
        <v>132.12</v>
      </c>
      <c r="P3806" t="s">
        <v>34</v>
      </c>
    </row>
    <row r="3807" spans="1:16" x14ac:dyDescent="0.4">
      <c r="A3807" t="s">
        <v>15</v>
      </c>
      <c r="B3807" t="s">
        <v>16</v>
      </c>
      <c r="C3807" s="13">
        <v>42005</v>
      </c>
      <c r="D3807" s="13">
        <v>42369</v>
      </c>
      <c r="E3807" t="s">
        <v>17</v>
      </c>
      <c r="F3807">
        <v>0</v>
      </c>
      <c r="G3807" t="s">
        <v>18</v>
      </c>
      <c r="H3807">
        <v>1</v>
      </c>
      <c r="I3807" t="s">
        <v>19</v>
      </c>
      <c r="J3807">
        <v>323</v>
      </c>
      <c r="K3807" t="s">
        <v>181</v>
      </c>
      <c r="L3807" s="13">
        <v>42247</v>
      </c>
      <c r="M3807" t="s">
        <v>2743</v>
      </c>
      <c r="N3807" t="s">
        <v>2706</v>
      </c>
      <c r="O3807">
        <v>132.12</v>
      </c>
      <c r="P3807" t="s">
        <v>34</v>
      </c>
    </row>
    <row r="3808" spans="1:16" x14ac:dyDescent="0.4">
      <c r="A3808" t="s">
        <v>15</v>
      </c>
      <c r="B3808" t="s">
        <v>16</v>
      </c>
      <c r="C3808" s="13">
        <v>42005</v>
      </c>
      <c r="D3808" s="13">
        <v>42369</v>
      </c>
      <c r="E3808" t="s">
        <v>17</v>
      </c>
      <c r="F3808">
        <v>0</v>
      </c>
      <c r="G3808" t="s">
        <v>18</v>
      </c>
      <c r="H3808">
        <v>1</v>
      </c>
      <c r="I3808" t="s">
        <v>19</v>
      </c>
      <c r="J3808">
        <v>323</v>
      </c>
      <c r="K3808" t="s">
        <v>181</v>
      </c>
      <c r="L3808" s="13">
        <v>42276</v>
      </c>
      <c r="M3808" t="s">
        <v>2744</v>
      </c>
      <c r="N3808" t="s">
        <v>2708</v>
      </c>
      <c r="O3808">
        <v>132.12</v>
      </c>
      <c r="P3808" t="s">
        <v>34</v>
      </c>
    </row>
    <row r="3809" spans="1:16" x14ac:dyDescent="0.4">
      <c r="A3809" t="s">
        <v>15</v>
      </c>
      <c r="B3809" t="s">
        <v>16</v>
      </c>
      <c r="C3809" s="13">
        <v>42005</v>
      </c>
      <c r="D3809" s="13">
        <v>42369</v>
      </c>
      <c r="E3809" t="s">
        <v>17</v>
      </c>
      <c r="F3809">
        <v>0</v>
      </c>
      <c r="G3809" t="s">
        <v>18</v>
      </c>
      <c r="H3809">
        <v>1</v>
      </c>
      <c r="I3809" t="s">
        <v>19</v>
      </c>
      <c r="J3809">
        <v>323</v>
      </c>
      <c r="K3809" t="s">
        <v>181</v>
      </c>
      <c r="L3809" s="13">
        <v>42277</v>
      </c>
      <c r="M3809" t="s">
        <v>2745</v>
      </c>
      <c r="N3809" t="s">
        <v>731</v>
      </c>
      <c r="O3809">
        <v>-0.04</v>
      </c>
      <c r="P3809" t="s">
        <v>2505</v>
      </c>
    </row>
    <row r="3810" spans="1:16" x14ac:dyDescent="0.4">
      <c r="A3810" t="s">
        <v>15</v>
      </c>
      <c r="B3810" t="s">
        <v>16</v>
      </c>
      <c r="C3810" s="13">
        <v>42005</v>
      </c>
      <c r="D3810" s="13">
        <v>42369</v>
      </c>
      <c r="E3810" t="s">
        <v>17</v>
      </c>
      <c r="F3810">
        <v>0</v>
      </c>
      <c r="G3810" t="s">
        <v>18</v>
      </c>
      <c r="H3810">
        <v>1</v>
      </c>
      <c r="I3810" t="s">
        <v>19</v>
      </c>
      <c r="J3810">
        <v>323</v>
      </c>
      <c r="K3810" t="s">
        <v>181</v>
      </c>
      <c r="L3810" s="13">
        <v>42305</v>
      </c>
      <c r="M3810" t="s">
        <v>2746</v>
      </c>
      <c r="N3810" t="s">
        <v>2710</v>
      </c>
      <c r="O3810">
        <v>132.12</v>
      </c>
      <c r="P3810" t="s">
        <v>34</v>
      </c>
    </row>
    <row r="3811" spans="1:16" x14ac:dyDescent="0.4">
      <c r="A3811" t="s">
        <v>15</v>
      </c>
      <c r="B3811" t="s">
        <v>16</v>
      </c>
      <c r="C3811" s="13">
        <v>42005</v>
      </c>
      <c r="D3811" s="13">
        <v>42369</v>
      </c>
      <c r="E3811" t="s">
        <v>17</v>
      </c>
      <c r="F3811">
        <v>0</v>
      </c>
      <c r="G3811" t="s">
        <v>18</v>
      </c>
      <c r="H3811">
        <v>1</v>
      </c>
      <c r="I3811" t="s">
        <v>19</v>
      </c>
      <c r="J3811">
        <v>323</v>
      </c>
      <c r="K3811" t="s">
        <v>181</v>
      </c>
      <c r="L3811" s="13">
        <v>42335</v>
      </c>
      <c r="M3811" t="s">
        <v>2747</v>
      </c>
      <c r="N3811" t="s">
        <v>2712</v>
      </c>
      <c r="O3811">
        <v>132.12</v>
      </c>
      <c r="P3811" t="s">
        <v>34</v>
      </c>
    </row>
    <row r="3812" spans="1:16" x14ac:dyDescent="0.4">
      <c r="A3812" t="s">
        <v>15</v>
      </c>
      <c r="B3812" t="s">
        <v>16</v>
      </c>
      <c r="C3812" s="13">
        <v>42005</v>
      </c>
      <c r="D3812" s="13">
        <v>42369</v>
      </c>
      <c r="E3812" t="s">
        <v>17</v>
      </c>
      <c r="F3812">
        <v>0</v>
      </c>
      <c r="G3812" t="s">
        <v>18</v>
      </c>
      <c r="H3812">
        <v>1</v>
      </c>
      <c r="I3812" t="s">
        <v>19</v>
      </c>
      <c r="J3812">
        <v>323</v>
      </c>
      <c r="K3812" t="s">
        <v>181</v>
      </c>
      <c r="L3812" s="13">
        <v>42361</v>
      </c>
      <c r="M3812" t="s">
        <v>2748</v>
      </c>
      <c r="N3812" t="s">
        <v>2714</v>
      </c>
      <c r="O3812">
        <v>260.47000000000003</v>
      </c>
      <c r="P3812" t="s">
        <v>34</v>
      </c>
    </row>
    <row r="3813" spans="1:16" x14ac:dyDescent="0.4">
      <c r="A3813" t="s">
        <v>15</v>
      </c>
      <c r="B3813" t="s">
        <v>16</v>
      </c>
      <c r="C3813" s="13">
        <v>42005</v>
      </c>
      <c r="D3813" s="13">
        <v>42369</v>
      </c>
      <c r="E3813" t="s">
        <v>17</v>
      </c>
      <c r="F3813">
        <v>0</v>
      </c>
      <c r="G3813" t="s">
        <v>18</v>
      </c>
      <c r="H3813">
        <v>1</v>
      </c>
      <c r="I3813" t="s">
        <v>19</v>
      </c>
      <c r="J3813">
        <v>323</v>
      </c>
      <c r="K3813" t="s">
        <v>181</v>
      </c>
      <c r="L3813" s="13">
        <v>42367</v>
      </c>
      <c r="M3813" t="s">
        <v>2749</v>
      </c>
      <c r="N3813" t="s">
        <v>731</v>
      </c>
      <c r="O3813">
        <v>-0.02</v>
      </c>
      <c r="P3813" t="s">
        <v>2505</v>
      </c>
    </row>
    <row r="3814" spans="1:16" x14ac:dyDescent="0.4">
      <c r="A3814" t="s">
        <v>15</v>
      </c>
      <c r="B3814" t="s">
        <v>16</v>
      </c>
      <c r="C3814" s="13">
        <v>42005</v>
      </c>
      <c r="D3814" s="13">
        <v>42369</v>
      </c>
      <c r="E3814" t="s">
        <v>17</v>
      </c>
      <c r="F3814">
        <v>0</v>
      </c>
      <c r="G3814" t="s">
        <v>18</v>
      </c>
      <c r="H3814">
        <v>1</v>
      </c>
      <c r="I3814" t="s">
        <v>19</v>
      </c>
      <c r="J3814">
        <v>326</v>
      </c>
      <c r="K3814" t="s">
        <v>199</v>
      </c>
      <c r="L3814" s="13">
        <v>42277</v>
      </c>
      <c r="M3814" t="s">
        <v>2750</v>
      </c>
      <c r="N3814" t="s">
        <v>46</v>
      </c>
      <c r="O3814">
        <v>-76</v>
      </c>
      <c r="P3814" t="s">
        <v>202</v>
      </c>
    </row>
    <row r="3815" spans="1:16" x14ac:dyDescent="0.4">
      <c r="A3815" t="s">
        <v>15</v>
      </c>
      <c r="B3815" t="s">
        <v>16</v>
      </c>
      <c r="C3815" s="13">
        <v>42005</v>
      </c>
      <c r="D3815" s="13">
        <v>42369</v>
      </c>
      <c r="E3815" t="s">
        <v>17</v>
      </c>
      <c r="F3815">
        <v>0</v>
      </c>
      <c r="G3815" t="s">
        <v>18</v>
      </c>
      <c r="H3815">
        <v>1</v>
      </c>
      <c r="I3815" t="s">
        <v>19</v>
      </c>
      <c r="J3815">
        <v>326</v>
      </c>
      <c r="K3815" t="s">
        <v>199</v>
      </c>
      <c r="L3815" s="13">
        <v>42367</v>
      </c>
      <c r="M3815" t="s">
        <v>2751</v>
      </c>
      <c r="N3815" t="s">
        <v>753</v>
      </c>
      <c r="O3815">
        <v>2362</v>
      </c>
      <c r="P3815" t="s">
        <v>202</v>
      </c>
    </row>
    <row r="3816" spans="1:16" x14ac:dyDescent="0.4">
      <c r="A3816" t="s">
        <v>15</v>
      </c>
      <c r="B3816" t="s">
        <v>16</v>
      </c>
      <c r="C3816" s="13">
        <v>42005</v>
      </c>
      <c r="D3816" s="13">
        <v>42369</v>
      </c>
      <c r="E3816" t="s">
        <v>17</v>
      </c>
      <c r="F3816">
        <v>0</v>
      </c>
      <c r="G3816" t="s">
        <v>18</v>
      </c>
      <c r="H3816">
        <v>1</v>
      </c>
      <c r="I3816" t="s">
        <v>19</v>
      </c>
      <c r="J3816">
        <v>328</v>
      </c>
      <c r="K3816" t="s">
        <v>1154</v>
      </c>
      <c r="L3816" s="13">
        <v>42170</v>
      </c>
      <c r="M3816" t="s">
        <v>2752</v>
      </c>
      <c r="N3816" t="s">
        <v>2753</v>
      </c>
      <c r="O3816">
        <v>45</v>
      </c>
      <c r="P3816" t="s">
        <v>34</v>
      </c>
    </row>
    <row r="3817" spans="1:16" x14ac:dyDescent="0.4">
      <c r="A3817" t="s">
        <v>15</v>
      </c>
      <c r="B3817" t="s">
        <v>16</v>
      </c>
      <c r="C3817" s="13">
        <v>42005</v>
      </c>
      <c r="D3817" s="13">
        <v>42369</v>
      </c>
      <c r="E3817" t="s">
        <v>17</v>
      </c>
      <c r="F3817">
        <v>0</v>
      </c>
      <c r="G3817" t="s">
        <v>18</v>
      </c>
      <c r="H3817">
        <v>1</v>
      </c>
      <c r="I3817" t="s">
        <v>19</v>
      </c>
      <c r="J3817">
        <v>335</v>
      </c>
      <c r="K3817" t="s">
        <v>1876</v>
      </c>
      <c r="L3817" s="13">
        <v>42026</v>
      </c>
      <c r="M3817" t="s">
        <v>2754</v>
      </c>
      <c r="N3817" t="s">
        <v>659</v>
      </c>
      <c r="O3817">
        <v>86.4</v>
      </c>
      <c r="P3817" t="s">
        <v>103</v>
      </c>
    </row>
    <row r="3818" spans="1:16" x14ac:dyDescent="0.4">
      <c r="A3818" t="s">
        <v>15</v>
      </c>
      <c r="B3818" t="s">
        <v>16</v>
      </c>
      <c r="C3818" s="13">
        <v>42005</v>
      </c>
      <c r="D3818" s="13">
        <v>42369</v>
      </c>
      <c r="E3818" t="s">
        <v>17</v>
      </c>
      <c r="F3818">
        <v>0</v>
      </c>
      <c r="G3818" t="s">
        <v>18</v>
      </c>
      <c r="H3818">
        <v>1</v>
      </c>
      <c r="I3818" t="s">
        <v>19</v>
      </c>
      <c r="J3818">
        <v>338</v>
      </c>
      <c r="K3818" t="s">
        <v>2524</v>
      </c>
      <c r="L3818" s="13">
        <v>42184</v>
      </c>
      <c r="M3818" t="s">
        <v>2755</v>
      </c>
      <c r="N3818" t="s">
        <v>2702</v>
      </c>
      <c r="O3818">
        <v>13.7</v>
      </c>
      <c r="P3818" t="s">
        <v>34</v>
      </c>
    </row>
    <row r="3819" spans="1:16" x14ac:dyDescent="0.4">
      <c r="A3819" t="s">
        <v>15</v>
      </c>
      <c r="B3819" t="s">
        <v>16</v>
      </c>
      <c r="C3819" s="13">
        <v>42005</v>
      </c>
      <c r="D3819" s="13">
        <v>42369</v>
      </c>
      <c r="E3819" t="s">
        <v>17</v>
      </c>
      <c r="F3819">
        <v>0</v>
      </c>
      <c r="G3819" t="s">
        <v>18</v>
      </c>
      <c r="H3819">
        <v>1</v>
      </c>
      <c r="I3819" t="s">
        <v>19</v>
      </c>
      <c r="J3819">
        <v>338</v>
      </c>
      <c r="K3819" t="s">
        <v>2524</v>
      </c>
      <c r="L3819" s="13">
        <v>42185</v>
      </c>
      <c r="M3819" t="s">
        <v>2756</v>
      </c>
      <c r="N3819" t="s">
        <v>46</v>
      </c>
      <c r="O3819">
        <v>0.01</v>
      </c>
      <c r="P3819" t="s">
        <v>2530</v>
      </c>
    </row>
    <row r="3820" spans="1:16" x14ac:dyDescent="0.4">
      <c r="A3820" t="s">
        <v>15</v>
      </c>
      <c r="B3820" t="s">
        <v>16</v>
      </c>
      <c r="C3820" s="13">
        <v>42005</v>
      </c>
      <c r="D3820" s="13">
        <v>42369</v>
      </c>
      <c r="E3820" t="s">
        <v>17</v>
      </c>
      <c r="F3820">
        <v>0</v>
      </c>
      <c r="G3820" t="s">
        <v>18</v>
      </c>
      <c r="H3820">
        <v>1</v>
      </c>
      <c r="I3820" t="s">
        <v>19</v>
      </c>
      <c r="J3820">
        <v>338</v>
      </c>
      <c r="K3820" t="s">
        <v>2524</v>
      </c>
      <c r="L3820" s="13">
        <v>42214</v>
      </c>
      <c r="M3820" t="s">
        <v>2757</v>
      </c>
      <c r="N3820" t="s">
        <v>2704</v>
      </c>
      <c r="O3820">
        <v>13.7</v>
      </c>
      <c r="P3820" t="s">
        <v>34</v>
      </c>
    </row>
    <row r="3821" spans="1:16" x14ac:dyDescent="0.4">
      <c r="A3821" t="s">
        <v>15</v>
      </c>
      <c r="B3821" t="s">
        <v>16</v>
      </c>
      <c r="C3821" s="13">
        <v>42005</v>
      </c>
      <c r="D3821" s="13">
        <v>42369</v>
      </c>
      <c r="E3821" t="s">
        <v>17</v>
      </c>
      <c r="F3821">
        <v>0</v>
      </c>
      <c r="G3821" t="s">
        <v>18</v>
      </c>
      <c r="H3821">
        <v>1</v>
      </c>
      <c r="I3821" t="s">
        <v>19</v>
      </c>
      <c r="J3821">
        <v>338</v>
      </c>
      <c r="K3821" t="s">
        <v>2524</v>
      </c>
      <c r="L3821" s="13">
        <v>42247</v>
      </c>
      <c r="M3821" t="s">
        <v>2758</v>
      </c>
      <c r="N3821" t="s">
        <v>2706</v>
      </c>
      <c r="O3821">
        <v>13.7</v>
      </c>
      <c r="P3821" t="s">
        <v>34</v>
      </c>
    </row>
    <row r="3822" spans="1:16" x14ac:dyDescent="0.4">
      <c r="A3822" t="s">
        <v>15</v>
      </c>
      <c r="B3822" t="s">
        <v>16</v>
      </c>
      <c r="C3822" s="13">
        <v>42005</v>
      </c>
      <c r="D3822" s="13">
        <v>42369</v>
      </c>
      <c r="E3822" t="s">
        <v>17</v>
      </c>
      <c r="F3822">
        <v>0</v>
      </c>
      <c r="G3822" t="s">
        <v>18</v>
      </c>
      <c r="H3822">
        <v>1</v>
      </c>
      <c r="I3822" t="s">
        <v>19</v>
      </c>
      <c r="J3822">
        <v>338</v>
      </c>
      <c r="K3822" t="s">
        <v>2524</v>
      </c>
      <c r="L3822" s="13">
        <v>42276</v>
      </c>
      <c r="M3822" t="s">
        <v>2759</v>
      </c>
      <c r="N3822" t="s">
        <v>2708</v>
      </c>
      <c r="O3822">
        <v>13.7</v>
      </c>
      <c r="P3822" t="s">
        <v>34</v>
      </c>
    </row>
    <row r="3823" spans="1:16" x14ac:dyDescent="0.4">
      <c r="A3823" t="s">
        <v>15</v>
      </c>
      <c r="B3823" t="s">
        <v>16</v>
      </c>
      <c r="C3823" s="13">
        <v>42005</v>
      </c>
      <c r="D3823" s="13">
        <v>42369</v>
      </c>
      <c r="E3823" t="s">
        <v>17</v>
      </c>
      <c r="F3823">
        <v>0</v>
      </c>
      <c r="G3823" t="s">
        <v>18</v>
      </c>
      <c r="H3823">
        <v>1</v>
      </c>
      <c r="I3823" t="s">
        <v>19</v>
      </c>
      <c r="J3823">
        <v>338</v>
      </c>
      <c r="K3823" t="s">
        <v>2524</v>
      </c>
      <c r="L3823" s="13">
        <v>42277</v>
      </c>
      <c r="M3823" t="s">
        <v>2760</v>
      </c>
      <c r="N3823" t="s">
        <v>2529</v>
      </c>
      <c r="O3823">
        <v>0.03</v>
      </c>
      <c r="P3823" t="s">
        <v>2530</v>
      </c>
    </row>
    <row r="3824" spans="1:16" x14ac:dyDescent="0.4">
      <c r="A3824" t="s">
        <v>15</v>
      </c>
      <c r="B3824" t="s">
        <v>16</v>
      </c>
      <c r="C3824" s="13">
        <v>42005</v>
      </c>
      <c r="D3824" s="13">
        <v>42369</v>
      </c>
      <c r="E3824" t="s">
        <v>17</v>
      </c>
      <c r="F3824">
        <v>0</v>
      </c>
      <c r="G3824" t="s">
        <v>18</v>
      </c>
      <c r="H3824">
        <v>1</v>
      </c>
      <c r="I3824" t="s">
        <v>19</v>
      </c>
      <c r="J3824">
        <v>338</v>
      </c>
      <c r="K3824" t="s">
        <v>2524</v>
      </c>
      <c r="L3824" s="13">
        <v>42305</v>
      </c>
      <c r="M3824" t="s">
        <v>2761</v>
      </c>
      <c r="N3824" t="s">
        <v>2710</v>
      </c>
      <c r="O3824">
        <v>13.7</v>
      </c>
      <c r="P3824" t="s">
        <v>34</v>
      </c>
    </row>
    <row r="3825" spans="1:16" x14ac:dyDescent="0.4">
      <c r="A3825" t="s">
        <v>15</v>
      </c>
      <c r="B3825" t="s">
        <v>16</v>
      </c>
      <c r="C3825" s="13">
        <v>42005</v>
      </c>
      <c r="D3825" s="13">
        <v>42369</v>
      </c>
      <c r="E3825" t="s">
        <v>17</v>
      </c>
      <c r="F3825">
        <v>0</v>
      </c>
      <c r="G3825" t="s">
        <v>18</v>
      </c>
      <c r="H3825">
        <v>1</v>
      </c>
      <c r="I3825" t="s">
        <v>19</v>
      </c>
      <c r="J3825">
        <v>338</v>
      </c>
      <c r="K3825" t="s">
        <v>2524</v>
      </c>
      <c r="L3825" s="13">
        <v>42335</v>
      </c>
      <c r="M3825" t="s">
        <v>2762</v>
      </c>
      <c r="N3825" t="s">
        <v>2712</v>
      </c>
      <c r="O3825">
        <v>13.7</v>
      </c>
      <c r="P3825" t="s">
        <v>34</v>
      </c>
    </row>
    <row r="3826" spans="1:16" x14ac:dyDescent="0.4">
      <c r="A3826" t="s">
        <v>15</v>
      </c>
      <c r="B3826" t="s">
        <v>16</v>
      </c>
      <c r="C3826" s="13">
        <v>42005</v>
      </c>
      <c r="D3826" s="13">
        <v>42369</v>
      </c>
      <c r="E3826" t="s">
        <v>17</v>
      </c>
      <c r="F3826">
        <v>0</v>
      </c>
      <c r="G3826" t="s">
        <v>18</v>
      </c>
      <c r="H3826">
        <v>1</v>
      </c>
      <c r="I3826" t="s">
        <v>19</v>
      </c>
      <c r="J3826">
        <v>338</v>
      </c>
      <c r="K3826" t="s">
        <v>2524</v>
      </c>
      <c r="L3826" s="13">
        <v>42361</v>
      </c>
      <c r="M3826" t="s">
        <v>2763</v>
      </c>
      <c r="N3826" t="s">
        <v>2714</v>
      </c>
      <c r="O3826">
        <v>27.02</v>
      </c>
      <c r="P3826" t="s">
        <v>34</v>
      </c>
    </row>
    <row r="3827" spans="1:16" x14ac:dyDescent="0.4">
      <c r="A3827" t="s">
        <v>15</v>
      </c>
      <c r="B3827" t="s">
        <v>16</v>
      </c>
      <c r="C3827" s="13">
        <v>42005</v>
      </c>
      <c r="D3827" s="13">
        <v>42369</v>
      </c>
      <c r="E3827" t="s">
        <v>17</v>
      </c>
      <c r="F3827">
        <v>0</v>
      </c>
      <c r="G3827" t="s">
        <v>18</v>
      </c>
      <c r="H3827">
        <v>1</v>
      </c>
      <c r="I3827" t="s">
        <v>19</v>
      </c>
      <c r="J3827">
        <v>338</v>
      </c>
      <c r="K3827" t="s">
        <v>2524</v>
      </c>
      <c r="L3827" s="13">
        <v>42367</v>
      </c>
      <c r="M3827" t="s">
        <v>2764</v>
      </c>
      <c r="N3827" t="s">
        <v>2529</v>
      </c>
      <c r="O3827">
        <v>0.02</v>
      </c>
      <c r="P3827" t="s">
        <v>2530</v>
      </c>
    </row>
    <row r="3828" spans="1:16" x14ac:dyDescent="0.4">
      <c r="A3828" t="s">
        <v>15</v>
      </c>
      <c r="B3828" t="s">
        <v>16</v>
      </c>
      <c r="C3828" s="13">
        <v>42005</v>
      </c>
      <c r="D3828" s="13">
        <v>42369</v>
      </c>
      <c r="E3828" t="s">
        <v>17</v>
      </c>
      <c r="F3828">
        <v>0</v>
      </c>
      <c r="G3828" t="s">
        <v>18</v>
      </c>
      <c r="H3828">
        <v>1</v>
      </c>
      <c r="I3828" t="s">
        <v>19</v>
      </c>
      <c r="J3828">
        <v>349</v>
      </c>
      <c r="K3828" t="s">
        <v>236</v>
      </c>
      <c r="L3828" s="13">
        <v>42024</v>
      </c>
      <c r="M3828" t="s">
        <v>1589</v>
      </c>
      <c r="N3828" t="s">
        <v>2765</v>
      </c>
      <c r="O3828">
        <v>36.43</v>
      </c>
      <c r="P3828" t="s">
        <v>239</v>
      </c>
    </row>
    <row r="3829" spans="1:16" x14ac:dyDescent="0.4">
      <c r="A3829" t="s">
        <v>15</v>
      </c>
      <c r="B3829" t="s">
        <v>16</v>
      </c>
      <c r="C3829" s="13">
        <v>42005</v>
      </c>
      <c r="D3829" s="13">
        <v>42369</v>
      </c>
      <c r="E3829" t="s">
        <v>17</v>
      </c>
      <c r="F3829">
        <v>0</v>
      </c>
      <c r="G3829" t="s">
        <v>18</v>
      </c>
      <c r="H3829">
        <v>1</v>
      </c>
      <c r="I3829" t="s">
        <v>19</v>
      </c>
      <c r="J3829">
        <v>349</v>
      </c>
      <c r="K3829" t="s">
        <v>236</v>
      </c>
      <c r="L3829" s="13">
        <v>42089</v>
      </c>
      <c r="M3829" t="s">
        <v>1589</v>
      </c>
      <c r="N3829" t="s">
        <v>1923</v>
      </c>
      <c r="O3829">
        <v>24.61</v>
      </c>
      <c r="P3829" t="s">
        <v>239</v>
      </c>
    </row>
    <row r="3830" spans="1:16" x14ac:dyDescent="0.4">
      <c r="A3830" t="s">
        <v>15</v>
      </c>
      <c r="B3830" t="s">
        <v>16</v>
      </c>
      <c r="C3830" s="13">
        <v>42005</v>
      </c>
      <c r="D3830" s="13">
        <v>42369</v>
      </c>
      <c r="E3830" t="s">
        <v>17</v>
      </c>
      <c r="F3830">
        <v>0</v>
      </c>
      <c r="G3830" t="s">
        <v>18</v>
      </c>
      <c r="H3830">
        <v>1</v>
      </c>
      <c r="I3830" t="s">
        <v>19</v>
      </c>
      <c r="J3830">
        <v>349</v>
      </c>
      <c r="K3830" t="s">
        <v>236</v>
      </c>
      <c r="L3830" s="13">
        <v>42145</v>
      </c>
      <c r="M3830" t="s">
        <v>1589</v>
      </c>
      <c r="N3830" t="s">
        <v>2766</v>
      </c>
      <c r="O3830">
        <v>35.49</v>
      </c>
      <c r="P3830" t="s">
        <v>239</v>
      </c>
    </row>
    <row r="3831" spans="1:16" x14ac:dyDescent="0.4">
      <c r="A3831" t="s">
        <v>15</v>
      </c>
      <c r="B3831" t="s">
        <v>16</v>
      </c>
      <c r="C3831" s="13">
        <v>42005</v>
      </c>
      <c r="D3831" s="13">
        <v>42369</v>
      </c>
      <c r="E3831" t="s">
        <v>17</v>
      </c>
      <c r="F3831">
        <v>0</v>
      </c>
      <c r="G3831" t="s">
        <v>18</v>
      </c>
      <c r="H3831">
        <v>1</v>
      </c>
      <c r="I3831" t="s">
        <v>19</v>
      </c>
      <c r="J3831">
        <v>349</v>
      </c>
      <c r="K3831" t="s">
        <v>236</v>
      </c>
      <c r="L3831" s="13">
        <v>42205</v>
      </c>
      <c r="M3831" t="s">
        <v>1589</v>
      </c>
      <c r="N3831" t="s">
        <v>2767</v>
      </c>
      <c r="O3831">
        <v>35.68</v>
      </c>
      <c r="P3831" t="s">
        <v>239</v>
      </c>
    </row>
    <row r="3832" spans="1:16" x14ac:dyDescent="0.4">
      <c r="A3832" t="s">
        <v>15</v>
      </c>
      <c r="B3832" t="s">
        <v>16</v>
      </c>
      <c r="C3832" s="13">
        <v>42005</v>
      </c>
      <c r="D3832" s="13">
        <v>42369</v>
      </c>
      <c r="E3832" t="s">
        <v>17</v>
      </c>
      <c r="F3832">
        <v>0</v>
      </c>
      <c r="G3832" t="s">
        <v>18</v>
      </c>
      <c r="H3832">
        <v>1</v>
      </c>
      <c r="I3832" t="s">
        <v>19</v>
      </c>
      <c r="J3832">
        <v>349</v>
      </c>
      <c r="K3832" t="s">
        <v>236</v>
      </c>
      <c r="L3832" s="13">
        <v>42275</v>
      </c>
      <c r="M3832" t="s">
        <v>1589</v>
      </c>
      <c r="N3832" t="s">
        <v>2768</v>
      </c>
      <c r="O3832">
        <v>13.4</v>
      </c>
      <c r="P3832" t="s">
        <v>239</v>
      </c>
    </row>
    <row r="3833" spans="1:16" x14ac:dyDescent="0.4">
      <c r="A3833" t="s">
        <v>15</v>
      </c>
      <c r="B3833" t="s">
        <v>16</v>
      </c>
      <c r="C3833" s="13">
        <v>42005</v>
      </c>
      <c r="D3833" s="13">
        <v>42369</v>
      </c>
      <c r="E3833" t="s">
        <v>17</v>
      </c>
      <c r="F3833">
        <v>0</v>
      </c>
      <c r="G3833" t="s">
        <v>18</v>
      </c>
      <c r="H3833">
        <v>1</v>
      </c>
      <c r="I3833" t="s">
        <v>19</v>
      </c>
      <c r="J3833">
        <v>349</v>
      </c>
      <c r="K3833" t="s">
        <v>236</v>
      </c>
      <c r="L3833" s="13">
        <v>42327</v>
      </c>
      <c r="M3833" t="s">
        <v>1589</v>
      </c>
      <c r="N3833" t="s">
        <v>1923</v>
      </c>
      <c r="O3833">
        <v>31.81</v>
      </c>
      <c r="P3833" t="s">
        <v>239</v>
      </c>
    </row>
    <row r="3834" spans="1:16" x14ac:dyDescent="0.4">
      <c r="A3834" t="s">
        <v>15</v>
      </c>
      <c r="B3834" t="s">
        <v>16</v>
      </c>
      <c r="C3834" s="13">
        <v>42005</v>
      </c>
      <c r="D3834" s="13">
        <v>42369</v>
      </c>
      <c r="E3834" t="s">
        <v>17</v>
      </c>
      <c r="F3834">
        <v>0</v>
      </c>
      <c r="G3834" t="s">
        <v>18</v>
      </c>
      <c r="H3834">
        <v>1</v>
      </c>
      <c r="I3834" t="s">
        <v>19</v>
      </c>
      <c r="J3834">
        <v>409</v>
      </c>
      <c r="K3834" t="s">
        <v>1600</v>
      </c>
      <c r="L3834" s="13">
        <v>42185</v>
      </c>
      <c r="M3834" t="s">
        <v>251</v>
      </c>
      <c r="N3834" t="s">
        <v>46</v>
      </c>
      <c r="O3834">
        <v>20.28</v>
      </c>
      <c r="P3834" t="s">
        <v>46</v>
      </c>
    </row>
    <row r="3835" spans="1:16" x14ac:dyDescent="0.4">
      <c r="A3835" t="s">
        <v>15</v>
      </c>
      <c r="B3835" t="s">
        <v>16</v>
      </c>
      <c r="C3835" s="13">
        <v>42005</v>
      </c>
      <c r="D3835" s="13">
        <v>42369</v>
      </c>
      <c r="E3835" t="s">
        <v>17</v>
      </c>
      <c r="F3835">
        <v>0</v>
      </c>
      <c r="G3835" t="s">
        <v>18</v>
      </c>
      <c r="H3835">
        <v>1</v>
      </c>
      <c r="I3835" t="s">
        <v>19</v>
      </c>
      <c r="J3835">
        <v>409</v>
      </c>
      <c r="K3835" t="s">
        <v>1600</v>
      </c>
      <c r="L3835" s="13">
        <v>42277</v>
      </c>
      <c r="M3835" t="s">
        <v>251</v>
      </c>
      <c r="N3835" t="s">
        <v>46</v>
      </c>
      <c r="O3835">
        <v>20.28</v>
      </c>
      <c r="P3835" t="s">
        <v>46</v>
      </c>
    </row>
    <row r="3836" spans="1:16" x14ac:dyDescent="0.4">
      <c r="A3836" t="s">
        <v>15</v>
      </c>
      <c r="B3836" t="s">
        <v>16</v>
      </c>
      <c r="C3836" s="13">
        <v>42005</v>
      </c>
      <c r="D3836" s="13">
        <v>42369</v>
      </c>
      <c r="E3836" t="s">
        <v>17</v>
      </c>
      <c r="F3836">
        <v>0</v>
      </c>
      <c r="G3836" t="s">
        <v>18</v>
      </c>
      <c r="H3836">
        <v>1</v>
      </c>
      <c r="I3836" t="s">
        <v>19</v>
      </c>
      <c r="J3836">
        <v>409</v>
      </c>
      <c r="K3836" t="s">
        <v>1600</v>
      </c>
      <c r="L3836" s="13">
        <v>42369</v>
      </c>
      <c r="M3836" t="s">
        <v>251</v>
      </c>
      <c r="N3836" t="s">
        <v>46</v>
      </c>
      <c r="O3836">
        <v>20.28</v>
      </c>
      <c r="P3836" t="s">
        <v>46</v>
      </c>
    </row>
    <row r="3837" spans="1:16" x14ac:dyDescent="0.4">
      <c r="A3837" t="s">
        <v>15</v>
      </c>
      <c r="B3837" t="s">
        <v>16</v>
      </c>
      <c r="C3837" s="13">
        <v>42005</v>
      </c>
      <c r="D3837" s="13">
        <v>42369</v>
      </c>
      <c r="E3837" t="s">
        <v>17</v>
      </c>
      <c r="F3837">
        <v>0</v>
      </c>
      <c r="G3837" t="s">
        <v>18</v>
      </c>
      <c r="H3837">
        <v>1</v>
      </c>
      <c r="I3837" t="s">
        <v>19</v>
      </c>
      <c r="J3837">
        <v>461</v>
      </c>
      <c r="K3837" t="s">
        <v>272</v>
      </c>
      <c r="L3837" s="13">
        <v>42276</v>
      </c>
      <c r="M3837" t="s">
        <v>2769</v>
      </c>
      <c r="N3837" t="s">
        <v>2770</v>
      </c>
      <c r="O3837">
        <v>868.01</v>
      </c>
      <c r="P3837" t="s">
        <v>1997</v>
      </c>
    </row>
    <row r="3838" spans="1:16" x14ac:dyDescent="0.4">
      <c r="A3838" t="s">
        <v>15</v>
      </c>
      <c r="B3838" t="s">
        <v>16</v>
      </c>
      <c r="C3838" s="13">
        <v>42005</v>
      </c>
      <c r="D3838" s="13">
        <v>42369</v>
      </c>
      <c r="E3838" t="s">
        <v>17</v>
      </c>
      <c r="F3838">
        <v>0</v>
      </c>
      <c r="G3838" t="s">
        <v>18</v>
      </c>
      <c r="H3838">
        <v>1</v>
      </c>
      <c r="I3838" t="s">
        <v>19</v>
      </c>
      <c r="J3838">
        <v>706</v>
      </c>
      <c r="K3838" t="s">
        <v>365</v>
      </c>
      <c r="L3838" s="13">
        <v>42213</v>
      </c>
      <c r="M3838" t="s">
        <v>2772</v>
      </c>
      <c r="N3838" t="s">
        <v>2773</v>
      </c>
      <c r="O3838">
        <v>50.05</v>
      </c>
      <c r="P3838" t="s">
        <v>368</v>
      </c>
    </row>
    <row r="3839" spans="1:16" x14ac:dyDescent="0.4">
      <c r="A3839" t="s">
        <v>15</v>
      </c>
      <c r="B3839" t="s">
        <v>16</v>
      </c>
      <c r="C3839" s="13">
        <v>42005</v>
      </c>
      <c r="D3839" s="13">
        <v>42369</v>
      </c>
      <c r="E3839" t="s">
        <v>17</v>
      </c>
      <c r="F3839">
        <v>0</v>
      </c>
      <c r="G3839" t="s">
        <v>18</v>
      </c>
      <c r="H3839">
        <v>1</v>
      </c>
      <c r="I3839" t="s">
        <v>19</v>
      </c>
      <c r="J3839">
        <v>706</v>
      </c>
      <c r="K3839" t="s">
        <v>365</v>
      </c>
      <c r="L3839" s="13">
        <v>42213</v>
      </c>
      <c r="M3839" t="s">
        <v>2300</v>
      </c>
      <c r="N3839" t="s">
        <v>2771</v>
      </c>
      <c r="O3839">
        <v>108</v>
      </c>
      <c r="P3839" t="s">
        <v>368</v>
      </c>
    </row>
    <row r="3840" spans="1:16" x14ac:dyDescent="0.4">
      <c r="A3840" t="s">
        <v>15</v>
      </c>
      <c r="B3840" t="s">
        <v>16</v>
      </c>
      <c r="C3840" s="13">
        <v>42005</v>
      </c>
      <c r="D3840" s="13">
        <v>42369</v>
      </c>
      <c r="E3840" t="s">
        <v>17</v>
      </c>
      <c r="F3840">
        <v>0</v>
      </c>
      <c r="G3840" t="s">
        <v>18</v>
      </c>
      <c r="H3840">
        <v>1</v>
      </c>
      <c r="I3840" t="s">
        <v>19</v>
      </c>
      <c r="J3840">
        <v>706</v>
      </c>
      <c r="K3840" t="s">
        <v>365</v>
      </c>
      <c r="L3840" s="13">
        <v>42369</v>
      </c>
      <c r="M3840" t="s">
        <v>2774</v>
      </c>
      <c r="N3840" t="s">
        <v>46</v>
      </c>
      <c r="O3840">
        <v>52.09</v>
      </c>
      <c r="P3840" t="s">
        <v>46</v>
      </c>
    </row>
    <row r="3841" spans="1:16" x14ac:dyDescent="0.4">
      <c r="A3841" t="s">
        <v>15</v>
      </c>
      <c r="B3841" t="s">
        <v>16</v>
      </c>
      <c r="C3841" s="13">
        <v>42005</v>
      </c>
      <c r="D3841" s="13">
        <v>42369</v>
      </c>
      <c r="E3841" t="s">
        <v>30</v>
      </c>
      <c r="F3841">
        <v>0</v>
      </c>
      <c r="G3841" t="s">
        <v>18</v>
      </c>
      <c r="H3841">
        <v>1</v>
      </c>
      <c r="I3841" t="s">
        <v>19</v>
      </c>
      <c r="J3841">
        <v>787</v>
      </c>
      <c r="K3841" t="s">
        <v>1216</v>
      </c>
      <c r="L3841" s="13">
        <v>42062</v>
      </c>
      <c r="M3841" t="s">
        <v>2775</v>
      </c>
      <c r="N3841" t="s">
        <v>46</v>
      </c>
      <c r="O3841">
        <v>-60</v>
      </c>
      <c r="P3841" t="s">
        <v>46</v>
      </c>
    </row>
    <row r="3842" spans="1:16" x14ac:dyDescent="0.4">
      <c r="A3842" t="s">
        <v>15</v>
      </c>
      <c r="B3842" t="s">
        <v>16</v>
      </c>
      <c r="C3842" s="13">
        <v>42005</v>
      </c>
      <c r="D3842" s="13">
        <v>42369</v>
      </c>
      <c r="E3842" t="s">
        <v>30</v>
      </c>
      <c r="F3842">
        <v>0</v>
      </c>
      <c r="G3842" t="s">
        <v>18</v>
      </c>
      <c r="H3842">
        <v>1</v>
      </c>
      <c r="I3842" t="s">
        <v>19</v>
      </c>
      <c r="J3842">
        <v>787</v>
      </c>
      <c r="K3842" t="s">
        <v>1216</v>
      </c>
      <c r="L3842" s="13">
        <v>42208</v>
      </c>
      <c r="M3842" t="s">
        <v>2777</v>
      </c>
      <c r="N3842" t="s">
        <v>46</v>
      </c>
      <c r="O3842">
        <v>-60</v>
      </c>
      <c r="P3842" t="s">
        <v>46</v>
      </c>
    </row>
    <row r="3843" spans="1:16" x14ac:dyDescent="0.4">
      <c r="A3843" t="s">
        <v>15</v>
      </c>
      <c r="B3843" t="s">
        <v>16</v>
      </c>
      <c r="C3843" s="13">
        <v>42005</v>
      </c>
      <c r="D3843" s="13">
        <v>42369</v>
      </c>
      <c r="E3843" t="s">
        <v>30</v>
      </c>
      <c r="F3843">
        <v>0</v>
      </c>
      <c r="G3843" t="s">
        <v>18</v>
      </c>
      <c r="H3843">
        <v>1</v>
      </c>
      <c r="I3843" t="s">
        <v>19</v>
      </c>
      <c r="J3843">
        <v>787</v>
      </c>
      <c r="K3843" t="s">
        <v>1216</v>
      </c>
      <c r="L3843" s="13">
        <v>42208</v>
      </c>
      <c r="M3843" t="s">
        <v>2776</v>
      </c>
      <c r="N3843" t="s">
        <v>46</v>
      </c>
      <c r="O3843">
        <v>180</v>
      </c>
      <c r="P3843" t="s">
        <v>46</v>
      </c>
    </row>
    <row r="3844" spans="1:16" x14ac:dyDescent="0.4">
      <c r="A3844" t="s">
        <v>15</v>
      </c>
      <c r="B3844" t="s">
        <v>16</v>
      </c>
      <c r="C3844" s="13">
        <v>42005</v>
      </c>
      <c r="D3844" s="13">
        <v>42369</v>
      </c>
      <c r="E3844" t="s">
        <v>17</v>
      </c>
      <c r="F3844">
        <v>0</v>
      </c>
      <c r="G3844" t="s">
        <v>18</v>
      </c>
      <c r="H3844">
        <v>1</v>
      </c>
      <c r="I3844" t="s">
        <v>19</v>
      </c>
      <c r="J3844">
        <v>791</v>
      </c>
      <c r="K3844" t="s">
        <v>277</v>
      </c>
      <c r="L3844" s="13">
        <v>42005</v>
      </c>
      <c r="M3844" t="s">
        <v>2778</v>
      </c>
      <c r="N3844" t="s">
        <v>2779</v>
      </c>
      <c r="O3844">
        <v>280.83</v>
      </c>
      <c r="P3844" t="s">
        <v>280</v>
      </c>
    </row>
    <row r="3845" spans="1:16" x14ac:dyDescent="0.4">
      <c r="A3845" t="s">
        <v>15</v>
      </c>
      <c r="B3845" t="s">
        <v>16</v>
      </c>
      <c r="C3845" s="13">
        <v>42005</v>
      </c>
      <c r="D3845" s="13">
        <v>42369</v>
      </c>
      <c r="E3845" t="s">
        <v>17</v>
      </c>
      <c r="F3845">
        <v>0</v>
      </c>
      <c r="G3845" t="s">
        <v>18</v>
      </c>
      <c r="H3845">
        <v>1</v>
      </c>
      <c r="I3845" t="s">
        <v>19</v>
      </c>
      <c r="J3845">
        <v>791</v>
      </c>
      <c r="K3845" t="s">
        <v>277</v>
      </c>
      <c r="L3845" s="13">
        <v>42095</v>
      </c>
      <c r="M3845" t="s">
        <v>2780</v>
      </c>
      <c r="N3845" t="s">
        <v>2781</v>
      </c>
      <c r="O3845">
        <v>280.83</v>
      </c>
      <c r="P3845" t="s">
        <v>280</v>
      </c>
    </row>
    <row r="3846" spans="1:16" x14ac:dyDescent="0.4">
      <c r="A3846" t="s">
        <v>15</v>
      </c>
      <c r="B3846" t="s">
        <v>16</v>
      </c>
      <c r="C3846" s="13">
        <v>42005</v>
      </c>
      <c r="D3846" s="13">
        <v>42369</v>
      </c>
      <c r="E3846" t="s">
        <v>17</v>
      </c>
      <c r="F3846">
        <v>0</v>
      </c>
      <c r="G3846" t="s">
        <v>18</v>
      </c>
      <c r="H3846">
        <v>1</v>
      </c>
      <c r="I3846" t="s">
        <v>19</v>
      </c>
      <c r="J3846">
        <v>791</v>
      </c>
      <c r="K3846" t="s">
        <v>277</v>
      </c>
      <c r="L3846" s="13">
        <v>42186</v>
      </c>
      <c r="M3846" t="s">
        <v>2782</v>
      </c>
      <c r="N3846" t="s">
        <v>2783</v>
      </c>
      <c r="O3846">
        <v>280.83</v>
      </c>
      <c r="P3846" t="s">
        <v>280</v>
      </c>
    </row>
    <row r="3847" spans="1:16" x14ac:dyDescent="0.4">
      <c r="A3847" t="s">
        <v>15</v>
      </c>
      <c r="B3847" t="s">
        <v>16</v>
      </c>
      <c r="C3847" s="13">
        <v>42005</v>
      </c>
      <c r="D3847" s="13">
        <v>42369</v>
      </c>
      <c r="E3847" t="s">
        <v>17</v>
      </c>
      <c r="F3847">
        <v>0</v>
      </c>
      <c r="G3847" t="s">
        <v>18</v>
      </c>
      <c r="H3847">
        <v>1</v>
      </c>
      <c r="I3847" t="s">
        <v>19</v>
      </c>
      <c r="J3847">
        <v>791</v>
      </c>
      <c r="K3847" t="s">
        <v>277</v>
      </c>
      <c r="L3847" s="13">
        <v>42278</v>
      </c>
      <c r="M3847" t="s">
        <v>2784</v>
      </c>
      <c r="N3847" t="s">
        <v>2785</v>
      </c>
      <c r="O3847">
        <v>280.83</v>
      </c>
      <c r="P3847" t="s">
        <v>280</v>
      </c>
    </row>
    <row r="3848" spans="1:16" x14ac:dyDescent="0.4">
      <c r="A3848" t="s">
        <v>15</v>
      </c>
      <c r="B3848" t="s">
        <v>16</v>
      </c>
      <c r="C3848" s="13">
        <v>42005</v>
      </c>
      <c r="D3848" s="13">
        <v>42369</v>
      </c>
      <c r="E3848" t="s">
        <v>17</v>
      </c>
      <c r="F3848">
        <v>0</v>
      </c>
      <c r="G3848" t="s">
        <v>18</v>
      </c>
      <c r="H3848">
        <v>1</v>
      </c>
      <c r="I3848" t="s">
        <v>19</v>
      </c>
      <c r="J3848">
        <v>791</v>
      </c>
      <c r="K3848" t="s">
        <v>277</v>
      </c>
      <c r="L3848" s="13">
        <v>42369</v>
      </c>
      <c r="M3848" t="s">
        <v>287</v>
      </c>
      <c r="N3848" t="s">
        <v>288</v>
      </c>
      <c r="O3848">
        <v>-748.81</v>
      </c>
      <c r="P3848" t="s">
        <v>46</v>
      </c>
    </row>
    <row r="3849" spans="1:16" x14ac:dyDescent="0.4">
      <c r="A3849" t="s">
        <v>15</v>
      </c>
      <c r="B3849" t="s">
        <v>16</v>
      </c>
      <c r="C3849" s="13">
        <v>42005</v>
      </c>
      <c r="D3849" s="13">
        <v>42369</v>
      </c>
      <c r="E3849" t="s">
        <v>30</v>
      </c>
      <c r="F3849">
        <v>0</v>
      </c>
      <c r="G3849" t="s">
        <v>18</v>
      </c>
      <c r="H3849">
        <v>1</v>
      </c>
      <c r="I3849" t="s">
        <v>19</v>
      </c>
      <c r="J3849">
        <v>793</v>
      </c>
      <c r="K3849" t="s">
        <v>2786</v>
      </c>
      <c r="L3849" s="13">
        <v>42068</v>
      </c>
      <c r="M3849" t="s">
        <v>2787</v>
      </c>
      <c r="N3849" t="s">
        <v>2788</v>
      </c>
      <c r="O3849">
        <v>192.5</v>
      </c>
      <c r="P3849" t="s">
        <v>280</v>
      </c>
    </row>
    <row r="3850" spans="1:16" x14ac:dyDescent="0.4">
      <c r="A3850" t="s">
        <v>15</v>
      </c>
      <c r="B3850" t="s">
        <v>16</v>
      </c>
      <c r="C3850" s="13">
        <v>42005</v>
      </c>
      <c r="D3850" s="13">
        <v>42369</v>
      </c>
      <c r="E3850" t="s">
        <v>17</v>
      </c>
      <c r="F3850">
        <v>0</v>
      </c>
      <c r="G3850" t="s">
        <v>18</v>
      </c>
      <c r="H3850">
        <v>1</v>
      </c>
      <c r="I3850" t="s">
        <v>19</v>
      </c>
      <c r="J3850">
        <v>861</v>
      </c>
      <c r="K3850" t="s">
        <v>2311</v>
      </c>
      <c r="L3850" s="13">
        <v>42361</v>
      </c>
      <c r="M3850" t="s">
        <v>2789</v>
      </c>
      <c r="N3850" t="s">
        <v>2790</v>
      </c>
      <c r="O3850">
        <v>273.47000000000003</v>
      </c>
      <c r="P3850" t="s">
        <v>2050</v>
      </c>
    </row>
    <row r="3851" spans="1:16" x14ac:dyDescent="0.4">
      <c r="A3851" t="s">
        <v>15</v>
      </c>
      <c r="B3851" t="s">
        <v>16</v>
      </c>
      <c r="C3851" s="13">
        <v>42005</v>
      </c>
      <c r="D3851" s="13">
        <v>42369</v>
      </c>
      <c r="E3851" t="s">
        <v>17</v>
      </c>
      <c r="F3851">
        <v>0</v>
      </c>
      <c r="G3851" t="s">
        <v>18</v>
      </c>
      <c r="H3851">
        <v>1</v>
      </c>
      <c r="I3851" t="s">
        <v>19</v>
      </c>
      <c r="J3851">
        <v>861</v>
      </c>
      <c r="K3851" t="s">
        <v>2311</v>
      </c>
      <c r="L3851" s="13">
        <v>42369</v>
      </c>
      <c r="M3851" t="s">
        <v>2793</v>
      </c>
      <c r="N3851" t="s">
        <v>2792</v>
      </c>
      <c r="O3851">
        <v>-91.15</v>
      </c>
      <c r="P3851" t="s">
        <v>46</v>
      </c>
    </row>
    <row r="3852" spans="1:16" x14ac:dyDescent="0.4">
      <c r="A3852" t="s">
        <v>15</v>
      </c>
      <c r="B3852" t="s">
        <v>16</v>
      </c>
      <c r="C3852" s="13">
        <v>42005</v>
      </c>
      <c r="D3852" s="13">
        <v>42369</v>
      </c>
      <c r="E3852" t="s">
        <v>17</v>
      </c>
      <c r="F3852">
        <v>0</v>
      </c>
      <c r="G3852" t="s">
        <v>18</v>
      </c>
      <c r="H3852">
        <v>1</v>
      </c>
      <c r="I3852" t="s">
        <v>19</v>
      </c>
      <c r="J3852">
        <v>861</v>
      </c>
      <c r="K3852" t="s">
        <v>2311</v>
      </c>
      <c r="L3852" s="13">
        <v>42369</v>
      </c>
      <c r="M3852" t="s">
        <v>2791</v>
      </c>
      <c r="N3852" t="s">
        <v>2792</v>
      </c>
      <c r="O3852">
        <v>-91.15</v>
      </c>
      <c r="P3852" t="s">
        <v>46</v>
      </c>
    </row>
    <row r="3853" spans="1:16" x14ac:dyDescent="0.4">
      <c r="A3853" t="s">
        <v>15</v>
      </c>
      <c r="B3853" t="s">
        <v>16</v>
      </c>
      <c r="C3853" s="13">
        <v>42005</v>
      </c>
      <c r="D3853" s="13">
        <v>42369</v>
      </c>
      <c r="E3853" t="s">
        <v>17</v>
      </c>
      <c r="F3853">
        <v>0</v>
      </c>
      <c r="G3853" t="s">
        <v>18</v>
      </c>
      <c r="H3853">
        <v>1</v>
      </c>
      <c r="I3853" t="s">
        <v>19</v>
      </c>
      <c r="J3853">
        <v>861</v>
      </c>
      <c r="K3853" t="s">
        <v>2311</v>
      </c>
      <c r="L3853" s="13">
        <v>42369</v>
      </c>
      <c r="M3853" t="s">
        <v>2794</v>
      </c>
      <c r="N3853" t="s">
        <v>2792</v>
      </c>
      <c r="O3853">
        <v>-91.17</v>
      </c>
      <c r="P3853" t="s">
        <v>46</v>
      </c>
    </row>
    <row r="3854" spans="1:16" x14ac:dyDescent="0.4">
      <c r="A3854" t="s">
        <v>15</v>
      </c>
      <c r="B3854" t="s">
        <v>16</v>
      </c>
      <c r="C3854" s="13">
        <v>42005</v>
      </c>
      <c r="D3854" s="13">
        <v>42369</v>
      </c>
      <c r="E3854" t="s">
        <v>17</v>
      </c>
      <c r="F3854">
        <v>0</v>
      </c>
      <c r="G3854" t="s">
        <v>18</v>
      </c>
      <c r="H3854">
        <v>1</v>
      </c>
      <c r="I3854" t="s">
        <v>19</v>
      </c>
      <c r="J3854">
        <v>881</v>
      </c>
      <c r="K3854" t="s">
        <v>327</v>
      </c>
      <c r="L3854" s="13">
        <v>42369</v>
      </c>
      <c r="M3854" t="s">
        <v>328</v>
      </c>
      <c r="N3854" t="s">
        <v>329</v>
      </c>
      <c r="O3854">
        <v>26.68</v>
      </c>
      <c r="P3854" t="s">
        <v>46</v>
      </c>
    </row>
    <row r="3855" spans="1:16" x14ac:dyDescent="0.4">
      <c r="A3855" t="s">
        <v>15</v>
      </c>
      <c r="B3855" t="s">
        <v>16</v>
      </c>
      <c r="C3855" s="13">
        <v>42005</v>
      </c>
      <c r="D3855" s="13">
        <v>42369</v>
      </c>
      <c r="E3855" t="s">
        <v>17</v>
      </c>
      <c r="F3855">
        <v>0</v>
      </c>
      <c r="G3855" t="s">
        <v>18</v>
      </c>
      <c r="H3855">
        <v>1</v>
      </c>
      <c r="I3855" t="s">
        <v>19</v>
      </c>
      <c r="J3855">
        <v>909</v>
      </c>
      <c r="K3855" t="s">
        <v>334</v>
      </c>
      <c r="L3855" s="13">
        <v>42369</v>
      </c>
      <c r="M3855" t="s">
        <v>2563</v>
      </c>
      <c r="N3855" t="s">
        <v>46</v>
      </c>
      <c r="O3855">
        <v>-1837.91</v>
      </c>
      <c r="P3855" t="s">
        <v>1444</v>
      </c>
    </row>
    <row r="3856" spans="1:16" x14ac:dyDescent="0.4">
      <c r="A3856" t="s">
        <v>15</v>
      </c>
      <c r="B3856" t="s">
        <v>16</v>
      </c>
      <c r="C3856" s="13">
        <v>42005</v>
      </c>
      <c r="D3856" s="13">
        <v>42369</v>
      </c>
      <c r="E3856" t="s">
        <v>17</v>
      </c>
      <c r="F3856">
        <v>0</v>
      </c>
      <c r="G3856" t="s">
        <v>18</v>
      </c>
      <c r="H3856">
        <v>1</v>
      </c>
      <c r="I3856" t="s">
        <v>19</v>
      </c>
      <c r="J3856">
        <v>909</v>
      </c>
      <c r="K3856" t="s">
        <v>334</v>
      </c>
      <c r="L3856" s="13">
        <v>42369</v>
      </c>
      <c r="M3856" t="s">
        <v>2795</v>
      </c>
      <c r="N3856" t="s">
        <v>46</v>
      </c>
      <c r="O3856">
        <v>-6287.19</v>
      </c>
      <c r="P3856" t="s">
        <v>1444</v>
      </c>
    </row>
    <row r="3857" spans="1:16" x14ac:dyDescent="0.4">
      <c r="A3857" t="s">
        <v>15</v>
      </c>
      <c r="B3857" t="s">
        <v>16</v>
      </c>
      <c r="C3857" s="13">
        <v>42005</v>
      </c>
      <c r="D3857" s="13">
        <v>42369</v>
      </c>
      <c r="E3857" t="s">
        <v>17</v>
      </c>
      <c r="F3857">
        <v>0</v>
      </c>
      <c r="G3857" t="s">
        <v>18</v>
      </c>
      <c r="H3857">
        <v>1</v>
      </c>
      <c r="I3857" t="s">
        <v>19</v>
      </c>
      <c r="J3857">
        <v>952</v>
      </c>
      <c r="K3857" t="s">
        <v>336</v>
      </c>
      <c r="L3857" s="13">
        <v>42318</v>
      </c>
      <c r="M3857" t="s">
        <v>2796</v>
      </c>
      <c r="N3857" t="s">
        <v>2797</v>
      </c>
      <c r="O3857">
        <v>-329.57</v>
      </c>
      <c r="P3857" t="s">
        <v>46</v>
      </c>
    </row>
    <row r="3858" spans="1:16" x14ac:dyDescent="0.4">
      <c r="A3858" t="s">
        <v>15</v>
      </c>
      <c r="B3858" t="s">
        <v>16</v>
      </c>
      <c r="C3858" s="13">
        <v>42005</v>
      </c>
      <c r="D3858" s="13">
        <v>42369</v>
      </c>
      <c r="E3858" t="s">
        <v>17</v>
      </c>
      <c r="F3858">
        <v>0</v>
      </c>
      <c r="G3858" t="s">
        <v>18</v>
      </c>
      <c r="H3858">
        <v>1</v>
      </c>
      <c r="I3858" t="s">
        <v>19</v>
      </c>
      <c r="J3858">
        <v>988</v>
      </c>
      <c r="K3858" t="s">
        <v>339</v>
      </c>
      <c r="L3858" s="13">
        <v>42005</v>
      </c>
      <c r="M3858" t="s">
        <v>2798</v>
      </c>
      <c r="N3858" t="s">
        <v>341</v>
      </c>
      <c r="O3858">
        <v>-0.1</v>
      </c>
      <c r="P3858" t="s">
        <v>46</v>
      </c>
    </row>
    <row r="3859" spans="1:16" x14ac:dyDescent="0.4">
      <c r="A3859" t="s">
        <v>15</v>
      </c>
      <c r="B3859" t="s">
        <v>16</v>
      </c>
      <c r="C3859" s="13">
        <v>42005</v>
      </c>
      <c r="D3859" s="13">
        <v>42369</v>
      </c>
      <c r="E3859" t="s">
        <v>30</v>
      </c>
      <c r="F3859">
        <v>0</v>
      </c>
      <c r="G3859" t="s">
        <v>342</v>
      </c>
      <c r="H3859">
        <v>2</v>
      </c>
      <c r="I3859" t="s">
        <v>343</v>
      </c>
      <c r="J3859">
        <v>236</v>
      </c>
      <c r="K3859" t="s">
        <v>950</v>
      </c>
      <c r="L3859" s="13">
        <v>42017</v>
      </c>
      <c r="M3859" t="s">
        <v>2799</v>
      </c>
      <c r="N3859" t="s">
        <v>2800</v>
      </c>
      <c r="O3859">
        <v>581.9</v>
      </c>
      <c r="P3859" t="s">
        <v>2801</v>
      </c>
    </row>
    <row r="3860" spans="1:16" x14ac:dyDescent="0.4">
      <c r="A3860" t="s">
        <v>15</v>
      </c>
      <c r="B3860" t="s">
        <v>16</v>
      </c>
      <c r="C3860" s="13">
        <v>42005</v>
      </c>
      <c r="D3860" s="13">
        <v>42369</v>
      </c>
      <c r="E3860" t="s">
        <v>17</v>
      </c>
      <c r="F3860">
        <v>0</v>
      </c>
      <c r="G3860" t="s">
        <v>342</v>
      </c>
      <c r="H3860">
        <v>2</v>
      </c>
      <c r="I3860" t="s">
        <v>343</v>
      </c>
      <c r="J3860">
        <v>242</v>
      </c>
      <c r="K3860" t="s">
        <v>348</v>
      </c>
      <c r="L3860" s="13">
        <v>42369</v>
      </c>
      <c r="M3860" t="s">
        <v>2802</v>
      </c>
      <c r="N3860" t="s">
        <v>45</v>
      </c>
      <c r="O3860">
        <v>429.41</v>
      </c>
      <c r="P3860" t="s">
        <v>46</v>
      </c>
    </row>
    <row r="3861" spans="1:16" x14ac:dyDescent="0.4">
      <c r="A3861" t="s">
        <v>15</v>
      </c>
      <c r="B3861" t="s">
        <v>16</v>
      </c>
      <c r="C3861" s="13">
        <v>42005</v>
      </c>
      <c r="D3861" s="13">
        <v>42369</v>
      </c>
      <c r="E3861" t="s">
        <v>17</v>
      </c>
      <c r="F3861">
        <v>0</v>
      </c>
      <c r="G3861" t="s">
        <v>342</v>
      </c>
      <c r="H3861">
        <v>2</v>
      </c>
      <c r="I3861" t="s">
        <v>343</v>
      </c>
      <c r="J3861">
        <v>269</v>
      </c>
      <c r="K3861" t="s">
        <v>350</v>
      </c>
      <c r="L3861" s="13">
        <v>42027</v>
      </c>
      <c r="M3861" t="s">
        <v>2677</v>
      </c>
      <c r="N3861" t="s">
        <v>2803</v>
      </c>
      <c r="O3861">
        <v>32.130000000000003</v>
      </c>
      <c r="P3861" t="s">
        <v>565</v>
      </c>
    </row>
    <row r="3862" spans="1:16" x14ac:dyDescent="0.4">
      <c r="A3862" t="s">
        <v>15</v>
      </c>
      <c r="B3862" t="s">
        <v>16</v>
      </c>
      <c r="C3862" s="13">
        <v>42005</v>
      </c>
      <c r="D3862" s="13">
        <v>42369</v>
      </c>
      <c r="E3862" t="s">
        <v>17</v>
      </c>
      <c r="F3862">
        <v>0</v>
      </c>
      <c r="G3862" t="s">
        <v>342</v>
      </c>
      <c r="H3862">
        <v>2</v>
      </c>
      <c r="I3862" t="s">
        <v>343</v>
      </c>
      <c r="J3862">
        <v>269</v>
      </c>
      <c r="K3862" t="s">
        <v>350</v>
      </c>
      <c r="L3862" s="13">
        <v>42089</v>
      </c>
      <c r="M3862" t="s">
        <v>2677</v>
      </c>
      <c r="N3862" t="s">
        <v>2804</v>
      </c>
      <c r="O3862">
        <v>36.44</v>
      </c>
      <c r="P3862" t="s">
        <v>565</v>
      </c>
    </row>
    <row r="3863" spans="1:16" x14ac:dyDescent="0.4">
      <c r="A3863" t="s">
        <v>15</v>
      </c>
      <c r="B3863" t="s">
        <v>16</v>
      </c>
      <c r="C3863" s="13">
        <v>42005</v>
      </c>
      <c r="D3863" s="13">
        <v>42369</v>
      </c>
      <c r="E3863" t="s">
        <v>17</v>
      </c>
      <c r="F3863">
        <v>0</v>
      </c>
      <c r="G3863" t="s">
        <v>342</v>
      </c>
      <c r="H3863">
        <v>2</v>
      </c>
      <c r="I3863" t="s">
        <v>343</v>
      </c>
      <c r="J3863">
        <v>269</v>
      </c>
      <c r="K3863" t="s">
        <v>350</v>
      </c>
      <c r="L3863" s="13">
        <v>42146</v>
      </c>
      <c r="M3863" t="s">
        <v>2677</v>
      </c>
      <c r="N3863" t="s">
        <v>2805</v>
      </c>
      <c r="O3863">
        <v>28.61</v>
      </c>
      <c r="P3863" t="s">
        <v>565</v>
      </c>
    </row>
    <row r="3864" spans="1:16" x14ac:dyDescent="0.4">
      <c r="A3864" t="s">
        <v>15</v>
      </c>
      <c r="B3864" t="s">
        <v>16</v>
      </c>
      <c r="C3864" s="13">
        <v>42005</v>
      </c>
      <c r="D3864" s="13">
        <v>42369</v>
      </c>
      <c r="E3864" t="s">
        <v>17</v>
      </c>
      <c r="F3864">
        <v>0</v>
      </c>
      <c r="G3864" t="s">
        <v>342</v>
      </c>
      <c r="H3864">
        <v>2</v>
      </c>
      <c r="I3864" t="s">
        <v>343</v>
      </c>
      <c r="J3864">
        <v>269</v>
      </c>
      <c r="K3864" t="s">
        <v>350</v>
      </c>
      <c r="L3864" s="13">
        <v>42209</v>
      </c>
      <c r="M3864" t="s">
        <v>2677</v>
      </c>
      <c r="N3864" t="s">
        <v>2806</v>
      </c>
      <c r="O3864">
        <v>28.5</v>
      </c>
      <c r="P3864" t="s">
        <v>565</v>
      </c>
    </row>
    <row r="3865" spans="1:16" x14ac:dyDescent="0.4">
      <c r="A3865" t="s">
        <v>15</v>
      </c>
      <c r="B3865" t="s">
        <v>16</v>
      </c>
      <c r="C3865" s="13">
        <v>42005</v>
      </c>
      <c r="D3865" s="13">
        <v>42369</v>
      </c>
      <c r="E3865" t="s">
        <v>17</v>
      </c>
      <c r="F3865">
        <v>0</v>
      </c>
      <c r="G3865" t="s">
        <v>342</v>
      </c>
      <c r="H3865">
        <v>2</v>
      </c>
      <c r="I3865" t="s">
        <v>343</v>
      </c>
      <c r="J3865">
        <v>269</v>
      </c>
      <c r="K3865" t="s">
        <v>350</v>
      </c>
      <c r="L3865" s="13">
        <v>42273</v>
      </c>
      <c r="M3865" t="s">
        <v>2677</v>
      </c>
      <c r="N3865" t="s">
        <v>2807</v>
      </c>
      <c r="O3865">
        <v>25.85</v>
      </c>
      <c r="P3865" t="s">
        <v>565</v>
      </c>
    </row>
    <row r="3866" spans="1:16" x14ac:dyDescent="0.4">
      <c r="A3866" t="s">
        <v>15</v>
      </c>
      <c r="B3866" t="s">
        <v>16</v>
      </c>
      <c r="C3866" s="13">
        <v>42005</v>
      </c>
      <c r="D3866" s="13">
        <v>42369</v>
      </c>
      <c r="E3866" t="s">
        <v>17</v>
      </c>
      <c r="F3866">
        <v>0</v>
      </c>
      <c r="G3866" t="s">
        <v>342</v>
      </c>
      <c r="H3866">
        <v>2</v>
      </c>
      <c r="I3866" t="s">
        <v>343</v>
      </c>
      <c r="J3866">
        <v>269</v>
      </c>
      <c r="K3866" t="s">
        <v>350</v>
      </c>
      <c r="L3866" s="13">
        <v>42329</v>
      </c>
      <c r="M3866" t="s">
        <v>2677</v>
      </c>
      <c r="N3866" t="s">
        <v>2808</v>
      </c>
      <c r="O3866">
        <v>26.66</v>
      </c>
      <c r="P3866" t="s">
        <v>565</v>
      </c>
    </row>
    <row r="3867" spans="1:16" x14ac:dyDescent="0.4">
      <c r="A3867" t="s">
        <v>15</v>
      </c>
      <c r="B3867" t="s">
        <v>16</v>
      </c>
      <c r="C3867" s="13">
        <v>42005</v>
      </c>
      <c r="D3867" s="13">
        <v>42369</v>
      </c>
      <c r="E3867" t="s">
        <v>17</v>
      </c>
      <c r="F3867">
        <v>0</v>
      </c>
      <c r="G3867" t="s">
        <v>342</v>
      </c>
      <c r="H3867">
        <v>2</v>
      </c>
      <c r="I3867" t="s">
        <v>343</v>
      </c>
      <c r="J3867">
        <v>706</v>
      </c>
      <c r="K3867" t="s">
        <v>365</v>
      </c>
      <c r="L3867" s="13">
        <v>42369</v>
      </c>
      <c r="M3867" t="s">
        <v>2809</v>
      </c>
      <c r="N3867" t="s">
        <v>46</v>
      </c>
      <c r="O3867">
        <v>156.27000000000001</v>
      </c>
      <c r="P3867" t="s">
        <v>46</v>
      </c>
    </row>
    <row r="3868" spans="1:16" x14ac:dyDescent="0.4">
      <c r="A3868" t="s">
        <v>15</v>
      </c>
      <c r="B3868" t="s">
        <v>16</v>
      </c>
      <c r="C3868" s="13">
        <v>42005</v>
      </c>
      <c r="D3868" s="13">
        <v>42369</v>
      </c>
      <c r="E3868" t="s">
        <v>30</v>
      </c>
      <c r="F3868">
        <v>0</v>
      </c>
      <c r="G3868" t="s">
        <v>342</v>
      </c>
      <c r="H3868">
        <v>2</v>
      </c>
      <c r="I3868" t="s">
        <v>343</v>
      </c>
      <c r="J3868">
        <v>708</v>
      </c>
      <c r="K3868" t="s">
        <v>2550</v>
      </c>
      <c r="L3868" s="13">
        <v>42338</v>
      </c>
      <c r="M3868" t="s">
        <v>2810</v>
      </c>
      <c r="N3868" t="s">
        <v>2811</v>
      </c>
      <c r="O3868">
        <v>693</v>
      </c>
      <c r="P3868" t="s">
        <v>368</v>
      </c>
    </row>
    <row r="3869" spans="1:16" x14ac:dyDescent="0.4">
      <c r="A3869" t="s">
        <v>15</v>
      </c>
      <c r="B3869" t="s">
        <v>16</v>
      </c>
      <c r="C3869" s="13">
        <v>42005</v>
      </c>
      <c r="D3869" s="13">
        <v>42369</v>
      </c>
      <c r="E3869" t="s">
        <v>17</v>
      </c>
      <c r="F3869">
        <v>0</v>
      </c>
      <c r="G3869" t="s">
        <v>342</v>
      </c>
      <c r="H3869">
        <v>2</v>
      </c>
      <c r="I3869" t="s">
        <v>343</v>
      </c>
      <c r="J3869">
        <v>791</v>
      </c>
      <c r="K3869" t="s">
        <v>369</v>
      </c>
      <c r="L3869" s="13">
        <v>42369</v>
      </c>
      <c r="M3869" t="s">
        <v>370</v>
      </c>
      <c r="N3869" t="s">
        <v>288</v>
      </c>
      <c r="O3869">
        <v>748.81</v>
      </c>
      <c r="P3869" t="s">
        <v>46</v>
      </c>
    </row>
    <row r="3870" spans="1:16" x14ac:dyDescent="0.4">
      <c r="A3870" t="s">
        <v>15</v>
      </c>
      <c r="B3870" t="s">
        <v>16</v>
      </c>
      <c r="C3870" s="13">
        <v>42005</v>
      </c>
      <c r="D3870" s="13">
        <v>42369</v>
      </c>
      <c r="E3870" t="s">
        <v>17</v>
      </c>
      <c r="F3870">
        <v>0</v>
      </c>
      <c r="G3870" t="s">
        <v>342</v>
      </c>
      <c r="H3870">
        <v>2</v>
      </c>
      <c r="I3870" t="s">
        <v>343</v>
      </c>
      <c r="J3870">
        <v>883</v>
      </c>
      <c r="K3870" t="s">
        <v>371</v>
      </c>
      <c r="L3870" s="13">
        <v>42005</v>
      </c>
      <c r="M3870" t="s">
        <v>2812</v>
      </c>
      <c r="N3870" t="s">
        <v>2813</v>
      </c>
      <c r="O3870">
        <v>143.28</v>
      </c>
      <c r="P3870" t="s">
        <v>374</v>
      </c>
    </row>
    <row r="3871" spans="1:16" x14ac:dyDescent="0.4">
      <c r="A3871" t="s">
        <v>15</v>
      </c>
      <c r="B3871" t="s">
        <v>16</v>
      </c>
      <c r="C3871" s="13">
        <v>42005</v>
      </c>
      <c r="D3871" s="13">
        <v>42369</v>
      </c>
      <c r="E3871" t="s">
        <v>17</v>
      </c>
      <c r="F3871">
        <v>0</v>
      </c>
      <c r="G3871" t="s">
        <v>342</v>
      </c>
      <c r="H3871">
        <v>2</v>
      </c>
      <c r="I3871" t="s">
        <v>343</v>
      </c>
      <c r="J3871">
        <v>883</v>
      </c>
      <c r="K3871" t="s">
        <v>371</v>
      </c>
      <c r="L3871" s="13">
        <v>42369</v>
      </c>
      <c r="M3871" t="s">
        <v>375</v>
      </c>
      <c r="N3871" t="s">
        <v>376</v>
      </c>
      <c r="O3871">
        <v>-47.76</v>
      </c>
      <c r="P3871" t="s">
        <v>46</v>
      </c>
    </row>
    <row r="3872" spans="1:16" x14ac:dyDescent="0.4">
      <c r="A3872" t="s">
        <v>15</v>
      </c>
      <c r="B3872" t="s">
        <v>16</v>
      </c>
      <c r="C3872" s="13">
        <v>42005</v>
      </c>
      <c r="D3872" s="13">
        <v>42369</v>
      </c>
      <c r="E3872" t="s">
        <v>17</v>
      </c>
      <c r="F3872">
        <v>0</v>
      </c>
      <c r="G3872" t="s">
        <v>342</v>
      </c>
      <c r="H3872">
        <v>2</v>
      </c>
      <c r="I3872" t="s">
        <v>343</v>
      </c>
      <c r="J3872">
        <v>891</v>
      </c>
      <c r="K3872" t="s">
        <v>377</v>
      </c>
      <c r="L3872" s="13">
        <v>42369</v>
      </c>
      <c r="M3872" t="s">
        <v>2814</v>
      </c>
      <c r="N3872" t="s">
        <v>46</v>
      </c>
      <c r="O3872">
        <v>9645.3799999999992</v>
      </c>
      <c r="P3872" t="s">
        <v>1444</v>
      </c>
    </row>
    <row r="3873" spans="1:16" x14ac:dyDescent="0.4">
      <c r="A3873" t="s">
        <v>15</v>
      </c>
      <c r="B3873" t="s">
        <v>16</v>
      </c>
      <c r="C3873" s="13">
        <v>42005</v>
      </c>
      <c r="D3873" s="13">
        <v>42369</v>
      </c>
      <c r="E3873" t="s">
        <v>17</v>
      </c>
      <c r="F3873">
        <v>0</v>
      </c>
      <c r="G3873" t="s">
        <v>467</v>
      </c>
      <c r="H3873">
        <v>17</v>
      </c>
      <c r="I3873" t="s">
        <v>468</v>
      </c>
      <c r="J3873">
        <v>177</v>
      </c>
      <c r="K3873" t="s">
        <v>2331</v>
      </c>
      <c r="L3873" s="13">
        <v>42035</v>
      </c>
      <c r="M3873" t="s">
        <v>2815</v>
      </c>
      <c r="N3873" t="s">
        <v>2816</v>
      </c>
      <c r="O3873">
        <v>141.59</v>
      </c>
      <c r="P3873" t="s">
        <v>2334</v>
      </c>
    </row>
    <row r="3874" spans="1:16" x14ac:dyDescent="0.4">
      <c r="A3874" t="s">
        <v>15</v>
      </c>
      <c r="B3874" t="s">
        <v>16</v>
      </c>
      <c r="C3874" s="13">
        <v>42005</v>
      </c>
      <c r="D3874" s="13">
        <v>42369</v>
      </c>
      <c r="E3874" t="s">
        <v>17</v>
      </c>
      <c r="F3874">
        <v>0</v>
      </c>
      <c r="G3874" t="s">
        <v>467</v>
      </c>
      <c r="H3874">
        <v>17</v>
      </c>
      <c r="I3874" t="s">
        <v>468</v>
      </c>
      <c r="J3874">
        <v>177</v>
      </c>
      <c r="K3874" t="s">
        <v>2331</v>
      </c>
      <c r="L3874" s="13">
        <v>42247</v>
      </c>
      <c r="M3874" t="s">
        <v>2817</v>
      </c>
      <c r="N3874" t="s">
        <v>2818</v>
      </c>
      <c r="O3874">
        <v>252.88</v>
      </c>
      <c r="P3874" t="s">
        <v>2334</v>
      </c>
    </row>
    <row r="3875" spans="1:16" x14ac:dyDescent="0.4">
      <c r="A3875" t="s">
        <v>15</v>
      </c>
      <c r="B3875" t="s">
        <v>16</v>
      </c>
      <c r="C3875" s="13">
        <v>42005</v>
      </c>
      <c r="D3875" s="13">
        <v>42369</v>
      </c>
      <c r="E3875" t="s">
        <v>17</v>
      </c>
      <c r="F3875">
        <v>0</v>
      </c>
      <c r="G3875" t="s">
        <v>467</v>
      </c>
      <c r="H3875">
        <v>17</v>
      </c>
      <c r="I3875" t="s">
        <v>468</v>
      </c>
      <c r="J3875">
        <v>401</v>
      </c>
      <c r="K3875" t="s">
        <v>476</v>
      </c>
      <c r="L3875" s="13">
        <v>42369</v>
      </c>
      <c r="M3875" t="s">
        <v>2819</v>
      </c>
      <c r="N3875" t="s">
        <v>46</v>
      </c>
      <c r="O3875">
        <v>6797.48</v>
      </c>
      <c r="P3875" t="s">
        <v>1444</v>
      </c>
    </row>
    <row r="3876" spans="1:16" x14ac:dyDescent="0.4">
      <c r="A3876" t="s">
        <v>15</v>
      </c>
      <c r="B3876" t="s">
        <v>16</v>
      </c>
      <c r="C3876" s="13">
        <v>42005</v>
      </c>
      <c r="D3876" s="13">
        <v>42369</v>
      </c>
      <c r="E3876" t="s">
        <v>17</v>
      </c>
      <c r="F3876">
        <v>0</v>
      </c>
      <c r="G3876" t="s">
        <v>467</v>
      </c>
      <c r="H3876">
        <v>17</v>
      </c>
      <c r="I3876" t="s">
        <v>468</v>
      </c>
      <c r="J3876">
        <v>525</v>
      </c>
      <c r="K3876" t="s">
        <v>2038</v>
      </c>
      <c r="L3876" s="13">
        <v>42216</v>
      </c>
      <c r="M3876" t="s">
        <v>2820</v>
      </c>
      <c r="N3876" t="s">
        <v>2821</v>
      </c>
      <c r="O3876">
        <v>144</v>
      </c>
      <c r="P3876" t="s">
        <v>2822</v>
      </c>
    </row>
    <row r="3877" spans="1:16" x14ac:dyDescent="0.4">
      <c r="A3877" t="s">
        <v>15</v>
      </c>
      <c r="B3877" t="s">
        <v>16</v>
      </c>
      <c r="C3877" s="13">
        <v>42005</v>
      </c>
      <c r="D3877" s="13">
        <v>42369</v>
      </c>
      <c r="E3877" t="s">
        <v>17</v>
      </c>
      <c r="F3877">
        <v>0</v>
      </c>
      <c r="G3877" t="s">
        <v>467</v>
      </c>
      <c r="H3877">
        <v>17</v>
      </c>
      <c r="I3877" t="s">
        <v>468</v>
      </c>
      <c r="J3877">
        <v>909</v>
      </c>
      <c r="K3877" t="s">
        <v>2584</v>
      </c>
      <c r="L3877" s="13">
        <v>42369</v>
      </c>
      <c r="M3877" t="s">
        <v>2675</v>
      </c>
      <c r="N3877" t="s">
        <v>2427</v>
      </c>
      <c r="O3877">
        <v>28745.77</v>
      </c>
      <c r="P3877" t="s">
        <v>46</v>
      </c>
    </row>
    <row r="3878" spans="1:16" x14ac:dyDescent="0.4">
      <c r="A3878" t="s">
        <v>15</v>
      </c>
      <c r="B3878" t="s">
        <v>16</v>
      </c>
      <c r="C3878" s="13">
        <v>42005</v>
      </c>
      <c r="D3878" s="13">
        <v>42369</v>
      </c>
      <c r="E3878" t="s">
        <v>17</v>
      </c>
      <c r="F3878">
        <v>0</v>
      </c>
      <c r="G3878" t="s">
        <v>2823</v>
      </c>
      <c r="H3878">
        <v>38</v>
      </c>
      <c r="I3878" t="s">
        <v>2824</v>
      </c>
      <c r="J3878">
        <v>366</v>
      </c>
      <c r="K3878" t="s">
        <v>2825</v>
      </c>
      <c r="L3878" s="13">
        <v>42174</v>
      </c>
      <c r="M3878" t="s">
        <v>2826</v>
      </c>
      <c r="N3878" t="s">
        <v>2827</v>
      </c>
      <c r="O3878">
        <v>3000</v>
      </c>
      <c r="P3878" t="s">
        <v>2828</v>
      </c>
    </row>
    <row r="3879" spans="1:16" x14ac:dyDescent="0.4">
      <c r="A3879" t="s">
        <v>15</v>
      </c>
      <c r="B3879" t="s">
        <v>16</v>
      </c>
      <c r="C3879" s="13">
        <v>42005</v>
      </c>
      <c r="D3879" s="13">
        <v>42369</v>
      </c>
      <c r="E3879" t="s">
        <v>17</v>
      </c>
      <c r="F3879">
        <v>0</v>
      </c>
      <c r="G3879" t="s">
        <v>478</v>
      </c>
      <c r="H3879">
        <v>55</v>
      </c>
      <c r="I3879" t="s">
        <v>479</v>
      </c>
      <c r="J3879">
        <v>282</v>
      </c>
      <c r="K3879" t="s">
        <v>480</v>
      </c>
      <c r="L3879" s="13">
        <v>42369</v>
      </c>
      <c r="M3879" t="s">
        <v>2829</v>
      </c>
      <c r="N3879" t="s">
        <v>86</v>
      </c>
      <c r="O3879">
        <v>7579.79</v>
      </c>
      <c r="P3879" t="s">
        <v>46</v>
      </c>
    </row>
    <row r="3880" spans="1:16" x14ac:dyDescent="0.4">
      <c r="A3880" t="s">
        <v>15</v>
      </c>
      <c r="B3880" t="s">
        <v>16</v>
      </c>
      <c r="C3880" s="13">
        <v>42005</v>
      </c>
      <c r="D3880" s="13">
        <v>42369</v>
      </c>
      <c r="E3880" t="s">
        <v>17</v>
      </c>
      <c r="F3880">
        <v>0</v>
      </c>
      <c r="G3880" t="s">
        <v>482</v>
      </c>
      <c r="H3880">
        <v>60</v>
      </c>
      <c r="I3880" t="s">
        <v>483</v>
      </c>
      <c r="J3880">
        <v>881</v>
      </c>
      <c r="K3880" t="s">
        <v>327</v>
      </c>
      <c r="L3880" s="13">
        <v>42156</v>
      </c>
      <c r="M3880" t="s">
        <v>2830</v>
      </c>
      <c r="N3880" t="s">
        <v>2831</v>
      </c>
      <c r="O3880">
        <v>1709.08</v>
      </c>
      <c r="P3880" t="s">
        <v>374</v>
      </c>
    </row>
    <row r="3881" spans="1:16" x14ac:dyDescent="0.4">
      <c r="A3881" t="s">
        <v>15</v>
      </c>
      <c r="B3881" t="s">
        <v>16</v>
      </c>
      <c r="C3881" s="13">
        <v>42005</v>
      </c>
      <c r="D3881" s="13">
        <v>42369</v>
      </c>
      <c r="E3881" t="s">
        <v>17</v>
      </c>
      <c r="F3881">
        <v>0</v>
      </c>
      <c r="G3881" t="s">
        <v>482</v>
      </c>
      <c r="H3881">
        <v>60</v>
      </c>
      <c r="I3881" t="s">
        <v>483</v>
      </c>
      <c r="J3881">
        <v>881</v>
      </c>
      <c r="K3881" t="s">
        <v>327</v>
      </c>
      <c r="L3881" s="13">
        <v>42178</v>
      </c>
      <c r="M3881" t="s">
        <v>2832</v>
      </c>
      <c r="N3881" t="s">
        <v>2833</v>
      </c>
      <c r="O3881">
        <v>-561.84</v>
      </c>
      <c r="P3881" t="s">
        <v>374</v>
      </c>
    </row>
    <row r="3882" spans="1:16" x14ac:dyDescent="0.4">
      <c r="A3882" t="s">
        <v>15</v>
      </c>
      <c r="B3882" t="s">
        <v>16</v>
      </c>
      <c r="C3882" s="13">
        <v>42005</v>
      </c>
      <c r="D3882" s="13">
        <v>42369</v>
      </c>
      <c r="E3882" t="s">
        <v>17</v>
      </c>
      <c r="F3882">
        <v>0</v>
      </c>
      <c r="G3882" t="s">
        <v>482</v>
      </c>
      <c r="H3882">
        <v>60</v>
      </c>
      <c r="I3882" t="s">
        <v>483</v>
      </c>
      <c r="J3882">
        <v>881</v>
      </c>
      <c r="K3882" t="s">
        <v>327</v>
      </c>
      <c r="L3882" s="13">
        <v>42178</v>
      </c>
      <c r="M3882" t="s">
        <v>2832</v>
      </c>
      <c r="N3882" t="s">
        <v>2834</v>
      </c>
      <c r="O3882">
        <v>-226.01</v>
      </c>
      <c r="P3882" t="s">
        <v>374</v>
      </c>
    </row>
    <row r="3883" spans="1:16" x14ac:dyDescent="0.4">
      <c r="A3883" t="s">
        <v>15</v>
      </c>
      <c r="B3883" t="s">
        <v>16</v>
      </c>
      <c r="C3883" s="13">
        <v>42005</v>
      </c>
      <c r="D3883" s="13">
        <v>42369</v>
      </c>
      <c r="E3883" t="s">
        <v>17</v>
      </c>
      <c r="F3883">
        <v>0</v>
      </c>
      <c r="G3883" t="s">
        <v>482</v>
      </c>
      <c r="H3883">
        <v>60</v>
      </c>
      <c r="I3883" t="s">
        <v>483</v>
      </c>
      <c r="J3883">
        <v>881</v>
      </c>
      <c r="K3883" t="s">
        <v>327</v>
      </c>
      <c r="L3883" s="13">
        <v>42369</v>
      </c>
      <c r="M3883" t="s">
        <v>486</v>
      </c>
      <c r="N3883" t="s">
        <v>329</v>
      </c>
      <c r="O3883">
        <v>-26.68</v>
      </c>
      <c r="P3883" t="s">
        <v>46</v>
      </c>
    </row>
    <row r="3884" spans="1:16" x14ac:dyDescent="0.4">
      <c r="A3884" t="s">
        <v>15</v>
      </c>
      <c r="B3884" t="s">
        <v>16</v>
      </c>
      <c r="C3884" s="13">
        <v>42005</v>
      </c>
      <c r="D3884" s="13">
        <v>42369</v>
      </c>
      <c r="E3884" t="s">
        <v>17</v>
      </c>
      <c r="F3884">
        <v>1</v>
      </c>
      <c r="G3884" t="s">
        <v>18</v>
      </c>
      <c r="H3884">
        <v>1</v>
      </c>
      <c r="I3884" t="s">
        <v>19</v>
      </c>
      <c r="J3884">
        <v>205</v>
      </c>
      <c r="K3884" t="s">
        <v>344</v>
      </c>
      <c r="L3884" s="13">
        <v>42026</v>
      </c>
      <c r="M3884" t="s">
        <v>2835</v>
      </c>
      <c r="N3884" t="s">
        <v>2836</v>
      </c>
      <c r="O3884">
        <v>176</v>
      </c>
      <c r="P3884" t="s">
        <v>2837</v>
      </c>
    </row>
    <row r="3885" spans="1:16" x14ac:dyDescent="0.4">
      <c r="A3885" t="s">
        <v>15</v>
      </c>
      <c r="B3885" t="s">
        <v>16</v>
      </c>
      <c r="C3885" s="13">
        <v>42005</v>
      </c>
      <c r="D3885" s="13">
        <v>42369</v>
      </c>
      <c r="E3885" t="s">
        <v>17</v>
      </c>
      <c r="F3885">
        <v>1</v>
      </c>
      <c r="G3885" t="s">
        <v>18</v>
      </c>
      <c r="H3885">
        <v>1</v>
      </c>
      <c r="I3885" t="s">
        <v>19</v>
      </c>
      <c r="J3885">
        <v>242</v>
      </c>
      <c r="K3885" t="s">
        <v>487</v>
      </c>
      <c r="L3885" s="13">
        <v>42369</v>
      </c>
      <c r="M3885" t="s">
        <v>2802</v>
      </c>
      <c r="N3885" t="s">
        <v>45</v>
      </c>
      <c r="O3885">
        <v>322.06</v>
      </c>
      <c r="P3885" t="s">
        <v>46</v>
      </c>
    </row>
    <row r="3886" spans="1:16" x14ac:dyDescent="0.4">
      <c r="A3886" t="s">
        <v>15</v>
      </c>
      <c r="B3886" t="s">
        <v>16</v>
      </c>
      <c r="C3886" s="13">
        <v>42005</v>
      </c>
      <c r="D3886" s="13">
        <v>42369</v>
      </c>
      <c r="E3886" t="s">
        <v>17</v>
      </c>
      <c r="F3886">
        <v>1</v>
      </c>
      <c r="G3886" t="s">
        <v>18</v>
      </c>
      <c r="H3886">
        <v>1</v>
      </c>
      <c r="I3886" t="s">
        <v>19</v>
      </c>
      <c r="J3886">
        <v>269</v>
      </c>
      <c r="K3886" t="s">
        <v>75</v>
      </c>
      <c r="L3886" s="13">
        <v>42027</v>
      </c>
      <c r="M3886" t="s">
        <v>2677</v>
      </c>
      <c r="N3886" t="s">
        <v>2678</v>
      </c>
      <c r="O3886">
        <v>24.97</v>
      </c>
      <c r="P3886" t="s">
        <v>565</v>
      </c>
    </row>
    <row r="3887" spans="1:16" x14ac:dyDescent="0.4">
      <c r="A3887" t="s">
        <v>15</v>
      </c>
      <c r="B3887" t="s">
        <v>16</v>
      </c>
      <c r="C3887" s="13">
        <v>42005</v>
      </c>
      <c r="D3887" s="13">
        <v>42369</v>
      </c>
      <c r="E3887" t="s">
        <v>17</v>
      </c>
      <c r="F3887">
        <v>1</v>
      </c>
      <c r="G3887" t="s">
        <v>18</v>
      </c>
      <c r="H3887">
        <v>1</v>
      </c>
      <c r="I3887" t="s">
        <v>19</v>
      </c>
      <c r="J3887">
        <v>269</v>
      </c>
      <c r="K3887" t="s">
        <v>75</v>
      </c>
      <c r="L3887" s="13">
        <v>42146</v>
      </c>
      <c r="M3887" t="s">
        <v>2677</v>
      </c>
      <c r="N3887" t="s">
        <v>2679</v>
      </c>
      <c r="O3887">
        <v>17.010000000000002</v>
      </c>
      <c r="P3887" t="s">
        <v>565</v>
      </c>
    </row>
    <row r="3888" spans="1:16" x14ac:dyDescent="0.4">
      <c r="A3888" t="s">
        <v>15</v>
      </c>
      <c r="B3888" t="s">
        <v>16</v>
      </c>
      <c r="C3888" s="13">
        <v>42005</v>
      </c>
      <c r="D3888" s="13">
        <v>42369</v>
      </c>
      <c r="E3888" t="s">
        <v>17</v>
      </c>
      <c r="F3888">
        <v>1</v>
      </c>
      <c r="G3888" t="s">
        <v>18</v>
      </c>
      <c r="H3888">
        <v>1</v>
      </c>
      <c r="I3888" t="s">
        <v>19</v>
      </c>
      <c r="J3888">
        <v>269</v>
      </c>
      <c r="K3888" t="s">
        <v>75</v>
      </c>
      <c r="L3888" s="13">
        <v>42209</v>
      </c>
      <c r="M3888" t="s">
        <v>2677</v>
      </c>
      <c r="N3888" t="s">
        <v>2680</v>
      </c>
      <c r="O3888">
        <v>13.92</v>
      </c>
      <c r="P3888" t="s">
        <v>565</v>
      </c>
    </row>
    <row r="3889" spans="1:16" x14ac:dyDescent="0.4">
      <c r="A3889" t="s">
        <v>15</v>
      </c>
      <c r="B3889" t="s">
        <v>16</v>
      </c>
      <c r="C3889" s="13">
        <v>42005</v>
      </c>
      <c r="D3889" s="13">
        <v>42369</v>
      </c>
      <c r="E3889" t="s">
        <v>17</v>
      </c>
      <c r="F3889">
        <v>1</v>
      </c>
      <c r="G3889" t="s">
        <v>18</v>
      </c>
      <c r="H3889">
        <v>1</v>
      </c>
      <c r="I3889" t="s">
        <v>19</v>
      </c>
      <c r="J3889">
        <v>269</v>
      </c>
      <c r="K3889" t="s">
        <v>75</v>
      </c>
      <c r="L3889" s="13">
        <v>42273</v>
      </c>
      <c r="M3889" t="s">
        <v>2677</v>
      </c>
      <c r="N3889" t="s">
        <v>2681</v>
      </c>
      <c r="O3889">
        <v>37.21</v>
      </c>
      <c r="P3889" t="s">
        <v>565</v>
      </c>
    </row>
    <row r="3890" spans="1:16" x14ac:dyDescent="0.4">
      <c r="A3890" t="s">
        <v>15</v>
      </c>
      <c r="B3890" t="s">
        <v>16</v>
      </c>
      <c r="C3890" s="13">
        <v>42005</v>
      </c>
      <c r="D3890" s="13">
        <v>42369</v>
      </c>
      <c r="E3890" t="s">
        <v>17</v>
      </c>
      <c r="F3890">
        <v>1</v>
      </c>
      <c r="G3890" t="s">
        <v>18</v>
      </c>
      <c r="H3890">
        <v>1</v>
      </c>
      <c r="I3890" t="s">
        <v>19</v>
      </c>
      <c r="J3890">
        <v>269</v>
      </c>
      <c r="K3890" t="s">
        <v>75</v>
      </c>
      <c r="L3890" s="13">
        <v>42329</v>
      </c>
      <c r="M3890" t="s">
        <v>2677</v>
      </c>
      <c r="N3890" t="s">
        <v>2682</v>
      </c>
      <c r="O3890">
        <v>14.75</v>
      </c>
      <c r="P3890" t="s">
        <v>565</v>
      </c>
    </row>
    <row r="3891" spans="1:16" x14ac:dyDescent="0.4">
      <c r="A3891" t="s">
        <v>15</v>
      </c>
      <c r="B3891" t="s">
        <v>16</v>
      </c>
      <c r="C3891" s="13">
        <v>42005</v>
      </c>
      <c r="D3891" s="13">
        <v>42369</v>
      </c>
      <c r="E3891" t="s">
        <v>17</v>
      </c>
      <c r="F3891">
        <v>1</v>
      </c>
      <c r="G3891" t="s">
        <v>18</v>
      </c>
      <c r="H3891">
        <v>1</v>
      </c>
      <c r="I3891" t="s">
        <v>19</v>
      </c>
      <c r="J3891">
        <v>401</v>
      </c>
      <c r="K3891" t="s">
        <v>476</v>
      </c>
      <c r="L3891" s="13">
        <v>42369</v>
      </c>
      <c r="M3891" t="s">
        <v>2819</v>
      </c>
      <c r="N3891" t="s">
        <v>46</v>
      </c>
      <c r="O3891">
        <v>1212.42</v>
      </c>
      <c r="P3891" t="s">
        <v>1444</v>
      </c>
    </row>
    <row r="3892" spans="1:16" x14ac:dyDescent="0.4">
      <c r="A3892" t="s">
        <v>15</v>
      </c>
      <c r="B3892" t="s">
        <v>16</v>
      </c>
      <c r="C3892" s="13">
        <v>42005</v>
      </c>
      <c r="D3892" s="13">
        <v>42369</v>
      </c>
      <c r="E3892" t="s">
        <v>17</v>
      </c>
      <c r="F3892">
        <v>1</v>
      </c>
      <c r="G3892" t="s">
        <v>18</v>
      </c>
      <c r="H3892">
        <v>1</v>
      </c>
      <c r="I3892" t="s">
        <v>19</v>
      </c>
      <c r="J3892">
        <v>441</v>
      </c>
      <c r="K3892" t="s">
        <v>268</v>
      </c>
      <c r="L3892" s="13">
        <v>42005</v>
      </c>
      <c r="M3892" t="s">
        <v>2838</v>
      </c>
      <c r="N3892" t="s">
        <v>2343</v>
      </c>
      <c r="O3892">
        <v>1975.44</v>
      </c>
      <c r="P3892" t="s">
        <v>2592</v>
      </c>
    </row>
    <row r="3893" spans="1:16" x14ac:dyDescent="0.4">
      <c r="A3893" t="s">
        <v>15</v>
      </c>
      <c r="B3893" t="s">
        <v>16</v>
      </c>
      <c r="C3893" s="13">
        <v>42005</v>
      </c>
      <c r="D3893" s="13">
        <v>42369</v>
      </c>
      <c r="E3893" t="s">
        <v>17</v>
      </c>
      <c r="F3893">
        <v>1</v>
      </c>
      <c r="G3893" t="s">
        <v>18</v>
      </c>
      <c r="H3893">
        <v>1</v>
      </c>
      <c r="I3893" t="s">
        <v>19</v>
      </c>
      <c r="J3893">
        <v>525</v>
      </c>
      <c r="K3893" t="s">
        <v>2295</v>
      </c>
      <c r="L3893" s="13">
        <v>42141</v>
      </c>
      <c r="M3893" t="s">
        <v>2839</v>
      </c>
      <c r="N3893" t="s">
        <v>2840</v>
      </c>
      <c r="O3893">
        <v>477.9</v>
      </c>
      <c r="P3893" t="s">
        <v>2841</v>
      </c>
    </row>
    <row r="3894" spans="1:16" x14ac:dyDescent="0.4">
      <c r="A3894" t="s">
        <v>15</v>
      </c>
      <c r="B3894" t="s">
        <v>16</v>
      </c>
      <c r="C3894" s="13">
        <v>42005</v>
      </c>
      <c r="D3894" s="13">
        <v>42369</v>
      </c>
      <c r="E3894" t="s">
        <v>17</v>
      </c>
      <c r="F3894">
        <v>1</v>
      </c>
      <c r="G3894" t="s">
        <v>18</v>
      </c>
      <c r="H3894">
        <v>1</v>
      </c>
      <c r="I3894" t="s">
        <v>19</v>
      </c>
      <c r="J3894">
        <v>605</v>
      </c>
      <c r="K3894" t="s">
        <v>495</v>
      </c>
      <c r="L3894" s="13">
        <v>42276</v>
      </c>
      <c r="M3894" t="s">
        <v>2842</v>
      </c>
      <c r="N3894" t="s">
        <v>2843</v>
      </c>
      <c r="O3894">
        <v>81.400000000000006</v>
      </c>
      <c r="P3894" t="s">
        <v>472</v>
      </c>
    </row>
    <row r="3895" spans="1:16" x14ac:dyDescent="0.4">
      <c r="A3895" t="s">
        <v>15</v>
      </c>
      <c r="B3895" t="s">
        <v>16</v>
      </c>
      <c r="C3895" s="13">
        <v>42005</v>
      </c>
      <c r="D3895" s="13">
        <v>42369</v>
      </c>
      <c r="E3895" t="s">
        <v>17</v>
      </c>
      <c r="F3895">
        <v>1</v>
      </c>
      <c r="G3895" t="s">
        <v>18</v>
      </c>
      <c r="H3895">
        <v>1</v>
      </c>
      <c r="I3895" t="s">
        <v>19</v>
      </c>
      <c r="J3895">
        <v>605</v>
      </c>
      <c r="K3895" t="s">
        <v>495</v>
      </c>
      <c r="L3895" s="13">
        <v>42297</v>
      </c>
      <c r="M3895" t="s">
        <v>2844</v>
      </c>
      <c r="N3895" t="s">
        <v>2845</v>
      </c>
      <c r="O3895">
        <v>202.4</v>
      </c>
      <c r="P3895" t="s">
        <v>472</v>
      </c>
    </row>
    <row r="3896" spans="1:16" x14ac:dyDescent="0.4">
      <c r="A3896" t="s">
        <v>15</v>
      </c>
      <c r="B3896" t="s">
        <v>16</v>
      </c>
      <c r="C3896" s="13">
        <v>42005</v>
      </c>
      <c r="D3896" s="13">
        <v>42369</v>
      </c>
      <c r="E3896" t="s">
        <v>17</v>
      </c>
      <c r="F3896">
        <v>1</v>
      </c>
      <c r="G3896" t="s">
        <v>18</v>
      </c>
      <c r="H3896">
        <v>1</v>
      </c>
      <c r="I3896" t="s">
        <v>19</v>
      </c>
      <c r="J3896">
        <v>706</v>
      </c>
      <c r="K3896" t="s">
        <v>365</v>
      </c>
      <c r="L3896" s="13">
        <v>42369</v>
      </c>
      <c r="M3896" t="s">
        <v>2774</v>
      </c>
      <c r="N3896" t="s">
        <v>46</v>
      </c>
      <c r="O3896">
        <v>52.09</v>
      </c>
      <c r="P3896" t="s">
        <v>46</v>
      </c>
    </row>
    <row r="3897" spans="1:16" x14ac:dyDescent="0.4">
      <c r="A3897" t="s">
        <v>15</v>
      </c>
      <c r="B3897" t="s">
        <v>16</v>
      </c>
      <c r="C3897" s="13">
        <v>42005</v>
      </c>
      <c r="D3897" s="13">
        <v>42369</v>
      </c>
      <c r="E3897" t="s">
        <v>17</v>
      </c>
      <c r="F3897">
        <v>1</v>
      </c>
      <c r="G3897" t="s">
        <v>18</v>
      </c>
      <c r="H3897">
        <v>1</v>
      </c>
      <c r="I3897" t="s">
        <v>19</v>
      </c>
      <c r="J3897">
        <v>891</v>
      </c>
      <c r="K3897" t="s">
        <v>377</v>
      </c>
      <c r="L3897" s="13">
        <v>42369</v>
      </c>
      <c r="M3897" t="s">
        <v>2814</v>
      </c>
      <c r="N3897" t="s">
        <v>46</v>
      </c>
      <c r="O3897">
        <v>5695.82</v>
      </c>
      <c r="P3897" t="s">
        <v>1444</v>
      </c>
    </row>
    <row r="3898" spans="1:16" x14ac:dyDescent="0.4">
      <c r="A3898" t="s">
        <v>15</v>
      </c>
      <c r="B3898" t="s">
        <v>16</v>
      </c>
      <c r="C3898" s="13">
        <v>42005</v>
      </c>
      <c r="D3898" s="13">
        <v>42369</v>
      </c>
      <c r="E3898" t="s">
        <v>17</v>
      </c>
      <c r="F3898">
        <v>1</v>
      </c>
      <c r="G3898" t="s">
        <v>18</v>
      </c>
      <c r="H3898">
        <v>1</v>
      </c>
      <c r="I3898" t="s">
        <v>19</v>
      </c>
      <c r="J3898">
        <v>909</v>
      </c>
      <c r="K3898" t="s">
        <v>2584</v>
      </c>
      <c r="L3898" s="13">
        <v>42369</v>
      </c>
      <c r="M3898" t="s">
        <v>2675</v>
      </c>
      <c r="N3898" t="s">
        <v>2425</v>
      </c>
      <c r="O3898">
        <v>4745.62</v>
      </c>
      <c r="P3898" t="s">
        <v>46</v>
      </c>
    </row>
    <row r="3899" spans="1:16" x14ac:dyDescent="0.4">
      <c r="A3899" t="s">
        <v>15</v>
      </c>
      <c r="B3899" t="s">
        <v>16</v>
      </c>
      <c r="C3899" s="13">
        <v>42005</v>
      </c>
      <c r="D3899" s="13">
        <v>42369</v>
      </c>
      <c r="E3899" t="s">
        <v>17</v>
      </c>
      <c r="F3899">
        <v>3</v>
      </c>
      <c r="G3899" t="s">
        <v>18</v>
      </c>
      <c r="H3899">
        <v>1</v>
      </c>
      <c r="I3899" t="s">
        <v>19</v>
      </c>
      <c r="J3899">
        <v>115</v>
      </c>
      <c r="K3899" t="s">
        <v>1416</v>
      </c>
      <c r="L3899" s="13">
        <v>42345</v>
      </c>
      <c r="M3899" t="s">
        <v>2846</v>
      </c>
      <c r="N3899" t="s">
        <v>2847</v>
      </c>
      <c r="O3899">
        <v>112.75</v>
      </c>
      <c r="P3899" t="s">
        <v>472</v>
      </c>
    </row>
    <row r="3900" spans="1:16" x14ac:dyDescent="0.4">
      <c r="A3900" t="s">
        <v>15</v>
      </c>
      <c r="B3900" t="s">
        <v>16</v>
      </c>
      <c r="C3900" s="13">
        <v>42005</v>
      </c>
      <c r="D3900" s="13">
        <v>42369</v>
      </c>
      <c r="E3900" t="s">
        <v>17</v>
      </c>
      <c r="F3900">
        <v>3</v>
      </c>
      <c r="G3900" t="s">
        <v>18</v>
      </c>
      <c r="H3900">
        <v>1</v>
      </c>
      <c r="I3900" t="s">
        <v>19</v>
      </c>
      <c r="J3900">
        <v>195</v>
      </c>
      <c r="K3900" t="s">
        <v>2398</v>
      </c>
      <c r="L3900" s="13">
        <v>42005</v>
      </c>
      <c r="M3900" t="s">
        <v>2399</v>
      </c>
      <c r="N3900" t="s">
        <v>2848</v>
      </c>
      <c r="O3900">
        <v>146.81</v>
      </c>
      <c r="P3900" t="s">
        <v>2401</v>
      </c>
    </row>
    <row r="3901" spans="1:16" x14ac:dyDescent="0.4">
      <c r="A3901" t="s">
        <v>15</v>
      </c>
      <c r="B3901" t="s">
        <v>16</v>
      </c>
      <c r="C3901" s="13">
        <v>42005</v>
      </c>
      <c r="D3901" s="13">
        <v>42369</v>
      </c>
      <c r="E3901" t="s">
        <v>30</v>
      </c>
      <c r="F3901">
        <v>3</v>
      </c>
      <c r="G3901" t="s">
        <v>18</v>
      </c>
      <c r="H3901">
        <v>1</v>
      </c>
      <c r="I3901" t="s">
        <v>19</v>
      </c>
      <c r="J3901">
        <v>236</v>
      </c>
      <c r="K3901" t="s">
        <v>950</v>
      </c>
      <c r="L3901" s="13">
        <v>42052</v>
      </c>
      <c r="M3901" t="s">
        <v>2849</v>
      </c>
      <c r="N3901" t="s">
        <v>2850</v>
      </c>
      <c r="O3901">
        <v>385</v>
      </c>
      <c r="P3901" t="s">
        <v>2851</v>
      </c>
    </row>
    <row r="3902" spans="1:16" x14ac:dyDescent="0.4">
      <c r="A3902" t="s">
        <v>15</v>
      </c>
      <c r="B3902" t="s">
        <v>16</v>
      </c>
      <c r="C3902" s="13">
        <v>42005</v>
      </c>
      <c r="D3902" s="13">
        <v>42369</v>
      </c>
      <c r="E3902" t="s">
        <v>17</v>
      </c>
      <c r="F3902">
        <v>3</v>
      </c>
      <c r="G3902" t="s">
        <v>18</v>
      </c>
      <c r="H3902">
        <v>1</v>
      </c>
      <c r="I3902" t="s">
        <v>19</v>
      </c>
      <c r="J3902">
        <v>242</v>
      </c>
      <c r="K3902" t="s">
        <v>348</v>
      </c>
      <c r="L3902" s="13">
        <v>42369</v>
      </c>
      <c r="M3902" t="s">
        <v>2802</v>
      </c>
      <c r="N3902" t="s">
        <v>45</v>
      </c>
      <c r="O3902">
        <v>107.35</v>
      </c>
      <c r="P3902" t="s">
        <v>46</v>
      </c>
    </row>
    <row r="3903" spans="1:16" x14ac:dyDescent="0.4">
      <c r="A3903" t="s">
        <v>15</v>
      </c>
      <c r="B3903" t="s">
        <v>16</v>
      </c>
      <c r="C3903" s="13">
        <v>42005</v>
      </c>
      <c r="D3903" s="13">
        <v>42369</v>
      </c>
      <c r="E3903" t="s">
        <v>17</v>
      </c>
      <c r="F3903">
        <v>3</v>
      </c>
      <c r="G3903" t="s">
        <v>18</v>
      </c>
      <c r="H3903">
        <v>1</v>
      </c>
      <c r="I3903" t="s">
        <v>19</v>
      </c>
      <c r="J3903">
        <v>269</v>
      </c>
      <c r="K3903" t="s">
        <v>75</v>
      </c>
      <c r="L3903" s="13">
        <v>42027</v>
      </c>
      <c r="M3903" t="s">
        <v>2677</v>
      </c>
      <c r="N3903" t="s">
        <v>2678</v>
      </c>
      <c r="O3903">
        <v>24.47</v>
      </c>
      <c r="P3903" t="s">
        <v>565</v>
      </c>
    </row>
    <row r="3904" spans="1:16" x14ac:dyDescent="0.4">
      <c r="A3904" t="s">
        <v>15</v>
      </c>
      <c r="B3904" t="s">
        <v>16</v>
      </c>
      <c r="C3904" s="13">
        <v>42005</v>
      </c>
      <c r="D3904" s="13">
        <v>42369</v>
      </c>
      <c r="E3904" t="s">
        <v>17</v>
      </c>
      <c r="F3904">
        <v>3</v>
      </c>
      <c r="G3904" t="s">
        <v>18</v>
      </c>
      <c r="H3904">
        <v>1</v>
      </c>
      <c r="I3904" t="s">
        <v>19</v>
      </c>
      <c r="J3904">
        <v>269</v>
      </c>
      <c r="K3904" t="s">
        <v>75</v>
      </c>
      <c r="L3904" s="13">
        <v>42146</v>
      </c>
      <c r="M3904" t="s">
        <v>2677</v>
      </c>
      <c r="N3904" t="s">
        <v>2679</v>
      </c>
      <c r="O3904">
        <v>16.670000000000002</v>
      </c>
      <c r="P3904" t="s">
        <v>565</v>
      </c>
    </row>
    <row r="3905" spans="1:16" x14ac:dyDescent="0.4">
      <c r="A3905" t="s">
        <v>15</v>
      </c>
      <c r="B3905" t="s">
        <v>16</v>
      </c>
      <c r="C3905" s="13">
        <v>42005</v>
      </c>
      <c r="D3905" s="13">
        <v>42369</v>
      </c>
      <c r="E3905" t="s">
        <v>17</v>
      </c>
      <c r="F3905">
        <v>3</v>
      </c>
      <c r="G3905" t="s">
        <v>18</v>
      </c>
      <c r="H3905">
        <v>1</v>
      </c>
      <c r="I3905" t="s">
        <v>19</v>
      </c>
      <c r="J3905">
        <v>269</v>
      </c>
      <c r="K3905" t="s">
        <v>75</v>
      </c>
      <c r="L3905" s="13">
        <v>42209</v>
      </c>
      <c r="M3905" t="s">
        <v>2677</v>
      </c>
      <c r="N3905" t="s">
        <v>2680</v>
      </c>
      <c r="O3905">
        <v>13.64</v>
      </c>
      <c r="P3905" t="s">
        <v>565</v>
      </c>
    </row>
    <row r="3906" spans="1:16" x14ac:dyDescent="0.4">
      <c r="A3906" t="s">
        <v>15</v>
      </c>
      <c r="B3906" t="s">
        <v>16</v>
      </c>
      <c r="C3906" s="13">
        <v>42005</v>
      </c>
      <c r="D3906" s="13">
        <v>42369</v>
      </c>
      <c r="E3906" t="s">
        <v>17</v>
      </c>
      <c r="F3906">
        <v>3</v>
      </c>
      <c r="G3906" t="s">
        <v>18</v>
      </c>
      <c r="H3906">
        <v>1</v>
      </c>
      <c r="I3906" t="s">
        <v>19</v>
      </c>
      <c r="J3906">
        <v>269</v>
      </c>
      <c r="K3906" t="s">
        <v>75</v>
      </c>
      <c r="L3906" s="13">
        <v>42273</v>
      </c>
      <c r="M3906" t="s">
        <v>2677</v>
      </c>
      <c r="N3906" t="s">
        <v>2681</v>
      </c>
      <c r="O3906">
        <v>36.47</v>
      </c>
      <c r="P3906" t="s">
        <v>565</v>
      </c>
    </row>
    <row r="3907" spans="1:16" x14ac:dyDescent="0.4">
      <c r="A3907" t="s">
        <v>15</v>
      </c>
      <c r="B3907" t="s">
        <v>16</v>
      </c>
      <c r="C3907" s="13">
        <v>42005</v>
      </c>
      <c r="D3907" s="13">
        <v>42369</v>
      </c>
      <c r="E3907" t="s">
        <v>17</v>
      </c>
      <c r="F3907">
        <v>3</v>
      </c>
      <c r="G3907" t="s">
        <v>18</v>
      </c>
      <c r="H3907">
        <v>1</v>
      </c>
      <c r="I3907" t="s">
        <v>19</v>
      </c>
      <c r="J3907">
        <v>269</v>
      </c>
      <c r="K3907" t="s">
        <v>75</v>
      </c>
      <c r="L3907" s="13">
        <v>42329</v>
      </c>
      <c r="M3907" t="s">
        <v>2677</v>
      </c>
      <c r="N3907" t="s">
        <v>2682</v>
      </c>
      <c r="O3907">
        <v>14.45</v>
      </c>
      <c r="P3907" t="s">
        <v>565</v>
      </c>
    </row>
    <row r="3908" spans="1:16" x14ac:dyDescent="0.4">
      <c r="A3908" t="s">
        <v>15</v>
      </c>
      <c r="B3908" t="s">
        <v>16</v>
      </c>
      <c r="C3908" s="13">
        <v>42005</v>
      </c>
      <c r="D3908" s="13">
        <v>42369</v>
      </c>
      <c r="E3908" t="s">
        <v>17</v>
      </c>
      <c r="F3908">
        <v>3</v>
      </c>
      <c r="G3908" t="s">
        <v>18</v>
      </c>
      <c r="H3908">
        <v>1</v>
      </c>
      <c r="I3908" t="s">
        <v>19</v>
      </c>
      <c r="J3908">
        <v>441</v>
      </c>
      <c r="K3908" t="s">
        <v>268</v>
      </c>
      <c r="L3908" s="13">
        <v>42005</v>
      </c>
      <c r="M3908" t="s">
        <v>2852</v>
      </c>
      <c r="N3908" t="s">
        <v>2853</v>
      </c>
      <c r="O3908">
        <v>1897.47</v>
      </c>
      <c r="P3908" t="s">
        <v>494</v>
      </c>
    </row>
    <row r="3909" spans="1:16" x14ac:dyDescent="0.4">
      <c r="A3909" t="s">
        <v>15</v>
      </c>
      <c r="B3909" t="s">
        <v>16</v>
      </c>
      <c r="C3909" s="13">
        <v>42005</v>
      </c>
      <c r="D3909" s="13">
        <v>42369</v>
      </c>
      <c r="E3909" t="s">
        <v>17</v>
      </c>
      <c r="F3909">
        <v>3</v>
      </c>
      <c r="G3909" t="s">
        <v>18</v>
      </c>
      <c r="H3909">
        <v>1</v>
      </c>
      <c r="I3909" t="s">
        <v>19</v>
      </c>
      <c r="J3909">
        <v>441</v>
      </c>
      <c r="K3909" t="s">
        <v>268</v>
      </c>
      <c r="L3909" s="13">
        <v>42125</v>
      </c>
      <c r="M3909" t="s">
        <v>2854</v>
      </c>
      <c r="N3909" t="s">
        <v>2855</v>
      </c>
      <c r="O3909">
        <v>2765.97</v>
      </c>
      <c r="P3909" t="s">
        <v>494</v>
      </c>
    </row>
    <row r="3910" spans="1:16" x14ac:dyDescent="0.4">
      <c r="A3910" t="s">
        <v>15</v>
      </c>
      <c r="B3910" t="s">
        <v>16</v>
      </c>
      <c r="C3910" s="13">
        <v>42005</v>
      </c>
      <c r="D3910" s="13">
        <v>42369</v>
      </c>
      <c r="E3910" t="s">
        <v>17</v>
      </c>
      <c r="F3910">
        <v>3</v>
      </c>
      <c r="G3910" t="s">
        <v>18</v>
      </c>
      <c r="H3910">
        <v>1</v>
      </c>
      <c r="I3910" t="s">
        <v>19</v>
      </c>
      <c r="J3910">
        <v>605</v>
      </c>
      <c r="K3910" t="s">
        <v>495</v>
      </c>
      <c r="L3910" s="13">
        <v>42055</v>
      </c>
      <c r="M3910" t="s">
        <v>2856</v>
      </c>
      <c r="N3910" t="s">
        <v>2857</v>
      </c>
      <c r="O3910">
        <v>147.4</v>
      </c>
      <c r="P3910" t="s">
        <v>472</v>
      </c>
    </row>
    <row r="3911" spans="1:16" x14ac:dyDescent="0.4">
      <c r="A3911" t="s">
        <v>15</v>
      </c>
      <c r="B3911" t="s">
        <v>16</v>
      </c>
      <c r="C3911" s="13">
        <v>42005</v>
      </c>
      <c r="D3911" s="13">
        <v>42369</v>
      </c>
      <c r="E3911" t="s">
        <v>17</v>
      </c>
      <c r="F3911">
        <v>3</v>
      </c>
      <c r="G3911" t="s">
        <v>18</v>
      </c>
      <c r="H3911">
        <v>1</v>
      </c>
      <c r="I3911" t="s">
        <v>19</v>
      </c>
      <c r="J3911">
        <v>605</v>
      </c>
      <c r="K3911" t="s">
        <v>495</v>
      </c>
      <c r="L3911" s="13">
        <v>42066</v>
      </c>
      <c r="M3911" t="s">
        <v>2856</v>
      </c>
      <c r="N3911" t="s">
        <v>2858</v>
      </c>
      <c r="O3911">
        <v>288.2</v>
      </c>
      <c r="P3911" t="s">
        <v>472</v>
      </c>
    </row>
    <row r="3912" spans="1:16" x14ac:dyDescent="0.4">
      <c r="A3912" t="s">
        <v>15</v>
      </c>
      <c r="B3912" t="s">
        <v>16</v>
      </c>
      <c r="C3912" s="13">
        <v>42005</v>
      </c>
      <c r="D3912" s="13">
        <v>42369</v>
      </c>
      <c r="E3912" t="s">
        <v>17</v>
      </c>
      <c r="F3912">
        <v>3</v>
      </c>
      <c r="G3912" t="s">
        <v>18</v>
      </c>
      <c r="H3912">
        <v>1</v>
      </c>
      <c r="I3912" t="s">
        <v>19</v>
      </c>
      <c r="J3912">
        <v>706</v>
      </c>
      <c r="K3912" t="s">
        <v>365</v>
      </c>
      <c r="L3912" s="13">
        <v>42369</v>
      </c>
      <c r="M3912" t="s">
        <v>2774</v>
      </c>
      <c r="N3912" t="s">
        <v>46</v>
      </c>
      <c r="O3912">
        <v>52.09</v>
      </c>
      <c r="P3912" t="s">
        <v>46</v>
      </c>
    </row>
    <row r="3913" spans="1:16" x14ac:dyDescent="0.4">
      <c r="A3913" t="s">
        <v>15</v>
      </c>
      <c r="B3913" t="s">
        <v>16</v>
      </c>
      <c r="C3913" s="13">
        <v>42005</v>
      </c>
      <c r="D3913" s="13">
        <v>42369</v>
      </c>
      <c r="E3913" t="s">
        <v>17</v>
      </c>
      <c r="F3913">
        <v>3</v>
      </c>
      <c r="G3913" t="s">
        <v>18</v>
      </c>
      <c r="H3913">
        <v>1</v>
      </c>
      <c r="I3913" t="s">
        <v>19</v>
      </c>
      <c r="J3913">
        <v>861</v>
      </c>
      <c r="K3913" t="s">
        <v>2311</v>
      </c>
      <c r="L3913" s="13">
        <v>42369</v>
      </c>
      <c r="M3913" t="s">
        <v>2859</v>
      </c>
      <c r="N3913" t="s">
        <v>2792</v>
      </c>
      <c r="O3913">
        <v>91.15</v>
      </c>
      <c r="P3913" t="s">
        <v>46</v>
      </c>
    </row>
    <row r="3914" spans="1:16" x14ac:dyDescent="0.4">
      <c r="A3914" t="s">
        <v>15</v>
      </c>
      <c r="B3914" t="s">
        <v>16</v>
      </c>
      <c r="C3914" s="13">
        <v>42005</v>
      </c>
      <c r="D3914" s="13">
        <v>42369</v>
      </c>
      <c r="E3914" t="s">
        <v>17</v>
      </c>
      <c r="F3914">
        <v>3</v>
      </c>
      <c r="G3914" t="s">
        <v>18</v>
      </c>
      <c r="H3914">
        <v>1</v>
      </c>
      <c r="I3914" t="s">
        <v>19</v>
      </c>
      <c r="J3914">
        <v>883</v>
      </c>
      <c r="K3914" t="s">
        <v>371</v>
      </c>
      <c r="L3914" s="13">
        <v>42369</v>
      </c>
      <c r="M3914" t="s">
        <v>2860</v>
      </c>
      <c r="N3914" t="s">
        <v>376</v>
      </c>
      <c r="O3914">
        <v>47.76</v>
      </c>
      <c r="P3914" t="s">
        <v>46</v>
      </c>
    </row>
    <row r="3915" spans="1:16" x14ac:dyDescent="0.4">
      <c r="A3915" t="s">
        <v>15</v>
      </c>
      <c r="B3915" t="s">
        <v>16</v>
      </c>
      <c r="C3915" s="13">
        <v>42005</v>
      </c>
      <c r="D3915" s="13">
        <v>42369</v>
      </c>
      <c r="E3915" t="s">
        <v>17</v>
      </c>
      <c r="F3915">
        <v>3</v>
      </c>
      <c r="G3915" t="s">
        <v>18</v>
      </c>
      <c r="H3915">
        <v>1</v>
      </c>
      <c r="I3915" t="s">
        <v>19</v>
      </c>
      <c r="J3915">
        <v>891</v>
      </c>
      <c r="K3915" t="s">
        <v>377</v>
      </c>
      <c r="L3915" s="13">
        <v>42369</v>
      </c>
      <c r="M3915" t="s">
        <v>2814</v>
      </c>
      <c r="N3915" t="s">
        <v>46</v>
      </c>
      <c r="O3915">
        <v>4776.72</v>
      </c>
      <c r="P3915" t="s">
        <v>1444</v>
      </c>
    </row>
    <row r="3916" spans="1:16" x14ac:dyDescent="0.4">
      <c r="A3916" t="s">
        <v>15</v>
      </c>
      <c r="B3916" t="s">
        <v>16</v>
      </c>
      <c r="C3916" s="13">
        <v>42005</v>
      </c>
      <c r="D3916" s="13">
        <v>42369</v>
      </c>
      <c r="E3916" t="s">
        <v>17</v>
      </c>
      <c r="F3916">
        <v>5</v>
      </c>
      <c r="G3916" t="s">
        <v>501</v>
      </c>
      <c r="H3916">
        <v>40</v>
      </c>
      <c r="I3916" t="s">
        <v>501</v>
      </c>
      <c r="J3916">
        <v>264</v>
      </c>
      <c r="K3916" t="s">
        <v>502</v>
      </c>
      <c r="L3916" s="13">
        <v>42027</v>
      </c>
      <c r="M3916" t="s">
        <v>2677</v>
      </c>
      <c r="N3916" t="s">
        <v>2678</v>
      </c>
      <c r="O3916">
        <v>25.47</v>
      </c>
      <c r="P3916" t="s">
        <v>565</v>
      </c>
    </row>
    <row r="3917" spans="1:16" x14ac:dyDescent="0.4">
      <c r="A3917" t="s">
        <v>15</v>
      </c>
      <c r="B3917" t="s">
        <v>16</v>
      </c>
      <c r="C3917" s="13">
        <v>42005</v>
      </c>
      <c r="D3917" s="13">
        <v>42369</v>
      </c>
      <c r="E3917" t="s">
        <v>17</v>
      </c>
      <c r="F3917">
        <v>5</v>
      </c>
      <c r="G3917" t="s">
        <v>501</v>
      </c>
      <c r="H3917">
        <v>40</v>
      </c>
      <c r="I3917" t="s">
        <v>501</v>
      </c>
      <c r="J3917">
        <v>264</v>
      </c>
      <c r="K3917" t="s">
        <v>502</v>
      </c>
      <c r="L3917" s="13">
        <v>42146</v>
      </c>
      <c r="M3917" t="s">
        <v>2677</v>
      </c>
      <c r="N3917" t="s">
        <v>2679</v>
      </c>
      <c r="O3917">
        <v>17.34</v>
      </c>
      <c r="P3917" t="s">
        <v>565</v>
      </c>
    </row>
    <row r="3918" spans="1:16" x14ac:dyDescent="0.4">
      <c r="A3918" t="s">
        <v>15</v>
      </c>
      <c r="B3918" t="s">
        <v>16</v>
      </c>
      <c r="C3918" s="13">
        <v>42005</v>
      </c>
      <c r="D3918" s="13">
        <v>42369</v>
      </c>
      <c r="E3918" t="s">
        <v>17</v>
      </c>
      <c r="F3918">
        <v>5</v>
      </c>
      <c r="G3918" t="s">
        <v>501</v>
      </c>
      <c r="H3918">
        <v>40</v>
      </c>
      <c r="I3918" t="s">
        <v>501</v>
      </c>
      <c r="J3918">
        <v>264</v>
      </c>
      <c r="K3918" t="s">
        <v>502</v>
      </c>
      <c r="L3918" s="13">
        <v>42209</v>
      </c>
      <c r="M3918" t="s">
        <v>2677</v>
      </c>
      <c r="N3918" t="s">
        <v>2680</v>
      </c>
      <c r="O3918">
        <v>14.2</v>
      </c>
      <c r="P3918" t="s">
        <v>565</v>
      </c>
    </row>
    <row r="3919" spans="1:16" x14ac:dyDescent="0.4">
      <c r="A3919" t="s">
        <v>15</v>
      </c>
      <c r="B3919" t="s">
        <v>16</v>
      </c>
      <c r="C3919" s="13">
        <v>42005</v>
      </c>
      <c r="D3919" s="13">
        <v>42369</v>
      </c>
      <c r="E3919" t="s">
        <v>17</v>
      </c>
      <c r="F3919">
        <v>5</v>
      </c>
      <c r="G3919" t="s">
        <v>501</v>
      </c>
      <c r="H3919">
        <v>40</v>
      </c>
      <c r="I3919" t="s">
        <v>501</v>
      </c>
      <c r="J3919">
        <v>264</v>
      </c>
      <c r="K3919" t="s">
        <v>502</v>
      </c>
      <c r="L3919" s="13">
        <v>42273</v>
      </c>
      <c r="M3919" t="s">
        <v>2677</v>
      </c>
      <c r="N3919" t="s">
        <v>2681</v>
      </c>
      <c r="O3919">
        <v>37.950000000000003</v>
      </c>
      <c r="P3919" t="s">
        <v>565</v>
      </c>
    </row>
    <row r="3920" spans="1:16" x14ac:dyDescent="0.4">
      <c r="A3920" t="s">
        <v>15</v>
      </c>
      <c r="B3920" t="s">
        <v>16</v>
      </c>
      <c r="C3920" s="13">
        <v>42005</v>
      </c>
      <c r="D3920" s="13">
        <v>42369</v>
      </c>
      <c r="E3920" t="s">
        <v>17</v>
      </c>
      <c r="F3920">
        <v>5</v>
      </c>
      <c r="G3920" t="s">
        <v>501</v>
      </c>
      <c r="H3920">
        <v>40</v>
      </c>
      <c r="I3920" t="s">
        <v>501</v>
      </c>
      <c r="J3920">
        <v>264</v>
      </c>
      <c r="K3920" t="s">
        <v>502</v>
      </c>
      <c r="L3920" s="13">
        <v>42329</v>
      </c>
      <c r="M3920" t="s">
        <v>2677</v>
      </c>
      <c r="N3920" t="s">
        <v>2682</v>
      </c>
      <c r="O3920">
        <v>15.04</v>
      </c>
      <c r="P3920" t="s">
        <v>565</v>
      </c>
    </row>
    <row r="3921" spans="1:16" x14ac:dyDescent="0.4">
      <c r="A3921" t="s">
        <v>15</v>
      </c>
      <c r="B3921" t="s">
        <v>16</v>
      </c>
      <c r="C3921" s="13">
        <v>42005</v>
      </c>
      <c r="D3921" s="13">
        <v>42369</v>
      </c>
      <c r="E3921" t="s">
        <v>17</v>
      </c>
      <c r="F3921">
        <v>5</v>
      </c>
      <c r="G3921" t="s">
        <v>501</v>
      </c>
      <c r="H3921">
        <v>40</v>
      </c>
      <c r="I3921" t="s">
        <v>501</v>
      </c>
      <c r="J3921">
        <v>741</v>
      </c>
      <c r="K3921" t="s">
        <v>505</v>
      </c>
      <c r="L3921" s="13">
        <v>42200</v>
      </c>
      <c r="M3921" t="s">
        <v>2603</v>
      </c>
      <c r="N3921" t="s">
        <v>2604</v>
      </c>
      <c r="O3921">
        <v>177.96</v>
      </c>
      <c r="P3921" t="s">
        <v>2605</v>
      </c>
    </row>
    <row r="3922" spans="1:16" x14ac:dyDescent="0.4">
      <c r="A3922" t="s">
        <v>15</v>
      </c>
      <c r="B3922" t="s">
        <v>16</v>
      </c>
      <c r="C3922" s="13">
        <v>42005</v>
      </c>
      <c r="D3922" s="13">
        <v>42369</v>
      </c>
      <c r="E3922" t="s">
        <v>17</v>
      </c>
      <c r="F3922">
        <v>5</v>
      </c>
      <c r="G3922" t="s">
        <v>501</v>
      </c>
      <c r="H3922">
        <v>40</v>
      </c>
      <c r="I3922" t="s">
        <v>501</v>
      </c>
      <c r="J3922">
        <v>741</v>
      </c>
      <c r="K3922" t="s">
        <v>505</v>
      </c>
      <c r="L3922" s="13">
        <v>42269</v>
      </c>
      <c r="M3922" t="s">
        <v>2603</v>
      </c>
      <c r="N3922" t="s">
        <v>2861</v>
      </c>
      <c r="O3922">
        <v>42.6</v>
      </c>
      <c r="P3922" t="s">
        <v>2605</v>
      </c>
    </row>
    <row r="3923" spans="1:16" x14ac:dyDescent="0.4">
      <c r="A3923" t="s">
        <v>15</v>
      </c>
      <c r="B3923" t="s">
        <v>16</v>
      </c>
      <c r="C3923" s="13">
        <v>42005</v>
      </c>
      <c r="D3923" s="13">
        <v>42369</v>
      </c>
      <c r="E3923" t="s">
        <v>17</v>
      </c>
      <c r="F3923">
        <v>5</v>
      </c>
      <c r="G3923" t="s">
        <v>501</v>
      </c>
      <c r="H3923">
        <v>40</v>
      </c>
      <c r="I3923" t="s">
        <v>501</v>
      </c>
      <c r="J3923">
        <v>741</v>
      </c>
      <c r="K3923" t="s">
        <v>505</v>
      </c>
      <c r="L3923" s="13">
        <v>42324</v>
      </c>
      <c r="M3923" t="s">
        <v>2603</v>
      </c>
      <c r="N3923" t="s">
        <v>2604</v>
      </c>
      <c r="O3923">
        <v>42.6</v>
      </c>
      <c r="P3923" t="s">
        <v>2605</v>
      </c>
    </row>
    <row r="3924" spans="1:16" x14ac:dyDescent="0.4">
      <c r="A3924" t="s">
        <v>15</v>
      </c>
      <c r="B3924" t="s">
        <v>16</v>
      </c>
      <c r="C3924" s="13">
        <v>42005</v>
      </c>
      <c r="D3924" s="13">
        <v>42369</v>
      </c>
      <c r="E3924" t="s">
        <v>17</v>
      </c>
      <c r="F3924">
        <v>5</v>
      </c>
      <c r="G3924" t="s">
        <v>501</v>
      </c>
      <c r="H3924">
        <v>40</v>
      </c>
      <c r="I3924" t="s">
        <v>501</v>
      </c>
      <c r="J3924">
        <v>802</v>
      </c>
      <c r="K3924" t="s">
        <v>2862</v>
      </c>
      <c r="L3924" s="13">
        <v>42005</v>
      </c>
      <c r="M3924" t="s">
        <v>2863</v>
      </c>
      <c r="N3924" t="s">
        <v>2864</v>
      </c>
      <c r="O3924">
        <v>373.87</v>
      </c>
      <c r="P3924" t="s">
        <v>2865</v>
      </c>
    </row>
    <row r="3925" spans="1:16" x14ac:dyDescent="0.4">
      <c r="A3925" t="s">
        <v>15</v>
      </c>
      <c r="B3925" t="s">
        <v>16</v>
      </c>
      <c r="C3925" s="13">
        <v>42005</v>
      </c>
      <c r="D3925" s="13">
        <v>42369</v>
      </c>
      <c r="E3925" t="s">
        <v>17</v>
      </c>
      <c r="F3925">
        <v>5</v>
      </c>
      <c r="G3925" t="s">
        <v>501</v>
      </c>
      <c r="H3925">
        <v>40</v>
      </c>
      <c r="I3925" t="s">
        <v>501</v>
      </c>
      <c r="J3925">
        <v>802</v>
      </c>
      <c r="K3925" t="s">
        <v>2862</v>
      </c>
      <c r="L3925" s="13">
        <v>42095</v>
      </c>
      <c r="M3925" t="s">
        <v>2866</v>
      </c>
      <c r="N3925" t="s">
        <v>2867</v>
      </c>
      <c r="O3925">
        <v>373.87</v>
      </c>
      <c r="P3925" t="s">
        <v>2865</v>
      </c>
    </row>
    <row r="3926" spans="1:16" x14ac:dyDescent="0.4">
      <c r="A3926" t="s">
        <v>15</v>
      </c>
      <c r="B3926" t="s">
        <v>16</v>
      </c>
      <c r="C3926" s="13">
        <v>42005</v>
      </c>
      <c r="D3926" s="13">
        <v>42369</v>
      </c>
      <c r="E3926" t="s">
        <v>17</v>
      </c>
      <c r="F3926">
        <v>5</v>
      </c>
      <c r="G3926" t="s">
        <v>501</v>
      </c>
      <c r="H3926">
        <v>40</v>
      </c>
      <c r="I3926" t="s">
        <v>501</v>
      </c>
      <c r="J3926">
        <v>802</v>
      </c>
      <c r="K3926" t="s">
        <v>2862</v>
      </c>
      <c r="L3926" s="13">
        <v>42186</v>
      </c>
      <c r="M3926" t="s">
        <v>2868</v>
      </c>
      <c r="N3926" t="s">
        <v>46</v>
      </c>
      <c r="O3926">
        <v>247.5</v>
      </c>
      <c r="P3926" t="s">
        <v>508</v>
      </c>
    </row>
    <row r="3927" spans="1:16" x14ac:dyDescent="0.4">
      <c r="A3927" t="s">
        <v>15</v>
      </c>
      <c r="B3927" t="s">
        <v>16</v>
      </c>
      <c r="C3927" s="13">
        <v>42005</v>
      </c>
      <c r="D3927" s="13">
        <v>42369</v>
      </c>
      <c r="E3927" t="s">
        <v>17</v>
      </c>
      <c r="F3927">
        <v>5</v>
      </c>
      <c r="G3927" t="s">
        <v>501</v>
      </c>
      <c r="H3927">
        <v>40</v>
      </c>
      <c r="I3927" t="s">
        <v>501</v>
      </c>
      <c r="J3927">
        <v>802</v>
      </c>
      <c r="K3927" t="s">
        <v>2862</v>
      </c>
      <c r="L3927" s="13">
        <v>42278</v>
      </c>
      <c r="M3927" t="s">
        <v>2869</v>
      </c>
      <c r="N3927" t="s">
        <v>2870</v>
      </c>
      <c r="O3927">
        <v>247.5</v>
      </c>
      <c r="P3927" t="s">
        <v>508</v>
      </c>
    </row>
    <row r="3928" spans="1:16" x14ac:dyDescent="0.4">
      <c r="A3928" t="s">
        <v>15</v>
      </c>
      <c r="B3928" t="s">
        <v>16</v>
      </c>
      <c r="C3928" s="13">
        <v>42005</v>
      </c>
      <c r="D3928" s="13">
        <v>42369</v>
      </c>
      <c r="E3928" t="s">
        <v>17</v>
      </c>
      <c r="F3928">
        <v>5</v>
      </c>
      <c r="G3928" t="s">
        <v>501</v>
      </c>
      <c r="H3928">
        <v>40</v>
      </c>
      <c r="I3928" t="s">
        <v>501</v>
      </c>
      <c r="J3928">
        <v>805</v>
      </c>
      <c r="K3928" t="s">
        <v>520</v>
      </c>
      <c r="L3928" s="13">
        <v>42320</v>
      </c>
      <c r="M3928" t="s">
        <v>2871</v>
      </c>
      <c r="N3928" t="s">
        <v>2872</v>
      </c>
      <c r="O3928">
        <v>194.06</v>
      </c>
      <c r="P3928" t="s">
        <v>508</v>
      </c>
    </row>
    <row r="3929" spans="1:16" x14ac:dyDescent="0.4">
      <c r="A3929" t="s">
        <v>15</v>
      </c>
      <c r="B3929" t="s">
        <v>16</v>
      </c>
      <c r="C3929" s="13">
        <v>42005</v>
      </c>
      <c r="D3929" s="13">
        <v>42369</v>
      </c>
      <c r="E3929" t="s">
        <v>17</v>
      </c>
      <c r="F3929">
        <v>5</v>
      </c>
      <c r="G3929" t="s">
        <v>501</v>
      </c>
      <c r="H3929">
        <v>40</v>
      </c>
      <c r="I3929" t="s">
        <v>501</v>
      </c>
      <c r="J3929">
        <v>805</v>
      </c>
      <c r="K3929" t="s">
        <v>520</v>
      </c>
      <c r="L3929" s="13">
        <v>42369</v>
      </c>
      <c r="M3929" t="s">
        <v>2873</v>
      </c>
      <c r="N3929" t="s">
        <v>2874</v>
      </c>
      <c r="O3929">
        <v>194.06</v>
      </c>
      <c r="P3929" t="s">
        <v>508</v>
      </c>
    </row>
    <row r="3930" spans="1:16" x14ac:dyDescent="0.4">
      <c r="A3930" t="s">
        <v>15</v>
      </c>
      <c r="B3930" t="s">
        <v>16</v>
      </c>
      <c r="C3930" s="13">
        <v>42005</v>
      </c>
      <c r="D3930" s="13">
        <v>42369</v>
      </c>
      <c r="E3930" t="s">
        <v>30</v>
      </c>
      <c r="F3930">
        <v>6</v>
      </c>
      <c r="G3930" t="s">
        <v>525</v>
      </c>
      <c r="H3930">
        <v>65</v>
      </c>
      <c r="I3930" t="s">
        <v>526</v>
      </c>
      <c r="J3930">
        <v>106</v>
      </c>
      <c r="K3930" t="s">
        <v>1378</v>
      </c>
      <c r="L3930" s="13">
        <v>42277</v>
      </c>
      <c r="M3930" t="s">
        <v>2875</v>
      </c>
      <c r="N3930" t="s">
        <v>2876</v>
      </c>
      <c r="O3930">
        <v>704</v>
      </c>
      <c r="P3930" t="s">
        <v>2877</v>
      </c>
    </row>
    <row r="3931" spans="1:16" x14ac:dyDescent="0.4">
      <c r="A3931" t="s">
        <v>15</v>
      </c>
      <c r="B3931" t="s">
        <v>16</v>
      </c>
      <c r="C3931" s="13">
        <v>42005</v>
      </c>
      <c r="D3931" s="13">
        <v>42369</v>
      </c>
      <c r="E3931" t="s">
        <v>30</v>
      </c>
      <c r="F3931">
        <v>6</v>
      </c>
      <c r="G3931" t="s">
        <v>525</v>
      </c>
      <c r="H3931">
        <v>65</v>
      </c>
      <c r="I3931" t="s">
        <v>526</v>
      </c>
      <c r="J3931">
        <v>106</v>
      </c>
      <c r="K3931" t="s">
        <v>1378</v>
      </c>
      <c r="L3931" s="13">
        <v>42356</v>
      </c>
      <c r="M3931" t="s">
        <v>2878</v>
      </c>
      <c r="N3931" t="s">
        <v>2879</v>
      </c>
      <c r="O3931">
        <v>442.2</v>
      </c>
      <c r="P3931" t="s">
        <v>530</v>
      </c>
    </row>
    <row r="3932" spans="1:16" x14ac:dyDescent="0.4">
      <c r="A3932" t="s">
        <v>15</v>
      </c>
      <c r="B3932" t="s">
        <v>16</v>
      </c>
      <c r="C3932" s="13">
        <v>42005</v>
      </c>
      <c r="D3932" s="13">
        <v>42369</v>
      </c>
      <c r="E3932" t="s">
        <v>17</v>
      </c>
      <c r="F3932">
        <v>8</v>
      </c>
      <c r="G3932" t="s">
        <v>501</v>
      </c>
      <c r="H3932">
        <v>40</v>
      </c>
      <c r="I3932" t="s">
        <v>501</v>
      </c>
      <c r="J3932">
        <v>264</v>
      </c>
      <c r="K3932" t="s">
        <v>502</v>
      </c>
      <c r="L3932" s="13">
        <v>42027</v>
      </c>
      <c r="M3932" t="s">
        <v>2677</v>
      </c>
      <c r="N3932" t="s">
        <v>2803</v>
      </c>
      <c r="O3932">
        <v>25.7</v>
      </c>
      <c r="P3932" t="s">
        <v>565</v>
      </c>
    </row>
    <row r="3933" spans="1:16" x14ac:dyDescent="0.4">
      <c r="A3933" t="s">
        <v>15</v>
      </c>
      <c r="B3933" t="s">
        <v>16</v>
      </c>
      <c r="C3933" s="13">
        <v>42005</v>
      </c>
      <c r="D3933" s="13">
        <v>42369</v>
      </c>
      <c r="E3933" t="s">
        <v>17</v>
      </c>
      <c r="F3933">
        <v>8</v>
      </c>
      <c r="G3933" t="s">
        <v>501</v>
      </c>
      <c r="H3933">
        <v>40</v>
      </c>
      <c r="I3933" t="s">
        <v>501</v>
      </c>
      <c r="J3933">
        <v>264</v>
      </c>
      <c r="K3933" t="s">
        <v>502</v>
      </c>
      <c r="L3933" s="13">
        <v>42089</v>
      </c>
      <c r="M3933" t="s">
        <v>2677</v>
      </c>
      <c r="N3933" t="s">
        <v>2804</v>
      </c>
      <c r="O3933">
        <v>29.15</v>
      </c>
      <c r="P3933" t="s">
        <v>565</v>
      </c>
    </row>
    <row r="3934" spans="1:16" x14ac:dyDescent="0.4">
      <c r="A3934" t="s">
        <v>15</v>
      </c>
      <c r="B3934" t="s">
        <v>16</v>
      </c>
      <c r="C3934" s="13">
        <v>42005</v>
      </c>
      <c r="D3934" s="13">
        <v>42369</v>
      </c>
      <c r="E3934" t="s">
        <v>17</v>
      </c>
      <c r="F3934">
        <v>8</v>
      </c>
      <c r="G3934" t="s">
        <v>501</v>
      </c>
      <c r="H3934">
        <v>40</v>
      </c>
      <c r="I3934" t="s">
        <v>501</v>
      </c>
      <c r="J3934">
        <v>264</v>
      </c>
      <c r="K3934" t="s">
        <v>502</v>
      </c>
      <c r="L3934" s="13">
        <v>42146</v>
      </c>
      <c r="M3934" t="s">
        <v>2677</v>
      </c>
      <c r="N3934" t="s">
        <v>2805</v>
      </c>
      <c r="O3934">
        <v>22.89</v>
      </c>
      <c r="P3934" t="s">
        <v>565</v>
      </c>
    </row>
    <row r="3935" spans="1:16" x14ac:dyDescent="0.4">
      <c r="A3935" t="s">
        <v>15</v>
      </c>
      <c r="B3935" t="s">
        <v>16</v>
      </c>
      <c r="C3935" s="13">
        <v>42005</v>
      </c>
      <c r="D3935" s="13">
        <v>42369</v>
      </c>
      <c r="E3935" t="s">
        <v>17</v>
      </c>
      <c r="F3935">
        <v>8</v>
      </c>
      <c r="G3935" t="s">
        <v>501</v>
      </c>
      <c r="H3935">
        <v>40</v>
      </c>
      <c r="I3935" t="s">
        <v>501</v>
      </c>
      <c r="J3935">
        <v>264</v>
      </c>
      <c r="K3935" t="s">
        <v>502</v>
      </c>
      <c r="L3935" s="13">
        <v>42209</v>
      </c>
      <c r="M3935" t="s">
        <v>2677</v>
      </c>
      <c r="N3935" t="s">
        <v>2806</v>
      </c>
      <c r="O3935">
        <v>22.8</v>
      </c>
      <c r="P3935" t="s">
        <v>565</v>
      </c>
    </row>
    <row r="3936" spans="1:16" x14ac:dyDescent="0.4">
      <c r="A3936" t="s">
        <v>15</v>
      </c>
      <c r="B3936" t="s">
        <v>16</v>
      </c>
      <c r="C3936" s="13">
        <v>42005</v>
      </c>
      <c r="D3936" s="13">
        <v>42369</v>
      </c>
      <c r="E3936" t="s">
        <v>17</v>
      </c>
      <c r="F3936">
        <v>8</v>
      </c>
      <c r="G3936" t="s">
        <v>501</v>
      </c>
      <c r="H3936">
        <v>40</v>
      </c>
      <c r="I3936" t="s">
        <v>501</v>
      </c>
      <c r="J3936">
        <v>264</v>
      </c>
      <c r="K3936" t="s">
        <v>502</v>
      </c>
      <c r="L3936" s="13">
        <v>42273</v>
      </c>
      <c r="M3936" t="s">
        <v>2677</v>
      </c>
      <c r="N3936" t="s">
        <v>2807</v>
      </c>
      <c r="O3936">
        <v>20.68</v>
      </c>
      <c r="P3936" t="s">
        <v>565</v>
      </c>
    </row>
    <row r="3937" spans="1:16" x14ac:dyDescent="0.4">
      <c r="A3937" t="s">
        <v>15</v>
      </c>
      <c r="B3937" t="s">
        <v>16</v>
      </c>
      <c r="C3937" s="13">
        <v>42005</v>
      </c>
      <c r="D3937" s="13">
        <v>42369</v>
      </c>
      <c r="E3937" t="s">
        <v>17</v>
      </c>
      <c r="F3937">
        <v>8</v>
      </c>
      <c r="G3937" t="s">
        <v>501</v>
      </c>
      <c r="H3937">
        <v>40</v>
      </c>
      <c r="I3937" t="s">
        <v>501</v>
      </c>
      <c r="J3937">
        <v>264</v>
      </c>
      <c r="K3937" t="s">
        <v>502</v>
      </c>
      <c r="L3937" s="13">
        <v>42329</v>
      </c>
      <c r="M3937" t="s">
        <v>2677</v>
      </c>
      <c r="N3937" t="s">
        <v>2808</v>
      </c>
      <c r="O3937">
        <v>21.33</v>
      </c>
      <c r="P3937" t="s">
        <v>565</v>
      </c>
    </row>
    <row r="3938" spans="1:16" x14ac:dyDescent="0.4">
      <c r="A3938" t="s">
        <v>15</v>
      </c>
      <c r="B3938" t="s">
        <v>16</v>
      </c>
      <c r="C3938" s="13">
        <v>42005</v>
      </c>
      <c r="D3938" s="13">
        <v>42369</v>
      </c>
      <c r="E3938" t="s">
        <v>17</v>
      </c>
      <c r="F3938">
        <v>8</v>
      </c>
      <c r="G3938" t="s">
        <v>501</v>
      </c>
      <c r="H3938">
        <v>40</v>
      </c>
      <c r="I3938" t="s">
        <v>501</v>
      </c>
      <c r="J3938">
        <v>741</v>
      </c>
      <c r="K3938" t="s">
        <v>505</v>
      </c>
      <c r="L3938" s="13">
        <v>42369</v>
      </c>
      <c r="M3938" t="s">
        <v>2880</v>
      </c>
      <c r="N3938" t="s">
        <v>46</v>
      </c>
      <c r="O3938">
        <v>131.58000000000001</v>
      </c>
      <c r="P3938" t="s">
        <v>46</v>
      </c>
    </row>
    <row r="3939" spans="1:16" x14ac:dyDescent="0.4">
      <c r="A3939" t="s">
        <v>15</v>
      </c>
      <c r="B3939" t="s">
        <v>16</v>
      </c>
      <c r="C3939" s="13">
        <v>42005</v>
      </c>
      <c r="D3939" s="13">
        <v>42369</v>
      </c>
      <c r="E3939" t="s">
        <v>17</v>
      </c>
      <c r="F3939">
        <v>8</v>
      </c>
      <c r="G3939" t="s">
        <v>501</v>
      </c>
      <c r="H3939">
        <v>40</v>
      </c>
      <c r="I3939" t="s">
        <v>501</v>
      </c>
      <c r="J3939">
        <v>802</v>
      </c>
      <c r="K3939" t="s">
        <v>2862</v>
      </c>
      <c r="L3939" s="13">
        <v>42005</v>
      </c>
      <c r="M3939" t="s">
        <v>2863</v>
      </c>
      <c r="N3939" t="s">
        <v>2864</v>
      </c>
      <c r="O3939">
        <v>373.87</v>
      </c>
      <c r="P3939" t="s">
        <v>2865</v>
      </c>
    </row>
    <row r="3940" spans="1:16" x14ac:dyDescent="0.4">
      <c r="A3940" t="s">
        <v>15</v>
      </c>
      <c r="B3940" t="s">
        <v>16</v>
      </c>
      <c r="C3940" s="13">
        <v>42005</v>
      </c>
      <c r="D3940" s="13">
        <v>42369</v>
      </c>
      <c r="E3940" t="s">
        <v>17</v>
      </c>
      <c r="F3940">
        <v>8</v>
      </c>
      <c r="G3940" t="s">
        <v>501</v>
      </c>
      <c r="H3940">
        <v>40</v>
      </c>
      <c r="I3940" t="s">
        <v>501</v>
      </c>
      <c r="J3940">
        <v>802</v>
      </c>
      <c r="K3940" t="s">
        <v>2862</v>
      </c>
      <c r="L3940" s="13">
        <v>42095</v>
      </c>
      <c r="M3940" t="s">
        <v>2866</v>
      </c>
      <c r="N3940" t="s">
        <v>2867</v>
      </c>
      <c r="O3940">
        <v>373.87</v>
      </c>
      <c r="P3940" t="s">
        <v>2865</v>
      </c>
    </row>
    <row r="3941" spans="1:16" x14ac:dyDescent="0.4">
      <c r="A3941" t="s">
        <v>15</v>
      </c>
      <c r="B3941" t="s">
        <v>16</v>
      </c>
      <c r="C3941" s="13">
        <v>42005</v>
      </c>
      <c r="D3941" s="13">
        <v>42369</v>
      </c>
      <c r="E3941" t="s">
        <v>17</v>
      </c>
      <c r="F3941">
        <v>8</v>
      </c>
      <c r="G3941" t="s">
        <v>501</v>
      </c>
      <c r="H3941">
        <v>40</v>
      </c>
      <c r="I3941" t="s">
        <v>501</v>
      </c>
      <c r="J3941">
        <v>802</v>
      </c>
      <c r="K3941" t="s">
        <v>2862</v>
      </c>
      <c r="L3941" s="13">
        <v>42186</v>
      </c>
      <c r="M3941" t="s">
        <v>2868</v>
      </c>
      <c r="N3941" t="s">
        <v>2881</v>
      </c>
      <c r="O3941">
        <v>247.5</v>
      </c>
      <c r="P3941" t="s">
        <v>508</v>
      </c>
    </row>
    <row r="3942" spans="1:16" x14ac:dyDescent="0.4">
      <c r="A3942" t="s">
        <v>15</v>
      </c>
      <c r="B3942" t="s">
        <v>16</v>
      </c>
      <c r="C3942" s="13">
        <v>42005</v>
      </c>
      <c r="D3942" s="13">
        <v>42369</v>
      </c>
      <c r="E3942" t="s">
        <v>17</v>
      </c>
      <c r="F3942">
        <v>8</v>
      </c>
      <c r="G3942" t="s">
        <v>501</v>
      </c>
      <c r="H3942">
        <v>40</v>
      </c>
      <c r="I3942" t="s">
        <v>501</v>
      </c>
      <c r="J3942">
        <v>802</v>
      </c>
      <c r="K3942" t="s">
        <v>2862</v>
      </c>
      <c r="L3942" s="13">
        <v>42278</v>
      </c>
      <c r="M3942" t="s">
        <v>2869</v>
      </c>
      <c r="N3942" t="s">
        <v>2870</v>
      </c>
      <c r="O3942">
        <v>247.5</v>
      </c>
      <c r="P3942" t="s">
        <v>508</v>
      </c>
    </row>
    <row r="3943" spans="1:16" x14ac:dyDescent="0.4">
      <c r="A3943" t="s">
        <v>15</v>
      </c>
      <c r="B3943" t="s">
        <v>16</v>
      </c>
      <c r="C3943" s="13">
        <v>42005</v>
      </c>
      <c r="D3943" s="13">
        <v>42369</v>
      </c>
      <c r="E3943" t="s">
        <v>17</v>
      </c>
      <c r="F3943">
        <v>8</v>
      </c>
      <c r="G3943" t="s">
        <v>501</v>
      </c>
      <c r="H3943">
        <v>40</v>
      </c>
      <c r="I3943" t="s">
        <v>501</v>
      </c>
      <c r="J3943">
        <v>805</v>
      </c>
      <c r="K3943" t="s">
        <v>520</v>
      </c>
      <c r="L3943" s="13">
        <v>42320</v>
      </c>
      <c r="M3943" t="s">
        <v>2871</v>
      </c>
      <c r="N3943" t="s">
        <v>2872</v>
      </c>
      <c r="O3943">
        <v>194.06</v>
      </c>
      <c r="P3943" t="s">
        <v>508</v>
      </c>
    </row>
    <row r="3944" spans="1:16" x14ac:dyDescent="0.4">
      <c r="A3944" t="s">
        <v>15</v>
      </c>
      <c r="B3944" t="s">
        <v>16</v>
      </c>
      <c r="C3944" s="13">
        <v>42005</v>
      </c>
      <c r="D3944" s="13">
        <v>42369</v>
      </c>
      <c r="E3944" t="s">
        <v>17</v>
      </c>
      <c r="F3944">
        <v>8</v>
      </c>
      <c r="G3944" t="s">
        <v>501</v>
      </c>
      <c r="H3944">
        <v>40</v>
      </c>
      <c r="I3944" t="s">
        <v>501</v>
      </c>
      <c r="J3944">
        <v>805</v>
      </c>
      <c r="K3944" t="s">
        <v>520</v>
      </c>
      <c r="L3944" s="13">
        <v>42369</v>
      </c>
      <c r="M3944" t="s">
        <v>2873</v>
      </c>
      <c r="N3944" t="s">
        <v>2874</v>
      </c>
      <c r="O3944">
        <v>194.06</v>
      </c>
      <c r="P3944" t="s">
        <v>508</v>
      </c>
    </row>
    <row r="3945" spans="1:16" x14ac:dyDescent="0.4">
      <c r="A3945" t="s">
        <v>15</v>
      </c>
      <c r="B3945" t="s">
        <v>16</v>
      </c>
      <c r="C3945" s="13">
        <v>42005</v>
      </c>
      <c r="D3945" s="13">
        <v>42369</v>
      </c>
      <c r="E3945" t="s">
        <v>17</v>
      </c>
      <c r="F3945">
        <v>11</v>
      </c>
      <c r="G3945" t="s">
        <v>501</v>
      </c>
      <c r="H3945">
        <v>40</v>
      </c>
      <c r="I3945" t="s">
        <v>501</v>
      </c>
      <c r="J3945">
        <v>264</v>
      </c>
      <c r="K3945" t="s">
        <v>502</v>
      </c>
      <c r="L3945" s="13">
        <v>42027</v>
      </c>
      <c r="M3945" t="s">
        <v>2677</v>
      </c>
      <c r="N3945" t="s">
        <v>2803</v>
      </c>
      <c r="O3945">
        <v>25.71</v>
      </c>
      <c r="P3945" t="s">
        <v>565</v>
      </c>
    </row>
    <row r="3946" spans="1:16" x14ac:dyDescent="0.4">
      <c r="A3946" t="s">
        <v>15</v>
      </c>
      <c r="B3946" t="s">
        <v>16</v>
      </c>
      <c r="C3946" s="13">
        <v>42005</v>
      </c>
      <c r="D3946" s="13">
        <v>42369</v>
      </c>
      <c r="E3946" t="s">
        <v>17</v>
      </c>
      <c r="F3946">
        <v>11</v>
      </c>
      <c r="G3946" t="s">
        <v>501</v>
      </c>
      <c r="H3946">
        <v>40</v>
      </c>
      <c r="I3946" t="s">
        <v>501</v>
      </c>
      <c r="J3946">
        <v>264</v>
      </c>
      <c r="K3946" t="s">
        <v>502</v>
      </c>
      <c r="L3946" s="13">
        <v>42089</v>
      </c>
      <c r="M3946" t="s">
        <v>2677</v>
      </c>
      <c r="N3946" t="s">
        <v>2804</v>
      </c>
      <c r="O3946">
        <v>29.14</v>
      </c>
      <c r="P3946" t="s">
        <v>565</v>
      </c>
    </row>
    <row r="3947" spans="1:16" x14ac:dyDescent="0.4">
      <c r="A3947" t="s">
        <v>15</v>
      </c>
      <c r="B3947" t="s">
        <v>16</v>
      </c>
      <c r="C3947" s="13">
        <v>42005</v>
      </c>
      <c r="D3947" s="13">
        <v>42369</v>
      </c>
      <c r="E3947" t="s">
        <v>17</v>
      </c>
      <c r="F3947">
        <v>11</v>
      </c>
      <c r="G3947" t="s">
        <v>501</v>
      </c>
      <c r="H3947">
        <v>40</v>
      </c>
      <c r="I3947" t="s">
        <v>501</v>
      </c>
      <c r="J3947">
        <v>264</v>
      </c>
      <c r="K3947" t="s">
        <v>502</v>
      </c>
      <c r="L3947" s="13">
        <v>42146</v>
      </c>
      <c r="M3947" t="s">
        <v>2677</v>
      </c>
      <c r="N3947" t="s">
        <v>2805</v>
      </c>
      <c r="O3947">
        <v>22.88</v>
      </c>
      <c r="P3947" t="s">
        <v>565</v>
      </c>
    </row>
    <row r="3948" spans="1:16" x14ac:dyDescent="0.4">
      <c r="A3948" t="s">
        <v>15</v>
      </c>
      <c r="B3948" t="s">
        <v>16</v>
      </c>
      <c r="C3948" s="13">
        <v>42005</v>
      </c>
      <c r="D3948" s="13">
        <v>42369</v>
      </c>
      <c r="E3948" t="s">
        <v>17</v>
      </c>
      <c r="F3948">
        <v>11</v>
      </c>
      <c r="G3948" t="s">
        <v>501</v>
      </c>
      <c r="H3948">
        <v>40</v>
      </c>
      <c r="I3948" t="s">
        <v>501</v>
      </c>
      <c r="J3948">
        <v>264</v>
      </c>
      <c r="K3948" t="s">
        <v>502</v>
      </c>
      <c r="L3948" s="13">
        <v>42209</v>
      </c>
      <c r="M3948" t="s">
        <v>2677</v>
      </c>
      <c r="N3948" t="s">
        <v>2806</v>
      </c>
      <c r="O3948">
        <v>22.8</v>
      </c>
      <c r="P3948" t="s">
        <v>565</v>
      </c>
    </row>
    <row r="3949" spans="1:16" x14ac:dyDescent="0.4">
      <c r="A3949" t="s">
        <v>15</v>
      </c>
      <c r="B3949" t="s">
        <v>16</v>
      </c>
      <c r="C3949" s="13">
        <v>42005</v>
      </c>
      <c r="D3949" s="13">
        <v>42369</v>
      </c>
      <c r="E3949" t="s">
        <v>17</v>
      </c>
      <c r="F3949">
        <v>11</v>
      </c>
      <c r="G3949" t="s">
        <v>501</v>
      </c>
      <c r="H3949">
        <v>40</v>
      </c>
      <c r="I3949" t="s">
        <v>501</v>
      </c>
      <c r="J3949">
        <v>264</v>
      </c>
      <c r="K3949" t="s">
        <v>502</v>
      </c>
      <c r="L3949" s="13">
        <v>42273</v>
      </c>
      <c r="M3949" t="s">
        <v>2677</v>
      </c>
      <c r="N3949" t="s">
        <v>2807</v>
      </c>
      <c r="O3949">
        <v>20.67</v>
      </c>
      <c r="P3949" t="s">
        <v>565</v>
      </c>
    </row>
    <row r="3950" spans="1:16" x14ac:dyDescent="0.4">
      <c r="A3950" t="s">
        <v>15</v>
      </c>
      <c r="B3950" t="s">
        <v>16</v>
      </c>
      <c r="C3950" s="13">
        <v>42005</v>
      </c>
      <c r="D3950" s="13">
        <v>42369</v>
      </c>
      <c r="E3950" t="s">
        <v>17</v>
      </c>
      <c r="F3950">
        <v>11</v>
      </c>
      <c r="G3950" t="s">
        <v>501</v>
      </c>
      <c r="H3950">
        <v>40</v>
      </c>
      <c r="I3950" t="s">
        <v>501</v>
      </c>
      <c r="J3950">
        <v>264</v>
      </c>
      <c r="K3950" t="s">
        <v>502</v>
      </c>
      <c r="L3950" s="13">
        <v>42329</v>
      </c>
      <c r="M3950" t="s">
        <v>2677</v>
      </c>
      <c r="N3950" t="s">
        <v>2808</v>
      </c>
      <c r="O3950">
        <v>21.32</v>
      </c>
      <c r="P3950" t="s">
        <v>565</v>
      </c>
    </row>
    <row r="3951" spans="1:16" x14ac:dyDescent="0.4">
      <c r="A3951" t="s">
        <v>15</v>
      </c>
      <c r="B3951" t="s">
        <v>16</v>
      </c>
      <c r="C3951" s="13">
        <v>42005</v>
      </c>
      <c r="D3951" s="13">
        <v>42369</v>
      </c>
      <c r="E3951" t="s">
        <v>17</v>
      </c>
      <c r="F3951">
        <v>11</v>
      </c>
      <c r="G3951" t="s">
        <v>501</v>
      </c>
      <c r="H3951">
        <v>40</v>
      </c>
      <c r="I3951" t="s">
        <v>501</v>
      </c>
      <c r="J3951">
        <v>741</v>
      </c>
      <c r="K3951" t="s">
        <v>505</v>
      </c>
      <c r="L3951" s="13">
        <v>42200</v>
      </c>
      <c r="M3951" t="s">
        <v>2603</v>
      </c>
      <c r="N3951" t="s">
        <v>2623</v>
      </c>
      <c r="O3951">
        <v>177.96</v>
      </c>
      <c r="P3951" t="s">
        <v>2605</v>
      </c>
    </row>
    <row r="3952" spans="1:16" x14ac:dyDescent="0.4">
      <c r="A3952" t="s">
        <v>15</v>
      </c>
      <c r="B3952" t="s">
        <v>16</v>
      </c>
      <c r="C3952" s="13">
        <v>42005</v>
      </c>
      <c r="D3952" s="13">
        <v>42369</v>
      </c>
      <c r="E3952" t="s">
        <v>17</v>
      </c>
      <c r="F3952">
        <v>11</v>
      </c>
      <c r="G3952" t="s">
        <v>501</v>
      </c>
      <c r="H3952">
        <v>40</v>
      </c>
      <c r="I3952" t="s">
        <v>501</v>
      </c>
      <c r="J3952">
        <v>741</v>
      </c>
      <c r="K3952" t="s">
        <v>505</v>
      </c>
      <c r="L3952" s="13">
        <v>42262</v>
      </c>
      <c r="M3952" t="s">
        <v>2603</v>
      </c>
      <c r="N3952" t="s">
        <v>2623</v>
      </c>
      <c r="O3952">
        <v>42.6</v>
      </c>
      <c r="P3952" t="s">
        <v>2605</v>
      </c>
    </row>
    <row r="3953" spans="1:16" x14ac:dyDescent="0.4">
      <c r="A3953" t="s">
        <v>15</v>
      </c>
      <c r="B3953" t="s">
        <v>16</v>
      </c>
      <c r="C3953" s="13">
        <v>42005</v>
      </c>
      <c r="D3953" s="13">
        <v>42369</v>
      </c>
      <c r="E3953" t="s">
        <v>17</v>
      </c>
      <c r="F3953">
        <v>11</v>
      </c>
      <c r="G3953" t="s">
        <v>501</v>
      </c>
      <c r="H3953">
        <v>40</v>
      </c>
      <c r="I3953" t="s">
        <v>501</v>
      </c>
      <c r="J3953">
        <v>741</v>
      </c>
      <c r="K3953" t="s">
        <v>505</v>
      </c>
      <c r="L3953" s="13">
        <v>42324</v>
      </c>
      <c r="M3953" t="s">
        <v>2603</v>
      </c>
      <c r="N3953" t="s">
        <v>2623</v>
      </c>
      <c r="O3953">
        <v>42.6</v>
      </c>
      <c r="P3953" t="s">
        <v>2605</v>
      </c>
    </row>
    <row r="3954" spans="1:16" x14ac:dyDescent="0.4">
      <c r="A3954" t="s">
        <v>15</v>
      </c>
      <c r="B3954" t="s">
        <v>16</v>
      </c>
      <c r="C3954" s="13">
        <v>42005</v>
      </c>
      <c r="D3954" s="13">
        <v>42369</v>
      </c>
      <c r="E3954" t="s">
        <v>17</v>
      </c>
      <c r="F3954">
        <v>11</v>
      </c>
      <c r="G3954" t="s">
        <v>501</v>
      </c>
      <c r="H3954">
        <v>40</v>
      </c>
      <c r="I3954" t="s">
        <v>501</v>
      </c>
      <c r="J3954">
        <v>741</v>
      </c>
      <c r="K3954" t="s">
        <v>505</v>
      </c>
      <c r="L3954" s="13">
        <v>42369</v>
      </c>
      <c r="M3954" t="s">
        <v>2880</v>
      </c>
      <c r="N3954" t="s">
        <v>46</v>
      </c>
      <c r="O3954">
        <v>-131.58000000000001</v>
      </c>
      <c r="P3954" t="s">
        <v>46</v>
      </c>
    </row>
    <row r="3955" spans="1:16" x14ac:dyDescent="0.4">
      <c r="A3955" t="s">
        <v>15</v>
      </c>
      <c r="B3955" t="s">
        <v>16</v>
      </c>
      <c r="C3955" s="13">
        <v>42005</v>
      </c>
      <c r="D3955" s="13">
        <v>42369</v>
      </c>
      <c r="E3955" t="s">
        <v>17</v>
      </c>
      <c r="F3955">
        <v>11</v>
      </c>
      <c r="G3955" t="s">
        <v>501</v>
      </c>
      <c r="H3955">
        <v>40</v>
      </c>
      <c r="I3955" t="s">
        <v>501</v>
      </c>
      <c r="J3955">
        <v>802</v>
      </c>
      <c r="K3955" t="s">
        <v>2862</v>
      </c>
      <c r="L3955" s="13">
        <v>42005</v>
      </c>
      <c r="M3955" t="s">
        <v>2863</v>
      </c>
      <c r="N3955" t="s">
        <v>2864</v>
      </c>
      <c r="O3955">
        <v>373.99</v>
      </c>
      <c r="P3955" t="s">
        <v>2865</v>
      </c>
    </row>
    <row r="3956" spans="1:16" x14ac:dyDescent="0.4">
      <c r="A3956" t="s">
        <v>15</v>
      </c>
      <c r="B3956" t="s">
        <v>16</v>
      </c>
      <c r="C3956" s="13">
        <v>42005</v>
      </c>
      <c r="D3956" s="13">
        <v>42369</v>
      </c>
      <c r="E3956" t="s">
        <v>17</v>
      </c>
      <c r="F3956">
        <v>11</v>
      </c>
      <c r="G3956" t="s">
        <v>501</v>
      </c>
      <c r="H3956">
        <v>40</v>
      </c>
      <c r="I3956" t="s">
        <v>501</v>
      </c>
      <c r="J3956">
        <v>802</v>
      </c>
      <c r="K3956" t="s">
        <v>2862</v>
      </c>
      <c r="L3956" s="13">
        <v>42095</v>
      </c>
      <c r="M3956" t="s">
        <v>2866</v>
      </c>
      <c r="N3956" t="s">
        <v>2867</v>
      </c>
      <c r="O3956">
        <v>373.99</v>
      </c>
      <c r="P3956" t="s">
        <v>2865</v>
      </c>
    </row>
    <row r="3957" spans="1:16" x14ac:dyDescent="0.4">
      <c r="A3957" t="s">
        <v>15</v>
      </c>
      <c r="B3957" t="s">
        <v>16</v>
      </c>
      <c r="C3957" s="13">
        <v>42005</v>
      </c>
      <c r="D3957" s="13">
        <v>42369</v>
      </c>
      <c r="E3957" t="s">
        <v>17</v>
      </c>
      <c r="F3957">
        <v>11</v>
      </c>
      <c r="G3957" t="s">
        <v>501</v>
      </c>
      <c r="H3957">
        <v>40</v>
      </c>
      <c r="I3957" t="s">
        <v>501</v>
      </c>
      <c r="J3957">
        <v>802</v>
      </c>
      <c r="K3957" t="s">
        <v>2862</v>
      </c>
      <c r="L3957" s="13">
        <v>42186</v>
      </c>
      <c r="M3957" t="s">
        <v>2868</v>
      </c>
      <c r="N3957" t="s">
        <v>2881</v>
      </c>
      <c r="O3957">
        <v>247.5</v>
      </c>
      <c r="P3957" t="s">
        <v>508</v>
      </c>
    </row>
    <row r="3958" spans="1:16" x14ac:dyDescent="0.4">
      <c r="A3958" t="s">
        <v>15</v>
      </c>
      <c r="B3958" t="s">
        <v>16</v>
      </c>
      <c r="C3958" s="13">
        <v>42005</v>
      </c>
      <c r="D3958" s="13">
        <v>42369</v>
      </c>
      <c r="E3958" t="s">
        <v>17</v>
      </c>
      <c r="F3958">
        <v>11</v>
      </c>
      <c r="G3958" t="s">
        <v>501</v>
      </c>
      <c r="H3958">
        <v>40</v>
      </c>
      <c r="I3958" t="s">
        <v>501</v>
      </c>
      <c r="J3958">
        <v>802</v>
      </c>
      <c r="K3958" t="s">
        <v>2862</v>
      </c>
      <c r="L3958" s="13">
        <v>42278</v>
      </c>
      <c r="M3958" t="s">
        <v>2869</v>
      </c>
      <c r="N3958" t="s">
        <v>2870</v>
      </c>
      <c r="O3958">
        <v>247.5</v>
      </c>
      <c r="P3958" t="s">
        <v>508</v>
      </c>
    </row>
    <row r="3959" spans="1:16" x14ac:dyDescent="0.4">
      <c r="A3959" t="s">
        <v>15</v>
      </c>
      <c r="B3959" t="s">
        <v>16</v>
      </c>
      <c r="C3959" s="13">
        <v>42005</v>
      </c>
      <c r="D3959" s="13">
        <v>42369</v>
      </c>
      <c r="E3959" t="s">
        <v>17</v>
      </c>
      <c r="F3959">
        <v>11</v>
      </c>
      <c r="G3959" t="s">
        <v>501</v>
      </c>
      <c r="H3959">
        <v>40</v>
      </c>
      <c r="I3959" t="s">
        <v>501</v>
      </c>
      <c r="J3959">
        <v>805</v>
      </c>
      <c r="K3959" t="s">
        <v>520</v>
      </c>
      <c r="L3959" s="13">
        <v>42320</v>
      </c>
      <c r="M3959" t="s">
        <v>2871</v>
      </c>
      <c r="N3959" t="s">
        <v>2872</v>
      </c>
      <c r="O3959">
        <v>194.07</v>
      </c>
      <c r="P3959" t="s">
        <v>508</v>
      </c>
    </row>
    <row r="3960" spans="1:16" x14ac:dyDescent="0.4">
      <c r="A3960" t="s">
        <v>15</v>
      </c>
      <c r="B3960" t="s">
        <v>16</v>
      </c>
      <c r="C3960" s="13">
        <v>42005</v>
      </c>
      <c r="D3960" s="13">
        <v>42369</v>
      </c>
      <c r="E3960" t="s">
        <v>17</v>
      </c>
      <c r="F3960">
        <v>11</v>
      </c>
      <c r="G3960" t="s">
        <v>501</v>
      </c>
      <c r="H3960">
        <v>40</v>
      </c>
      <c r="I3960" t="s">
        <v>501</v>
      </c>
      <c r="J3960">
        <v>805</v>
      </c>
      <c r="K3960" t="s">
        <v>520</v>
      </c>
      <c r="L3960" s="13">
        <v>42369</v>
      </c>
      <c r="M3960" t="s">
        <v>2873</v>
      </c>
      <c r="N3960" t="s">
        <v>2874</v>
      </c>
      <c r="O3960">
        <v>194.07</v>
      </c>
      <c r="P3960" t="s">
        <v>508</v>
      </c>
    </row>
    <row r="3961" spans="1:16" x14ac:dyDescent="0.4">
      <c r="A3961" t="s">
        <v>15</v>
      </c>
      <c r="B3961" t="s">
        <v>16</v>
      </c>
      <c r="C3961" s="13">
        <v>42005</v>
      </c>
      <c r="D3961" s="13">
        <v>42369</v>
      </c>
      <c r="E3961" t="s">
        <v>17</v>
      </c>
      <c r="F3961">
        <v>13</v>
      </c>
      <c r="G3961" t="s">
        <v>560</v>
      </c>
      <c r="H3961">
        <v>50</v>
      </c>
      <c r="I3961" t="s">
        <v>561</v>
      </c>
      <c r="J3961">
        <v>269</v>
      </c>
      <c r="K3961" t="s">
        <v>562</v>
      </c>
      <c r="L3961" s="13">
        <v>42018</v>
      </c>
      <c r="M3961" t="s">
        <v>2882</v>
      </c>
      <c r="N3961" t="s">
        <v>2883</v>
      </c>
      <c r="O3961">
        <v>569.58000000000004</v>
      </c>
      <c r="P3961" t="s">
        <v>565</v>
      </c>
    </row>
    <row r="3962" spans="1:16" x14ac:dyDescent="0.4">
      <c r="A3962" t="s">
        <v>15</v>
      </c>
      <c r="B3962" t="s">
        <v>16</v>
      </c>
      <c r="C3962" s="13">
        <v>42005</v>
      </c>
      <c r="D3962" s="13">
        <v>42369</v>
      </c>
      <c r="E3962" t="s">
        <v>17</v>
      </c>
      <c r="F3962">
        <v>13</v>
      </c>
      <c r="G3962" t="s">
        <v>560</v>
      </c>
      <c r="H3962">
        <v>50</v>
      </c>
      <c r="I3962" t="s">
        <v>561</v>
      </c>
      <c r="J3962">
        <v>269</v>
      </c>
      <c r="K3962" t="s">
        <v>562</v>
      </c>
      <c r="L3962" s="13">
        <v>42046</v>
      </c>
      <c r="M3962" t="s">
        <v>2882</v>
      </c>
      <c r="N3962" t="s">
        <v>2884</v>
      </c>
      <c r="O3962">
        <v>498.05</v>
      </c>
      <c r="P3962" t="s">
        <v>565</v>
      </c>
    </row>
    <row r="3963" spans="1:16" x14ac:dyDescent="0.4">
      <c r="A3963" t="s">
        <v>15</v>
      </c>
      <c r="B3963" t="s">
        <v>16</v>
      </c>
      <c r="C3963" s="13">
        <v>42005</v>
      </c>
      <c r="D3963" s="13">
        <v>42369</v>
      </c>
      <c r="E3963" t="s">
        <v>17</v>
      </c>
      <c r="F3963">
        <v>13</v>
      </c>
      <c r="G3963" t="s">
        <v>560</v>
      </c>
      <c r="H3963">
        <v>50</v>
      </c>
      <c r="I3963" t="s">
        <v>561</v>
      </c>
      <c r="J3963">
        <v>269</v>
      </c>
      <c r="K3963" t="s">
        <v>562</v>
      </c>
      <c r="L3963" s="13">
        <v>42075</v>
      </c>
      <c r="M3963" t="s">
        <v>2882</v>
      </c>
      <c r="N3963" t="s">
        <v>46</v>
      </c>
      <c r="O3963">
        <v>502.25</v>
      </c>
      <c r="P3963" t="s">
        <v>46</v>
      </c>
    </row>
    <row r="3964" spans="1:16" x14ac:dyDescent="0.4">
      <c r="A3964" t="s">
        <v>15</v>
      </c>
      <c r="B3964" t="s">
        <v>16</v>
      </c>
      <c r="C3964" s="13">
        <v>42005</v>
      </c>
      <c r="D3964" s="13">
        <v>42369</v>
      </c>
      <c r="E3964" t="s">
        <v>17</v>
      </c>
      <c r="F3964">
        <v>13</v>
      </c>
      <c r="G3964" t="s">
        <v>560</v>
      </c>
      <c r="H3964">
        <v>50</v>
      </c>
      <c r="I3964" t="s">
        <v>561</v>
      </c>
      <c r="J3964">
        <v>269</v>
      </c>
      <c r="K3964" t="s">
        <v>562</v>
      </c>
      <c r="L3964" s="13">
        <v>42105</v>
      </c>
      <c r="M3964" t="s">
        <v>2882</v>
      </c>
      <c r="N3964" t="s">
        <v>2885</v>
      </c>
      <c r="O3964">
        <v>460.36</v>
      </c>
      <c r="P3964" t="s">
        <v>565</v>
      </c>
    </row>
    <row r="3965" spans="1:16" x14ac:dyDescent="0.4">
      <c r="A3965" t="s">
        <v>15</v>
      </c>
      <c r="B3965" t="s">
        <v>16</v>
      </c>
      <c r="C3965" s="13">
        <v>42005</v>
      </c>
      <c r="D3965" s="13">
        <v>42369</v>
      </c>
      <c r="E3965" t="s">
        <v>17</v>
      </c>
      <c r="F3965">
        <v>13</v>
      </c>
      <c r="G3965" t="s">
        <v>560</v>
      </c>
      <c r="H3965">
        <v>50</v>
      </c>
      <c r="I3965" t="s">
        <v>561</v>
      </c>
      <c r="J3965">
        <v>269</v>
      </c>
      <c r="K3965" t="s">
        <v>562</v>
      </c>
      <c r="L3965" s="13">
        <v>42138</v>
      </c>
      <c r="M3965" t="s">
        <v>2882</v>
      </c>
      <c r="N3965" t="s">
        <v>2886</v>
      </c>
      <c r="O3965">
        <v>382.57</v>
      </c>
      <c r="P3965" t="s">
        <v>565</v>
      </c>
    </row>
    <row r="3966" spans="1:16" x14ac:dyDescent="0.4">
      <c r="A3966" t="s">
        <v>15</v>
      </c>
      <c r="B3966" t="s">
        <v>16</v>
      </c>
      <c r="C3966" s="13">
        <v>42005</v>
      </c>
      <c r="D3966" s="13">
        <v>42369</v>
      </c>
      <c r="E3966" t="s">
        <v>17</v>
      </c>
      <c r="F3966">
        <v>13</v>
      </c>
      <c r="G3966" t="s">
        <v>560</v>
      </c>
      <c r="H3966">
        <v>50</v>
      </c>
      <c r="I3966" t="s">
        <v>561</v>
      </c>
      <c r="J3966">
        <v>269</v>
      </c>
      <c r="K3966" t="s">
        <v>562</v>
      </c>
      <c r="L3966" s="13">
        <v>42166</v>
      </c>
      <c r="M3966" t="s">
        <v>2882</v>
      </c>
      <c r="N3966" t="s">
        <v>2887</v>
      </c>
      <c r="O3966">
        <v>336.97</v>
      </c>
      <c r="P3966" t="s">
        <v>565</v>
      </c>
    </row>
    <row r="3967" spans="1:16" x14ac:dyDescent="0.4">
      <c r="A3967" t="s">
        <v>15</v>
      </c>
      <c r="B3967" t="s">
        <v>16</v>
      </c>
      <c r="C3967" s="13">
        <v>42005</v>
      </c>
      <c r="D3967" s="13">
        <v>42369</v>
      </c>
      <c r="E3967" t="s">
        <v>17</v>
      </c>
      <c r="F3967">
        <v>13</v>
      </c>
      <c r="G3967" t="s">
        <v>560</v>
      </c>
      <c r="H3967">
        <v>50</v>
      </c>
      <c r="I3967" t="s">
        <v>561</v>
      </c>
      <c r="J3967">
        <v>269</v>
      </c>
      <c r="K3967" t="s">
        <v>562</v>
      </c>
      <c r="L3967" s="13">
        <v>42196</v>
      </c>
      <c r="M3967" t="s">
        <v>2882</v>
      </c>
      <c r="N3967" t="s">
        <v>2888</v>
      </c>
      <c r="O3967">
        <v>343.58</v>
      </c>
      <c r="P3967" t="s">
        <v>565</v>
      </c>
    </row>
    <row r="3968" spans="1:16" x14ac:dyDescent="0.4">
      <c r="A3968" t="s">
        <v>15</v>
      </c>
      <c r="B3968" t="s">
        <v>16</v>
      </c>
      <c r="C3968" s="13">
        <v>42005</v>
      </c>
      <c r="D3968" s="13">
        <v>42369</v>
      </c>
      <c r="E3968" t="s">
        <v>17</v>
      </c>
      <c r="F3968">
        <v>13</v>
      </c>
      <c r="G3968" t="s">
        <v>560</v>
      </c>
      <c r="H3968">
        <v>50</v>
      </c>
      <c r="I3968" t="s">
        <v>561</v>
      </c>
      <c r="J3968">
        <v>269</v>
      </c>
      <c r="K3968" t="s">
        <v>562</v>
      </c>
      <c r="L3968" s="13">
        <v>42229</v>
      </c>
      <c r="M3968" t="s">
        <v>2882</v>
      </c>
      <c r="N3968" t="s">
        <v>2889</v>
      </c>
      <c r="O3968">
        <v>313.93</v>
      </c>
      <c r="P3968" t="s">
        <v>565</v>
      </c>
    </row>
    <row r="3969" spans="1:16" x14ac:dyDescent="0.4">
      <c r="A3969" t="s">
        <v>15</v>
      </c>
      <c r="B3969" t="s">
        <v>16</v>
      </c>
      <c r="C3969" s="13">
        <v>42005</v>
      </c>
      <c r="D3969" s="13">
        <v>42369</v>
      </c>
      <c r="E3969" t="s">
        <v>17</v>
      </c>
      <c r="F3969">
        <v>13</v>
      </c>
      <c r="G3969" t="s">
        <v>560</v>
      </c>
      <c r="H3969">
        <v>50</v>
      </c>
      <c r="I3969" t="s">
        <v>561</v>
      </c>
      <c r="J3969">
        <v>269</v>
      </c>
      <c r="K3969" t="s">
        <v>562</v>
      </c>
      <c r="L3969" s="13">
        <v>42258</v>
      </c>
      <c r="M3969" t="s">
        <v>2882</v>
      </c>
      <c r="N3969" t="s">
        <v>2890</v>
      </c>
      <c r="O3969">
        <v>295.95999999999998</v>
      </c>
      <c r="P3969" t="s">
        <v>565</v>
      </c>
    </row>
    <row r="3970" spans="1:16" x14ac:dyDescent="0.4">
      <c r="A3970" t="s">
        <v>15</v>
      </c>
      <c r="B3970" t="s">
        <v>16</v>
      </c>
      <c r="C3970" s="13">
        <v>42005</v>
      </c>
      <c r="D3970" s="13">
        <v>42369</v>
      </c>
      <c r="E3970" t="s">
        <v>17</v>
      </c>
      <c r="F3970">
        <v>13</v>
      </c>
      <c r="G3970" t="s">
        <v>560</v>
      </c>
      <c r="H3970">
        <v>50</v>
      </c>
      <c r="I3970" t="s">
        <v>561</v>
      </c>
      <c r="J3970">
        <v>269</v>
      </c>
      <c r="K3970" t="s">
        <v>562</v>
      </c>
      <c r="L3970" s="13">
        <v>42285</v>
      </c>
      <c r="M3970" t="s">
        <v>2882</v>
      </c>
      <c r="N3970" t="s">
        <v>2891</v>
      </c>
      <c r="O3970">
        <v>323.32</v>
      </c>
      <c r="P3970" t="s">
        <v>565</v>
      </c>
    </row>
    <row r="3971" spans="1:16" x14ac:dyDescent="0.4">
      <c r="A3971" t="s">
        <v>15</v>
      </c>
      <c r="B3971" t="s">
        <v>16</v>
      </c>
      <c r="C3971" s="13">
        <v>42005</v>
      </c>
      <c r="D3971" s="13">
        <v>42369</v>
      </c>
      <c r="E3971" t="s">
        <v>17</v>
      </c>
      <c r="F3971">
        <v>13</v>
      </c>
      <c r="G3971" t="s">
        <v>560</v>
      </c>
      <c r="H3971">
        <v>50</v>
      </c>
      <c r="I3971" t="s">
        <v>561</v>
      </c>
      <c r="J3971">
        <v>269</v>
      </c>
      <c r="K3971" t="s">
        <v>562</v>
      </c>
      <c r="L3971" s="13">
        <v>42321</v>
      </c>
      <c r="M3971" t="s">
        <v>76</v>
      </c>
      <c r="N3971" t="s">
        <v>2892</v>
      </c>
      <c r="O3971">
        <v>471.37</v>
      </c>
      <c r="P3971" t="s">
        <v>565</v>
      </c>
    </row>
    <row r="3972" spans="1:16" x14ac:dyDescent="0.4">
      <c r="A3972" t="s">
        <v>15</v>
      </c>
      <c r="B3972" t="s">
        <v>16</v>
      </c>
      <c r="C3972" s="13">
        <v>42005</v>
      </c>
      <c r="D3972" s="13">
        <v>42369</v>
      </c>
      <c r="E3972" t="s">
        <v>17</v>
      </c>
      <c r="F3972">
        <v>13</v>
      </c>
      <c r="G3972" t="s">
        <v>560</v>
      </c>
      <c r="H3972">
        <v>50</v>
      </c>
      <c r="I3972" t="s">
        <v>561</v>
      </c>
      <c r="J3972">
        <v>269</v>
      </c>
      <c r="K3972" t="s">
        <v>562</v>
      </c>
      <c r="L3972" s="13">
        <v>42349</v>
      </c>
      <c r="M3972" t="s">
        <v>76</v>
      </c>
      <c r="N3972" t="s">
        <v>2893</v>
      </c>
      <c r="O3972">
        <v>431.57</v>
      </c>
      <c r="P3972" t="s">
        <v>565</v>
      </c>
    </row>
    <row r="3973" spans="1:16" x14ac:dyDescent="0.4">
      <c r="A3973" t="s">
        <v>15</v>
      </c>
      <c r="B3973" t="s">
        <v>16</v>
      </c>
      <c r="C3973" s="13">
        <v>42005</v>
      </c>
      <c r="D3973" s="13">
        <v>42369</v>
      </c>
      <c r="E3973" t="s">
        <v>17</v>
      </c>
      <c r="F3973">
        <v>13</v>
      </c>
      <c r="G3973" t="s">
        <v>560</v>
      </c>
      <c r="H3973">
        <v>50</v>
      </c>
      <c r="I3973" t="s">
        <v>561</v>
      </c>
      <c r="J3973">
        <v>286</v>
      </c>
      <c r="K3973" t="s">
        <v>588</v>
      </c>
      <c r="L3973" s="13">
        <v>42369</v>
      </c>
      <c r="M3973" t="s">
        <v>2894</v>
      </c>
      <c r="N3973" t="s">
        <v>86</v>
      </c>
      <c r="O3973">
        <v>1130.29</v>
      </c>
      <c r="P3973" t="s">
        <v>46</v>
      </c>
    </row>
    <row r="3974" spans="1:16" x14ac:dyDescent="0.4">
      <c r="A3974" t="s">
        <v>15</v>
      </c>
      <c r="B3974" t="s">
        <v>16</v>
      </c>
      <c r="C3974" s="13">
        <v>42005</v>
      </c>
      <c r="D3974" s="13">
        <v>42369</v>
      </c>
      <c r="E3974" t="s">
        <v>17</v>
      </c>
      <c r="F3974">
        <v>14</v>
      </c>
      <c r="G3974" t="s">
        <v>560</v>
      </c>
      <c r="H3974">
        <v>50</v>
      </c>
      <c r="I3974" t="s">
        <v>561</v>
      </c>
      <c r="J3974">
        <v>269</v>
      </c>
      <c r="K3974" t="s">
        <v>562</v>
      </c>
      <c r="L3974" s="13">
        <v>42010</v>
      </c>
      <c r="M3974" t="s">
        <v>2882</v>
      </c>
      <c r="N3974" t="s">
        <v>2895</v>
      </c>
      <c r="O3974">
        <v>434.7</v>
      </c>
      <c r="P3974" t="s">
        <v>565</v>
      </c>
    </row>
    <row r="3975" spans="1:16" x14ac:dyDescent="0.4">
      <c r="A3975" t="s">
        <v>15</v>
      </c>
      <c r="B3975" t="s">
        <v>16</v>
      </c>
      <c r="C3975" s="13">
        <v>42005</v>
      </c>
      <c r="D3975" s="13">
        <v>42369</v>
      </c>
      <c r="E3975" t="s">
        <v>17</v>
      </c>
      <c r="F3975">
        <v>14</v>
      </c>
      <c r="G3975" t="s">
        <v>560</v>
      </c>
      <c r="H3975">
        <v>50</v>
      </c>
      <c r="I3975" t="s">
        <v>561</v>
      </c>
      <c r="J3975">
        <v>269</v>
      </c>
      <c r="K3975" t="s">
        <v>562</v>
      </c>
      <c r="L3975" s="13">
        <v>42038</v>
      </c>
      <c r="M3975" t="s">
        <v>2882</v>
      </c>
      <c r="N3975" t="s">
        <v>2896</v>
      </c>
      <c r="O3975">
        <v>326.18</v>
      </c>
      <c r="P3975" t="s">
        <v>565</v>
      </c>
    </row>
    <row r="3976" spans="1:16" x14ac:dyDescent="0.4">
      <c r="A3976" t="s">
        <v>15</v>
      </c>
      <c r="B3976" t="s">
        <v>16</v>
      </c>
      <c r="C3976" s="13">
        <v>42005</v>
      </c>
      <c r="D3976" s="13">
        <v>42369</v>
      </c>
      <c r="E3976" t="s">
        <v>17</v>
      </c>
      <c r="F3976">
        <v>14</v>
      </c>
      <c r="G3976" t="s">
        <v>560</v>
      </c>
      <c r="H3976">
        <v>50</v>
      </c>
      <c r="I3976" t="s">
        <v>561</v>
      </c>
      <c r="J3976">
        <v>269</v>
      </c>
      <c r="K3976" t="s">
        <v>562</v>
      </c>
      <c r="L3976" s="13">
        <v>42068</v>
      </c>
      <c r="M3976" t="s">
        <v>2882</v>
      </c>
      <c r="N3976" t="s">
        <v>2897</v>
      </c>
      <c r="O3976">
        <v>411.34</v>
      </c>
      <c r="P3976" t="s">
        <v>565</v>
      </c>
    </row>
    <row r="3977" spans="1:16" x14ac:dyDescent="0.4">
      <c r="A3977" t="s">
        <v>15</v>
      </c>
      <c r="B3977" t="s">
        <v>16</v>
      </c>
      <c r="C3977" s="13">
        <v>42005</v>
      </c>
      <c r="D3977" s="13">
        <v>42369</v>
      </c>
      <c r="E3977" t="s">
        <v>17</v>
      </c>
      <c r="F3977">
        <v>14</v>
      </c>
      <c r="G3977" t="s">
        <v>560</v>
      </c>
      <c r="H3977">
        <v>50</v>
      </c>
      <c r="I3977" t="s">
        <v>561</v>
      </c>
      <c r="J3977">
        <v>269</v>
      </c>
      <c r="K3977" t="s">
        <v>562</v>
      </c>
      <c r="L3977" s="13">
        <v>42096</v>
      </c>
      <c r="M3977" t="s">
        <v>2882</v>
      </c>
      <c r="N3977" t="s">
        <v>2898</v>
      </c>
      <c r="O3977">
        <v>316.3</v>
      </c>
      <c r="P3977" t="s">
        <v>565</v>
      </c>
    </row>
    <row r="3978" spans="1:16" x14ac:dyDescent="0.4">
      <c r="A3978" t="s">
        <v>15</v>
      </c>
      <c r="B3978" t="s">
        <v>16</v>
      </c>
      <c r="C3978" s="13">
        <v>42005</v>
      </c>
      <c r="D3978" s="13">
        <v>42369</v>
      </c>
      <c r="E3978" t="s">
        <v>17</v>
      </c>
      <c r="F3978">
        <v>14</v>
      </c>
      <c r="G3978" t="s">
        <v>560</v>
      </c>
      <c r="H3978">
        <v>50</v>
      </c>
      <c r="I3978" t="s">
        <v>561</v>
      </c>
      <c r="J3978">
        <v>269</v>
      </c>
      <c r="K3978" t="s">
        <v>562</v>
      </c>
      <c r="L3978" s="13">
        <v>42131</v>
      </c>
      <c r="M3978" t="s">
        <v>2882</v>
      </c>
      <c r="N3978" t="s">
        <v>2899</v>
      </c>
      <c r="O3978">
        <v>255.36</v>
      </c>
      <c r="P3978" t="s">
        <v>565</v>
      </c>
    </row>
    <row r="3979" spans="1:16" x14ac:dyDescent="0.4">
      <c r="A3979" t="s">
        <v>15</v>
      </c>
      <c r="B3979" t="s">
        <v>16</v>
      </c>
      <c r="C3979" s="13">
        <v>42005</v>
      </c>
      <c r="D3979" s="13">
        <v>42369</v>
      </c>
      <c r="E3979" t="s">
        <v>17</v>
      </c>
      <c r="F3979">
        <v>14</v>
      </c>
      <c r="G3979" t="s">
        <v>560</v>
      </c>
      <c r="H3979">
        <v>50</v>
      </c>
      <c r="I3979" t="s">
        <v>561</v>
      </c>
      <c r="J3979">
        <v>269</v>
      </c>
      <c r="K3979" t="s">
        <v>562</v>
      </c>
      <c r="L3979" s="13">
        <v>42157</v>
      </c>
      <c r="M3979" t="s">
        <v>2882</v>
      </c>
      <c r="N3979" t="s">
        <v>2900</v>
      </c>
      <c r="O3979">
        <v>231.97</v>
      </c>
      <c r="P3979" t="s">
        <v>565</v>
      </c>
    </row>
    <row r="3980" spans="1:16" x14ac:dyDescent="0.4">
      <c r="A3980" t="s">
        <v>15</v>
      </c>
      <c r="B3980" t="s">
        <v>16</v>
      </c>
      <c r="C3980" s="13">
        <v>42005</v>
      </c>
      <c r="D3980" s="13">
        <v>42369</v>
      </c>
      <c r="E3980" t="s">
        <v>17</v>
      </c>
      <c r="F3980">
        <v>14</v>
      </c>
      <c r="G3980" t="s">
        <v>560</v>
      </c>
      <c r="H3980">
        <v>50</v>
      </c>
      <c r="I3980" t="s">
        <v>561</v>
      </c>
      <c r="J3980">
        <v>269</v>
      </c>
      <c r="K3980" t="s">
        <v>562</v>
      </c>
      <c r="L3980" s="13">
        <v>42187</v>
      </c>
      <c r="M3980" t="s">
        <v>2882</v>
      </c>
      <c r="N3980" t="s">
        <v>46</v>
      </c>
      <c r="O3980">
        <v>214.74</v>
      </c>
      <c r="P3980" t="s">
        <v>46</v>
      </c>
    </row>
    <row r="3981" spans="1:16" x14ac:dyDescent="0.4">
      <c r="A3981" t="s">
        <v>15</v>
      </c>
      <c r="B3981" t="s">
        <v>16</v>
      </c>
      <c r="C3981" s="13">
        <v>42005</v>
      </c>
      <c r="D3981" s="13">
        <v>42369</v>
      </c>
      <c r="E3981" t="s">
        <v>17</v>
      </c>
      <c r="F3981">
        <v>14</v>
      </c>
      <c r="G3981" t="s">
        <v>560</v>
      </c>
      <c r="H3981">
        <v>50</v>
      </c>
      <c r="I3981" t="s">
        <v>561</v>
      </c>
      <c r="J3981">
        <v>269</v>
      </c>
      <c r="K3981" t="s">
        <v>562</v>
      </c>
      <c r="L3981" s="13">
        <v>42218</v>
      </c>
      <c r="M3981" t="s">
        <v>2882</v>
      </c>
      <c r="N3981" t="s">
        <v>2901</v>
      </c>
      <c r="O3981">
        <v>204.56</v>
      </c>
      <c r="P3981" t="s">
        <v>565</v>
      </c>
    </row>
    <row r="3982" spans="1:16" x14ac:dyDescent="0.4">
      <c r="A3982" t="s">
        <v>15</v>
      </c>
      <c r="B3982" t="s">
        <v>16</v>
      </c>
      <c r="C3982" s="13">
        <v>42005</v>
      </c>
      <c r="D3982" s="13">
        <v>42369</v>
      </c>
      <c r="E3982" t="s">
        <v>17</v>
      </c>
      <c r="F3982">
        <v>14</v>
      </c>
      <c r="G3982" t="s">
        <v>560</v>
      </c>
      <c r="H3982">
        <v>50</v>
      </c>
      <c r="I3982" t="s">
        <v>561</v>
      </c>
      <c r="J3982">
        <v>269</v>
      </c>
      <c r="K3982" t="s">
        <v>562</v>
      </c>
      <c r="L3982" s="13">
        <v>42249</v>
      </c>
      <c r="M3982" t="s">
        <v>2882</v>
      </c>
      <c r="N3982" t="s">
        <v>46</v>
      </c>
      <c r="O3982">
        <v>233.08</v>
      </c>
      <c r="P3982" t="s">
        <v>46</v>
      </c>
    </row>
    <row r="3983" spans="1:16" x14ac:dyDescent="0.4">
      <c r="A3983" t="s">
        <v>15</v>
      </c>
      <c r="B3983" t="s">
        <v>16</v>
      </c>
      <c r="C3983" s="13">
        <v>42005</v>
      </c>
      <c r="D3983" s="13">
        <v>42369</v>
      </c>
      <c r="E3983" t="s">
        <v>17</v>
      </c>
      <c r="F3983">
        <v>14</v>
      </c>
      <c r="G3983" t="s">
        <v>560</v>
      </c>
      <c r="H3983">
        <v>50</v>
      </c>
      <c r="I3983" t="s">
        <v>561</v>
      </c>
      <c r="J3983">
        <v>269</v>
      </c>
      <c r="K3983" t="s">
        <v>562</v>
      </c>
      <c r="L3983" s="13">
        <v>42279</v>
      </c>
      <c r="M3983" t="s">
        <v>2882</v>
      </c>
      <c r="N3983" t="s">
        <v>2902</v>
      </c>
      <c r="O3983">
        <v>220.38</v>
      </c>
      <c r="P3983" t="s">
        <v>565</v>
      </c>
    </row>
    <row r="3984" spans="1:16" x14ac:dyDescent="0.4">
      <c r="A3984" t="s">
        <v>15</v>
      </c>
      <c r="B3984" t="s">
        <v>16</v>
      </c>
      <c r="C3984" s="13">
        <v>42005</v>
      </c>
      <c r="D3984" s="13">
        <v>42369</v>
      </c>
      <c r="E3984" t="s">
        <v>17</v>
      </c>
      <c r="F3984">
        <v>14</v>
      </c>
      <c r="G3984" t="s">
        <v>560</v>
      </c>
      <c r="H3984">
        <v>50</v>
      </c>
      <c r="I3984" t="s">
        <v>561</v>
      </c>
      <c r="J3984">
        <v>269</v>
      </c>
      <c r="K3984" t="s">
        <v>562</v>
      </c>
      <c r="L3984" s="13">
        <v>42311</v>
      </c>
      <c r="M3984" t="s">
        <v>2882</v>
      </c>
      <c r="N3984" t="s">
        <v>2903</v>
      </c>
      <c r="O3984">
        <v>263</v>
      </c>
      <c r="P3984" t="s">
        <v>565</v>
      </c>
    </row>
    <row r="3985" spans="1:16" x14ac:dyDescent="0.4">
      <c r="A3985" t="s">
        <v>15</v>
      </c>
      <c r="B3985" t="s">
        <v>16</v>
      </c>
      <c r="C3985" s="13">
        <v>42005</v>
      </c>
      <c r="D3985" s="13">
        <v>42369</v>
      </c>
      <c r="E3985" t="s">
        <v>17</v>
      </c>
      <c r="F3985">
        <v>14</v>
      </c>
      <c r="G3985" t="s">
        <v>560</v>
      </c>
      <c r="H3985">
        <v>50</v>
      </c>
      <c r="I3985" t="s">
        <v>561</v>
      </c>
      <c r="J3985">
        <v>269</v>
      </c>
      <c r="K3985" t="s">
        <v>562</v>
      </c>
      <c r="L3985" s="13">
        <v>42341</v>
      </c>
      <c r="M3985" t="s">
        <v>2882</v>
      </c>
      <c r="N3985" t="s">
        <v>2904</v>
      </c>
      <c r="O3985">
        <v>357.44</v>
      </c>
      <c r="P3985" t="s">
        <v>565</v>
      </c>
    </row>
    <row r="3986" spans="1:16" x14ac:dyDescent="0.4">
      <c r="A3986" t="s">
        <v>15</v>
      </c>
      <c r="B3986" t="s">
        <v>16</v>
      </c>
      <c r="C3986" s="13">
        <v>42005</v>
      </c>
      <c r="D3986" s="13">
        <v>42369</v>
      </c>
      <c r="E3986" t="s">
        <v>17</v>
      </c>
      <c r="F3986">
        <v>14</v>
      </c>
      <c r="G3986" t="s">
        <v>560</v>
      </c>
      <c r="H3986">
        <v>50</v>
      </c>
      <c r="I3986" t="s">
        <v>561</v>
      </c>
      <c r="J3986">
        <v>286</v>
      </c>
      <c r="K3986" t="s">
        <v>588</v>
      </c>
      <c r="L3986" s="13">
        <v>42369</v>
      </c>
      <c r="M3986" t="s">
        <v>2905</v>
      </c>
      <c r="N3986" t="s">
        <v>86</v>
      </c>
      <c r="O3986">
        <v>1126.68</v>
      </c>
      <c r="P3986" t="s">
        <v>46</v>
      </c>
    </row>
    <row r="3987" spans="1:16" x14ac:dyDescent="0.4">
      <c r="A3987" t="s">
        <v>15</v>
      </c>
      <c r="B3987" t="s">
        <v>16</v>
      </c>
      <c r="C3987" s="13">
        <v>42005</v>
      </c>
      <c r="D3987" s="13">
        <v>42369</v>
      </c>
      <c r="E3987" t="s">
        <v>17</v>
      </c>
      <c r="F3987">
        <v>15</v>
      </c>
      <c r="G3987" t="s">
        <v>560</v>
      </c>
      <c r="H3987">
        <v>50</v>
      </c>
      <c r="I3987" t="s">
        <v>561</v>
      </c>
      <c r="J3987">
        <v>269</v>
      </c>
      <c r="K3987" t="s">
        <v>562</v>
      </c>
      <c r="L3987" s="13">
        <v>42010</v>
      </c>
      <c r="M3987" t="s">
        <v>2882</v>
      </c>
      <c r="N3987" t="s">
        <v>2895</v>
      </c>
      <c r="O3987">
        <v>434.7</v>
      </c>
      <c r="P3987" t="s">
        <v>565</v>
      </c>
    </row>
    <row r="3988" spans="1:16" x14ac:dyDescent="0.4">
      <c r="A3988" t="s">
        <v>15</v>
      </c>
      <c r="B3988" t="s">
        <v>16</v>
      </c>
      <c r="C3988" s="13">
        <v>42005</v>
      </c>
      <c r="D3988" s="13">
        <v>42369</v>
      </c>
      <c r="E3988" t="s">
        <v>17</v>
      </c>
      <c r="F3988">
        <v>15</v>
      </c>
      <c r="G3988" t="s">
        <v>560</v>
      </c>
      <c r="H3988">
        <v>50</v>
      </c>
      <c r="I3988" t="s">
        <v>561</v>
      </c>
      <c r="J3988">
        <v>269</v>
      </c>
      <c r="K3988" t="s">
        <v>562</v>
      </c>
      <c r="L3988" s="13">
        <v>42038</v>
      </c>
      <c r="M3988" t="s">
        <v>2882</v>
      </c>
      <c r="N3988" t="s">
        <v>2896</v>
      </c>
      <c r="O3988">
        <v>326.19</v>
      </c>
      <c r="P3988" t="s">
        <v>565</v>
      </c>
    </row>
    <row r="3989" spans="1:16" x14ac:dyDescent="0.4">
      <c r="A3989" t="s">
        <v>15</v>
      </c>
      <c r="B3989" t="s">
        <v>16</v>
      </c>
      <c r="C3989" s="13">
        <v>42005</v>
      </c>
      <c r="D3989" s="13">
        <v>42369</v>
      </c>
      <c r="E3989" t="s">
        <v>17</v>
      </c>
      <c r="F3989">
        <v>15</v>
      </c>
      <c r="G3989" t="s">
        <v>560</v>
      </c>
      <c r="H3989">
        <v>50</v>
      </c>
      <c r="I3989" t="s">
        <v>561</v>
      </c>
      <c r="J3989">
        <v>269</v>
      </c>
      <c r="K3989" t="s">
        <v>562</v>
      </c>
      <c r="L3989" s="13">
        <v>42068</v>
      </c>
      <c r="M3989" t="s">
        <v>2882</v>
      </c>
      <c r="N3989" t="s">
        <v>2897</v>
      </c>
      <c r="O3989">
        <v>411.34</v>
      </c>
      <c r="P3989" t="s">
        <v>565</v>
      </c>
    </row>
    <row r="3990" spans="1:16" x14ac:dyDescent="0.4">
      <c r="A3990" t="s">
        <v>15</v>
      </c>
      <c r="B3990" t="s">
        <v>16</v>
      </c>
      <c r="C3990" s="13">
        <v>42005</v>
      </c>
      <c r="D3990" s="13">
        <v>42369</v>
      </c>
      <c r="E3990" t="s">
        <v>17</v>
      </c>
      <c r="F3990">
        <v>15</v>
      </c>
      <c r="G3990" t="s">
        <v>560</v>
      </c>
      <c r="H3990">
        <v>50</v>
      </c>
      <c r="I3990" t="s">
        <v>561</v>
      </c>
      <c r="J3990">
        <v>269</v>
      </c>
      <c r="K3990" t="s">
        <v>562</v>
      </c>
      <c r="L3990" s="13">
        <v>42096</v>
      </c>
      <c r="M3990" t="s">
        <v>2882</v>
      </c>
      <c r="N3990" t="s">
        <v>2898</v>
      </c>
      <c r="O3990">
        <v>316.3</v>
      </c>
      <c r="P3990" t="s">
        <v>565</v>
      </c>
    </row>
    <row r="3991" spans="1:16" x14ac:dyDescent="0.4">
      <c r="A3991" t="s">
        <v>15</v>
      </c>
      <c r="B3991" t="s">
        <v>16</v>
      </c>
      <c r="C3991" s="13">
        <v>42005</v>
      </c>
      <c r="D3991" s="13">
        <v>42369</v>
      </c>
      <c r="E3991" t="s">
        <v>17</v>
      </c>
      <c r="F3991">
        <v>15</v>
      </c>
      <c r="G3991" t="s">
        <v>560</v>
      </c>
      <c r="H3991">
        <v>50</v>
      </c>
      <c r="I3991" t="s">
        <v>561</v>
      </c>
      <c r="J3991">
        <v>269</v>
      </c>
      <c r="K3991" t="s">
        <v>562</v>
      </c>
      <c r="L3991" s="13">
        <v>42131</v>
      </c>
      <c r="M3991" t="s">
        <v>2882</v>
      </c>
      <c r="N3991" t="s">
        <v>2899</v>
      </c>
      <c r="O3991">
        <v>255.36</v>
      </c>
      <c r="P3991" t="s">
        <v>565</v>
      </c>
    </row>
    <row r="3992" spans="1:16" x14ac:dyDescent="0.4">
      <c r="A3992" t="s">
        <v>15</v>
      </c>
      <c r="B3992" t="s">
        <v>16</v>
      </c>
      <c r="C3992" s="13">
        <v>42005</v>
      </c>
      <c r="D3992" s="13">
        <v>42369</v>
      </c>
      <c r="E3992" t="s">
        <v>17</v>
      </c>
      <c r="F3992">
        <v>15</v>
      </c>
      <c r="G3992" t="s">
        <v>560</v>
      </c>
      <c r="H3992">
        <v>50</v>
      </c>
      <c r="I3992" t="s">
        <v>561</v>
      </c>
      <c r="J3992">
        <v>269</v>
      </c>
      <c r="K3992" t="s">
        <v>562</v>
      </c>
      <c r="L3992" s="13">
        <v>42157</v>
      </c>
      <c r="M3992" t="s">
        <v>2882</v>
      </c>
      <c r="N3992" t="s">
        <v>2900</v>
      </c>
      <c r="O3992">
        <v>231.97</v>
      </c>
      <c r="P3992" t="s">
        <v>565</v>
      </c>
    </row>
    <row r="3993" spans="1:16" x14ac:dyDescent="0.4">
      <c r="A3993" t="s">
        <v>15</v>
      </c>
      <c r="B3993" t="s">
        <v>16</v>
      </c>
      <c r="C3993" s="13">
        <v>42005</v>
      </c>
      <c r="D3993" s="13">
        <v>42369</v>
      </c>
      <c r="E3993" t="s">
        <v>17</v>
      </c>
      <c r="F3993">
        <v>15</v>
      </c>
      <c r="G3993" t="s">
        <v>560</v>
      </c>
      <c r="H3993">
        <v>50</v>
      </c>
      <c r="I3993" t="s">
        <v>561</v>
      </c>
      <c r="J3993">
        <v>269</v>
      </c>
      <c r="K3993" t="s">
        <v>562</v>
      </c>
      <c r="L3993" s="13">
        <v>42187</v>
      </c>
      <c r="M3993" t="s">
        <v>2882</v>
      </c>
      <c r="N3993" t="s">
        <v>46</v>
      </c>
      <c r="O3993">
        <v>214.73</v>
      </c>
      <c r="P3993" t="s">
        <v>46</v>
      </c>
    </row>
    <row r="3994" spans="1:16" x14ac:dyDescent="0.4">
      <c r="A3994" t="s">
        <v>15</v>
      </c>
      <c r="B3994" t="s">
        <v>16</v>
      </c>
      <c r="C3994" s="13">
        <v>42005</v>
      </c>
      <c r="D3994" s="13">
        <v>42369</v>
      </c>
      <c r="E3994" t="s">
        <v>17</v>
      </c>
      <c r="F3994">
        <v>15</v>
      </c>
      <c r="G3994" t="s">
        <v>560</v>
      </c>
      <c r="H3994">
        <v>50</v>
      </c>
      <c r="I3994" t="s">
        <v>561</v>
      </c>
      <c r="J3994">
        <v>269</v>
      </c>
      <c r="K3994" t="s">
        <v>562</v>
      </c>
      <c r="L3994" s="13">
        <v>42218</v>
      </c>
      <c r="M3994" t="s">
        <v>2882</v>
      </c>
      <c r="N3994" t="s">
        <v>2901</v>
      </c>
      <c r="O3994">
        <v>204.56</v>
      </c>
      <c r="P3994" t="s">
        <v>565</v>
      </c>
    </row>
    <row r="3995" spans="1:16" x14ac:dyDescent="0.4">
      <c r="A3995" t="s">
        <v>15</v>
      </c>
      <c r="B3995" t="s">
        <v>16</v>
      </c>
      <c r="C3995" s="13">
        <v>42005</v>
      </c>
      <c r="D3995" s="13">
        <v>42369</v>
      </c>
      <c r="E3995" t="s">
        <v>17</v>
      </c>
      <c r="F3995">
        <v>15</v>
      </c>
      <c r="G3995" t="s">
        <v>560</v>
      </c>
      <c r="H3995">
        <v>50</v>
      </c>
      <c r="I3995" t="s">
        <v>561</v>
      </c>
      <c r="J3995">
        <v>269</v>
      </c>
      <c r="K3995" t="s">
        <v>562</v>
      </c>
      <c r="L3995" s="13">
        <v>42249</v>
      </c>
      <c r="M3995" t="s">
        <v>2882</v>
      </c>
      <c r="N3995" t="s">
        <v>46</v>
      </c>
      <c r="O3995">
        <v>233.08</v>
      </c>
      <c r="P3995" t="s">
        <v>46</v>
      </c>
    </row>
    <row r="3996" spans="1:16" x14ac:dyDescent="0.4">
      <c r="A3996" t="s">
        <v>15</v>
      </c>
      <c r="B3996" t="s">
        <v>16</v>
      </c>
      <c r="C3996" s="13">
        <v>42005</v>
      </c>
      <c r="D3996" s="13">
        <v>42369</v>
      </c>
      <c r="E3996" t="s">
        <v>17</v>
      </c>
      <c r="F3996">
        <v>15</v>
      </c>
      <c r="G3996" t="s">
        <v>560</v>
      </c>
      <c r="H3996">
        <v>50</v>
      </c>
      <c r="I3996" t="s">
        <v>561</v>
      </c>
      <c r="J3996">
        <v>269</v>
      </c>
      <c r="K3996" t="s">
        <v>562</v>
      </c>
      <c r="L3996" s="13">
        <v>42279</v>
      </c>
      <c r="M3996" t="s">
        <v>2882</v>
      </c>
      <c r="N3996" t="s">
        <v>2902</v>
      </c>
      <c r="O3996">
        <v>220.37</v>
      </c>
      <c r="P3996" t="s">
        <v>565</v>
      </c>
    </row>
    <row r="3997" spans="1:16" x14ac:dyDescent="0.4">
      <c r="A3997" t="s">
        <v>15</v>
      </c>
      <c r="B3997" t="s">
        <v>16</v>
      </c>
      <c r="C3997" s="13">
        <v>42005</v>
      </c>
      <c r="D3997" s="13">
        <v>42369</v>
      </c>
      <c r="E3997" t="s">
        <v>17</v>
      </c>
      <c r="F3997">
        <v>15</v>
      </c>
      <c r="G3997" t="s">
        <v>560</v>
      </c>
      <c r="H3997">
        <v>50</v>
      </c>
      <c r="I3997" t="s">
        <v>561</v>
      </c>
      <c r="J3997">
        <v>269</v>
      </c>
      <c r="K3997" t="s">
        <v>562</v>
      </c>
      <c r="L3997" s="13">
        <v>42311</v>
      </c>
      <c r="M3997" t="s">
        <v>2882</v>
      </c>
      <c r="N3997" t="s">
        <v>2903</v>
      </c>
      <c r="O3997">
        <v>263.01</v>
      </c>
      <c r="P3997" t="s">
        <v>565</v>
      </c>
    </row>
    <row r="3998" spans="1:16" x14ac:dyDescent="0.4">
      <c r="A3998" t="s">
        <v>15</v>
      </c>
      <c r="B3998" t="s">
        <v>16</v>
      </c>
      <c r="C3998" s="13">
        <v>42005</v>
      </c>
      <c r="D3998" s="13">
        <v>42369</v>
      </c>
      <c r="E3998" t="s">
        <v>17</v>
      </c>
      <c r="F3998">
        <v>15</v>
      </c>
      <c r="G3998" t="s">
        <v>560</v>
      </c>
      <c r="H3998">
        <v>50</v>
      </c>
      <c r="I3998" t="s">
        <v>561</v>
      </c>
      <c r="J3998">
        <v>269</v>
      </c>
      <c r="K3998" t="s">
        <v>562</v>
      </c>
      <c r="L3998" s="13">
        <v>42341</v>
      </c>
      <c r="M3998" t="s">
        <v>2882</v>
      </c>
      <c r="N3998" t="s">
        <v>2904</v>
      </c>
      <c r="O3998">
        <v>357.45</v>
      </c>
      <c r="P3998" t="s">
        <v>565</v>
      </c>
    </row>
    <row r="3999" spans="1:16" x14ac:dyDescent="0.4">
      <c r="A3999" t="s">
        <v>15</v>
      </c>
      <c r="B3999" t="s">
        <v>16</v>
      </c>
      <c r="C3999" s="13">
        <v>42005</v>
      </c>
      <c r="D3999" s="13">
        <v>42369</v>
      </c>
      <c r="E3999" t="s">
        <v>17</v>
      </c>
      <c r="F3999">
        <v>15</v>
      </c>
      <c r="G3999" t="s">
        <v>560</v>
      </c>
      <c r="H3999">
        <v>50</v>
      </c>
      <c r="I3999" t="s">
        <v>561</v>
      </c>
      <c r="J3999">
        <v>286</v>
      </c>
      <c r="K3999" t="s">
        <v>588</v>
      </c>
      <c r="L3999" s="13">
        <v>42369</v>
      </c>
      <c r="M3999" t="s">
        <v>2906</v>
      </c>
      <c r="N3999" t="s">
        <v>86</v>
      </c>
      <c r="O3999">
        <v>1336.12</v>
      </c>
      <c r="P3999" t="s">
        <v>46</v>
      </c>
    </row>
    <row r="4000" spans="1:16" x14ac:dyDescent="0.4">
      <c r="A4000" t="s">
        <v>15</v>
      </c>
      <c r="B4000" t="s">
        <v>16</v>
      </c>
      <c r="C4000" s="13">
        <v>42005</v>
      </c>
      <c r="D4000" s="13">
        <v>42369</v>
      </c>
      <c r="E4000" t="s">
        <v>17</v>
      </c>
      <c r="F4000">
        <v>15</v>
      </c>
      <c r="G4000" t="s">
        <v>560</v>
      </c>
      <c r="H4000">
        <v>50</v>
      </c>
      <c r="I4000" t="s">
        <v>561</v>
      </c>
      <c r="J4000">
        <v>289</v>
      </c>
      <c r="K4000" t="s">
        <v>615</v>
      </c>
      <c r="L4000" s="13">
        <v>42369</v>
      </c>
      <c r="M4000" t="s">
        <v>616</v>
      </c>
      <c r="N4000" t="s">
        <v>98</v>
      </c>
      <c r="O4000">
        <v>-54.06</v>
      </c>
      <c r="P4000" t="s">
        <v>46</v>
      </c>
    </row>
    <row r="4001" spans="1:16" x14ac:dyDescent="0.4">
      <c r="A4001" t="s">
        <v>15</v>
      </c>
      <c r="B4001" t="s">
        <v>16</v>
      </c>
      <c r="C4001" s="13">
        <v>42005</v>
      </c>
      <c r="D4001" s="13">
        <v>42369</v>
      </c>
      <c r="E4001" t="s">
        <v>30</v>
      </c>
      <c r="F4001">
        <v>16</v>
      </c>
      <c r="G4001" t="s">
        <v>617</v>
      </c>
      <c r="H4001">
        <v>6</v>
      </c>
      <c r="I4001" t="s">
        <v>618</v>
      </c>
      <c r="J4001">
        <v>106</v>
      </c>
      <c r="K4001" t="s">
        <v>422</v>
      </c>
      <c r="L4001" s="13">
        <v>42292</v>
      </c>
      <c r="M4001" t="s">
        <v>2907</v>
      </c>
      <c r="N4001" t="s">
        <v>2908</v>
      </c>
      <c r="O4001">
        <v>323.39999999999998</v>
      </c>
      <c r="P4001" t="s">
        <v>2909</v>
      </c>
    </row>
    <row r="4002" spans="1:16" x14ac:dyDescent="0.4">
      <c r="A4002" t="s">
        <v>15</v>
      </c>
      <c r="B4002" t="s">
        <v>16</v>
      </c>
      <c r="C4002" s="13">
        <v>42005</v>
      </c>
      <c r="D4002" s="13">
        <v>42369</v>
      </c>
      <c r="E4002" t="s">
        <v>17</v>
      </c>
      <c r="F4002">
        <v>16</v>
      </c>
      <c r="G4002" t="s">
        <v>617</v>
      </c>
      <c r="H4002">
        <v>6</v>
      </c>
      <c r="I4002" t="s">
        <v>618</v>
      </c>
      <c r="J4002">
        <v>115</v>
      </c>
      <c r="K4002" t="s">
        <v>1416</v>
      </c>
      <c r="L4002" s="13">
        <v>42145</v>
      </c>
      <c r="M4002" t="s">
        <v>2910</v>
      </c>
      <c r="N4002" t="s">
        <v>2911</v>
      </c>
      <c r="O4002">
        <v>71.5</v>
      </c>
      <c r="P4002" t="s">
        <v>2909</v>
      </c>
    </row>
    <row r="4003" spans="1:16" x14ac:dyDescent="0.4">
      <c r="A4003" t="s">
        <v>15</v>
      </c>
      <c r="B4003" t="s">
        <v>16</v>
      </c>
      <c r="C4003" s="13">
        <v>42005</v>
      </c>
      <c r="D4003" s="13">
        <v>42369</v>
      </c>
      <c r="E4003" t="s">
        <v>17</v>
      </c>
      <c r="F4003">
        <v>16</v>
      </c>
      <c r="G4003" t="s">
        <v>617</v>
      </c>
      <c r="H4003">
        <v>6</v>
      </c>
      <c r="I4003" t="s">
        <v>618</v>
      </c>
      <c r="J4003">
        <v>269</v>
      </c>
      <c r="K4003" t="s">
        <v>75</v>
      </c>
      <c r="L4003" s="13">
        <v>42027</v>
      </c>
      <c r="M4003" t="s">
        <v>2677</v>
      </c>
      <c r="N4003" t="s">
        <v>2803</v>
      </c>
      <c r="O4003">
        <v>22.49</v>
      </c>
      <c r="P4003" t="s">
        <v>565</v>
      </c>
    </row>
    <row r="4004" spans="1:16" x14ac:dyDescent="0.4">
      <c r="A4004" t="s">
        <v>15</v>
      </c>
      <c r="B4004" t="s">
        <v>16</v>
      </c>
      <c r="C4004" s="13">
        <v>42005</v>
      </c>
      <c r="D4004" s="13">
        <v>42369</v>
      </c>
      <c r="E4004" t="s">
        <v>17</v>
      </c>
      <c r="F4004">
        <v>16</v>
      </c>
      <c r="G4004" t="s">
        <v>617</v>
      </c>
      <c r="H4004">
        <v>6</v>
      </c>
      <c r="I4004" t="s">
        <v>618</v>
      </c>
      <c r="J4004">
        <v>269</v>
      </c>
      <c r="K4004" t="s">
        <v>75</v>
      </c>
      <c r="L4004" s="13">
        <v>42089</v>
      </c>
      <c r="M4004" t="s">
        <v>2677</v>
      </c>
      <c r="N4004" t="s">
        <v>2804</v>
      </c>
      <c r="O4004">
        <v>25.51</v>
      </c>
      <c r="P4004" t="s">
        <v>565</v>
      </c>
    </row>
    <row r="4005" spans="1:16" x14ac:dyDescent="0.4">
      <c r="A4005" t="s">
        <v>15</v>
      </c>
      <c r="B4005" t="s">
        <v>16</v>
      </c>
      <c r="C4005" s="13">
        <v>42005</v>
      </c>
      <c r="D4005" s="13">
        <v>42369</v>
      </c>
      <c r="E4005" t="s">
        <v>17</v>
      </c>
      <c r="F4005">
        <v>16</v>
      </c>
      <c r="G4005" t="s">
        <v>617</v>
      </c>
      <c r="H4005">
        <v>6</v>
      </c>
      <c r="I4005" t="s">
        <v>618</v>
      </c>
      <c r="J4005">
        <v>269</v>
      </c>
      <c r="K4005" t="s">
        <v>75</v>
      </c>
      <c r="L4005" s="13">
        <v>42146</v>
      </c>
      <c r="M4005" t="s">
        <v>2677</v>
      </c>
      <c r="N4005" t="s">
        <v>2805</v>
      </c>
      <c r="O4005">
        <v>20.03</v>
      </c>
      <c r="P4005" t="s">
        <v>565</v>
      </c>
    </row>
    <row r="4006" spans="1:16" x14ac:dyDescent="0.4">
      <c r="A4006" t="s">
        <v>15</v>
      </c>
      <c r="B4006" t="s">
        <v>16</v>
      </c>
      <c r="C4006" s="13">
        <v>42005</v>
      </c>
      <c r="D4006" s="13">
        <v>42369</v>
      </c>
      <c r="E4006" t="s">
        <v>17</v>
      </c>
      <c r="F4006">
        <v>16</v>
      </c>
      <c r="G4006" t="s">
        <v>617</v>
      </c>
      <c r="H4006">
        <v>6</v>
      </c>
      <c r="I4006" t="s">
        <v>618</v>
      </c>
      <c r="J4006">
        <v>269</v>
      </c>
      <c r="K4006" t="s">
        <v>75</v>
      </c>
      <c r="L4006" s="13">
        <v>42209</v>
      </c>
      <c r="M4006" t="s">
        <v>2677</v>
      </c>
      <c r="N4006" t="s">
        <v>2806</v>
      </c>
      <c r="O4006">
        <v>19.95</v>
      </c>
      <c r="P4006" t="s">
        <v>565</v>
      </c>
    </row>
    <row r="4007" spans="1:16" x14ac:dyDescent="0.4">
      <c r="A4007" t="s">
        <v>15</v>
      </c>
      <c r="B4007" t="s">
        <v>16</v>
      </c>
      <c r="C4007" s="13">
        <v>42005</v>
      </c>
      <c r="D4007" s="13">
        <v>42369</v>
      </c>
      <c r="E4007" t="s">
        <v>17</v>
      </c>
      <c r="F4007">
        <v>16</v>
      </c>
      <c r="G4007" t="s">
        <v>617</v>
      </c>
      <c r="H4007">
        <v>6</v>
      </c>
      <c r="I4007" t="s">
        <v>618</v>
      </c>
      <c r="J4007">
        <v>269</v>
      </c>
      <c r="K4007" t="s">
        <v>75</v>
      </c>
      <c r="L4007" s="13">
        <v>42273</v>
      </c>
      <c r="M4007" t="s">
        <v>2677</v>
      </c>
      <c r="N4007" t="s">
        <v>2807</v>
      </c>
      <c r="O4007">
        <v>18.100000000000001</v>
      </c>
      <c r="P4007" t="s">
        <v>565</v>
      </c>
    </row>
    <row r="4008" spans="1:16" x14ac:dyDescent="0.4">
      <c r="A4008" t="s">
        <v>15</v>
      </c>
      <c r="B4008" t="s">
        <v>16</v>
      </c>
      <c r="C4008" s="13">
        <v>42005</v>
      </c>
      <c r="D4008" s="13">
        <v>42369</v>
      </c>
      <c r="E4008" t="s">
        <v>17</v>
      </c>
      <c r="F4008">
        <v>16</v>
      </c>
      <c r="G4008" t="s">
        <v>617</v>
      </c>
      <c r="H4008">
        <v>6</v>
      </c>
      <c r="I4008" t="s">
        <v>618</v>
      </c>
      <c r="J4008">
        <v>269</v>
      </c>
      <c r="K4008" t="s">
        <v>75</v>
      </c>
      <c r="L4008" s="13">
        <v>42329</v>
      </c>
      <c r="M4008" t="s">
        <v>2677</v>
      </c>
      <c r="N4008" t="s">
        <v>2808</v>
      </c>
      <c r="O4008">
        <v>18.66</v>
      </c>
      <c r="P4008" t="s">
        <v>565</v>
      </c>
    </row>
    <row r="4009" spans="1:16" x14ac:dyDescent="0.4">
      <c r="A4009" t="s">
        <v>15</v>
      </c>
      <c r="B4009" t="s">
        <v>16</v>
      </c>
      <c r="C4009" s="13">
        <v>42005</v>
      </c>
      <c r="D4009" s="13">
        <v>42369</v>
      </c>
      <c r="E4009" t="s">
        <v>17</v>
      </c>
      <c r="F4009">
        <v>16</v>
      </c>
      <c r="G4009" t="s">
        <v>617</v>
      </c>
      <c r="H4009">
        <v>6</v>
      </c>
      <c r="I4009" t="s">
        <v>618</v>
      </c>
      <c r="J4009">
        <v>441</v>
      </c>
      <c r="K4009" t="s">
        <v>268</v>
      </c>
      <c r="L4009" s="13">
        <v>42005</v>
      </c>
      <c r="M4009" t="s">
        <v>2838</v>
      </c>
      <c r="N4009" t="s">
        <v>2912</v>
      </c>
      <c r="O4009">
        <v>6215.48</v>
      </c>
      <c r="P4009" t="s">
        <v>2592</v>
      </c>
    </row>
    <row r="4010" spans="1:16" x14ac:dyDescent="0.4">
      <c r="A4010" t="s">
        <v>15</v>
      </c>
      <c r="B4010" t="s">
        <v>16</v>
      </c>
      <c r="C4010" s="13">
        <v>42005</v>
      </c>
      <c r="D4010" s="13">
        <v>42369</v>
      </c>
      <c r="E4010" t="s">
        <v>17</v>
      </c>
      <c r="F4010">
        <v>16</v>
      </c>
      <c r="G4010" t="s">
        <v>617</v>
      </c>
      <c r="H4010">
        <v>6</v>
      </c>
      <c r="I4010" t="s">
        <v>618</v>
      </c>
      <c r="J4010">
        <v>605</v>
      </c>
      <c r="K4010" t="s">
        <v>495</v>
      </c>
      <c r="L4010" s="13">
        <v>42257</v>
      </c>
      <c r="M4010" t="s">
        <v>2913</v>
      </c>
      <c r="N4010" t="s">
        <v>2914</v>
      </c>
      <c r="O4010">
        <v>279.39999999999998</v>
      </c>
      <c r="P4010" t="s">
        <v>472</v>
      </c>
    </row>
    <row r="4011" spans="1:16" x14ac:dyDescent="0.4">
      <c r="A4011" t="s">
        <v>15</v>
      </c>
      <c r="B4011" t="s">
        <v>16</v>
      </c>
      <c r="C4011" s="13">
        <v>42005</v>
      </c>
      <c r="D4011" s="13">
        <v>42369</v>
      </c>
      <c r="E4011" t="s">
        <v>17</v>
      </c>
      <c r="F4011">
        <v>16</v>
      </c>
      <c r="G4011" t="s">
        <v>617</v>
      </c>
      <c r="H4011">
        <v>6</v>
      </c>
      <c r="I4011" t="s">
        <v>618</v>
      </c>
      <c r="J4011">
        <v>861</v>
      </c>
      <c r="K4011" t="s">
        <v>2311</v>
      </c>
      <c r="L4011" s="13">
        <v>42369</v>
      </c>
      <c r="M4011" t="s">
        <v>2859</v>
      </c>
      <c r="N4011" t="s">
        <v>2792</v>
      </c>
      <c r="O4011">
        <v>91.15</v>
      </c>
      <c r="P4011" t="s">
        <v>46</v>
      </c>
    </row>
    <row r="4012" spans="1:16" x14ac:dyDescent="0.4">
      <c r="A4012" t="s">
        <v>15</v>
      </c>
      <c r="B4012" t="s">
        <v>16</v>
      </c>
      <c r="C4012" s="13">
        <v>42005</v>
      </c>
      <c r="D4012" s="13">
        <v>42369</v>
      </c>
      <c r="E4012" t="s">
        <v>30</v>
      </c>
      <c r="F4012">
        <v>17</v>
      </c>
      <c r="G4012" t="s">
        <v>619</v>
      </c>
      <c r="H4012">
        <v>6</v>
      </c>
      <c r="I4012" t="s">
        <v>620</v>
      </c>
      <c r="J4012">
        <v>106</v>
      </c>
      <c r="K4012" t="s">
        <v>422</v>
      </c>
      <c r="L4012" s="13">
        <v>42005</v>
      </c>
      <c r="M4012" t="s">
        <v>2915</v>
      </c>
      <c r="N4012" t="s">
        <v>2916</v>
      </c>
      <c r="O4012">
        <v>783.86</v>
      </c>
      <c r="P4012" t="s">
        <v>805</v>
      </c>
    </row>
    <row r="4013" spans="1:16" x14ac:dyDescent="0.4">
      <c r="A4013" t="s">
        <v>15</v>
      </c>
      <c r="B4013" t="s">
        <v>16</v>
      </c>
      <c r="C4013" s="13">
        <v>42005</v>
      </c>
      <c r="D4013" s="13">
        <v>42369</v>
      </c>
      <c r="E4013" t="s">
        <v>30</v>
      </c>
      <c r="F4013">
        <v>17</v>
      </c>
      <c r="G4013" t="s">
        <v>619</v>
      </c>
      <c r="H4013">
        <v>6</v>
      </c>
      <c r="I4013" t="s">
        <v>620</v>
      </c>
      <c r="J4013">
        <v>116</v>
      </c>
      <c r="K4013" t="s">
        <v>469</v>
      </c>
      <c r="L4013" s="13">
        <v>42089</v>
      </c>
      <c r="M4013" t="s">
        <v>2917</v>
      </c>
      <c r="N4013" t="s">
        <v>2918</v>
      </c>
      <c r="O4013">
        <v>282.58999999999997</v>
      </c>
      <c r="P4013" t="s">
        <v>472</v>
      </c>
    </row>
    <row r="4014" spans="1:16" x14ac:dyDescent="0.4">
      <c r="A4014" t="s">
        <v>15</v>
      </c>
      <c r="B4014" t="s">
        <v>16</v>
      </c>
      <c r="C4014" s="13">
        <v>42005</v>
      </c>
      <c r="D4014" s="13">
        <v>42369</v>
      </c>
      <c r="E4014" t="s">
        <v>17</v>
      </c>
      <c r="F4014">
        <v>17</v>
      </c>
      <c r="G4014" t="s">
        <v>619</v>
      </c>
      <c r="H4014">
        <v>6</v>
      </c>
      <c r="I4014" t="s">
        <v>620</v>
      </c>
      <c r="J4014">
        <v>195</v>
      </c>
      <c r="K4014" t="s">
        <v>2398</v>
      </c>
      <c r="L4014" s="13">
        <v>42005</v>
      </c>
      <c r="M4014" t="s">
        <v>2399</v>
      </c>
      <c r="N4014" t="s">
        <v>2848</v>
      </c>
      <c r="O4014">
        <v>146.80000000000001</v>
      </c>
      <c r="P4014" t="s">
        <v>2401</v>
      </c>
    </row>
    <row r="4015" spans="1:16" x14ac:dyDescent="0.4">
      <c r="A4015" t="s">
        <v>15</v>
      </c>
      <c r="B4015" t="s">
        <v>16</v>
      </c>
      <c r="C4015" s="13">
        <v>42005</v>
      </c>
      <c r="D4015" s="13">
        <v>42369</v>
      </c>
      <c r="E4015" t="s">
        <v>30</v>
      </c>
      <c r="F4015">
        <v>17</v>
      </c>
      <c r="G4015" t="s">
        <v>619</v>
      </c>
      <c r="H4015">
        <v>6</v>
      </c>
      <c r="I4015" t="s">
        <v>620</v>
      </c>
      <c r="J4015">
        <v>233</v>
      </c>
      <c r="K4015" t="s">
        <v>2128</v>
      </c>
      <c r="L4015" s="13">
        <v>42023</v>
      </c>
      <c r="M4015" t="s">
        <v>2919</v>
      </c>
      <c r="N4015" t="s">
        <v>46</v>
      </c>
      <c r="O4015">
        <v>170</v>
      </c>
      <c r="P4015" t="s">
        <v>46</v>
      </c>
    </row>
    <row r="4016" spans="1:16" x14ac:dyDescent="0.4">
      <c r="A4016" t="s">
        <v>15</v>
      </c>
      <c r="B4016" t="s">
        <v>16</v>
      </c>
      <c r="C4016" s="13">
        <v>42005</v>
      </c>
      <c r="D4016" s="13">
        <v>42369</v>
      </c>
      <c r="E4016" t="s">
        <v>17</v>
      </c>
      <c r="F4016">
        <v>17</v>
      </c>
      <c r="G4016" t="s">
        <v>619</v>
      </c>
      <c r="H4016">
        <v>6</v>
      </c>
      <c r="I4016" t="s">
        <v>620</v>
      </c>
      <c r="J4016">
        <v>269</v>
      </c>
      <c r="K4016" t="s">
        <v>75</v>
      </c>
      <c r="L4016" s="13">
        <v>42027</v>
      </c>
      <c r="M4016" t="s">
        <v>2677</v>
      </c>
      <c r="N4016" t="s">
        <v>2803</v>
      </c>
      <c r="O4016">
        <v>22.49</v>
      </c>
      <c r="P4016" t="s">
        <v>565</v>
      </c>
    </row>
    <row r="4017" spans="1:16" x14ac:dyDescent="0.4">
      <c r="A4017" t="s">
        <v>15</v>
      </c>
      <c r="B4017" t="s">
        <v>16</v>
      </c>
      <c r="C4017" s="13">
        <v>42005</v>
      </c>
      <c r="D4017" s="13">
        <v>42369</v>
      </c>
      <c r="E4017" t="s">
        <v>17</v>
      </c>
      <c r="F4017">
        <v>17</v>
      </c>
      <c r="G4017" t="s">
        <v>619</v>
      </c>
      <c r="H4017">
        <v>6</v>
      </c>
      <c r="I4017" t="s">
        <v>620</v>
      </c>
      <c r="J4017">
        <v>269</v>
      </c>
      <c r="K4017" t="s">
        <v>75</v>
      </c>
      <c r="L4017" s="13">
        <v>42089</v>
      </c>
      <c r="M4017" t="s">
        <v>2677</v>
      </c>
      <c r="N4017" t="s">
        <v>2804</v>
      </c>
      <c r="O4017">
        <v>25.51</v>
      </c>
      <c r="P4017" t="s">
        <v>565</v>
      </c>
    </row>
    <row r="4018" spans="1:16" x14ac:dyDescent="0.4">
      <c r="A4018" t="s">
        <v>15</v>
      </c>
      <c r="B4018" t="s">
        <v>16</v>
      </c>
      <c r="C4018" s="13">
        <v>42005</v>
      </c>
      <c r="D4018" s="13">
        <v>42369</v>
      </c>
      <c r="E4018" t="s">
        <v>17</v>
      </c>
      <c r="F4018">
        <v>17</v>
      </c>
      <c r="G4018" t="s">
        <v>619</v>
      </c>
      <c r="H4018">
        <v>6</v>
      </c>
      <c r="I4018" t="s">
        <v>620</v>
      </c>
      <c r="J4018">
        <v>269</v>
      </c>
      <c r="K4018" t="s">
        <v>75</v>
      </c>
      <c r="L4018" s="13">
        <v>42146</v>
      </c>
      <c r="M4018" t="s">
        <v>2677</v>
      </c>
      <c r="N4018" t="s">
        <v>2805</v>
      </c>
      <c r="O4018">
        <v>20.03</v>
      </c>
      <c r="P4018" t="s">
        <v>565</v>
      </c>
    </row>
    <row r="4019" spans="1:16" x14ac:dyDescent="0.4">
      <c r="A4019" t="s">
        <v>15</v>
      </c>
      <c r="B4019" t="s">
        <v>16</v>
      </c>
      <c r="C4019" s="13">
        <v>42005</v>
      </c>
      <c r="D4019" s="13">
        <v>42369</v>
      </c>
      <c r="E4019" t="s">
        <v>17</v>
      </c>
      <c r="F4019">
        <v>17</v>
      </c>
      <c r="G4019" t="s">
        <v>619</v>
      </c>
      <c r="H4019">
        <v>6</v>
      </c>
      <c r="I4019" t="s">
        <v>620</v>
      </c>
      <c r="J4019">
        <v>269</v>
      </c>
      <c r="K4019" t="s">
        <v>75</v>
      </c>
      <c r="L4019" s="13">
        <v>42209</v>
      </c>
      <c r="M4019" t="s">
        <v>2677</v>
      </c>
      <c r="N4019" t="s">
        <v>2806</v>
      </c>
      <c r="O4019">
        <v>19.95</v>
      </c>
      <c r="P4019" t="s">
        <v>565</v>
      </c>
    </row>
    <row r="4020" spans="1:16" x14ac:dyDescent="0.4">
      <c r="A4020" t="s">
        <v>15</v>
      </c>
      <c r="B4020" t="s">
        <v>16</v>
      </c>
      <c r="C4020" s="13">
        <v>42005</v>
      </c>
      <c r="D4020" s="13">
        <v>42369</v>
      </c>
      <c r="E4020" t="s">
        <v>17</v>
      </c>
      <c r="F4020">
        <v>17</v>
      </c>
      <c r="G4020" t="s">
        <v>619</v>
      </c>
      <c r="H4020">
        <v>6</v>
      </c>
      <c r="I4020" t="s">
        <v>620</v>
      </c>
      <c r="J4020">
        <v>269</v>
      </c>
      <c r="K4020" t="s">
        <v>75</v>
      </c>
      <c r="L4020" s="13">
        <v>42273</v>
      </c>
      <c r="M4020" t="s">
        <v>2677</v>
      </c>
      <c r="N4020" t="s">
        <v>2807</v>
      </c>
      <c r="O4020">
        <v>18.100000000000001</v>
      </c>
      <c r="P4020" t="s">
        <v>565</v>
      </c>
    </row>
    <row r="4021" spans="1:16" x14ac:dyDescent="0.4">
      <c r="A4021" t="s">
        <v>15</v>
      </c>
      <c r="B4021" t="s">
        <v>16</v>
      </c>
      <c r="C4021" s="13">
        <v>42005</v>
      </c>
      <c r="D4021" s="13">
        <v>42369</v>
      </c>
      <c r="E4021" t="s">
        <v>17</v>
      </c>
      <c r="F4021">
        <v>17</v>
      </c>
      <c r="G4021" t="s">
        <v>619</v>
      </c>
      <c r="H4021">
        <v>6</v>
      </c>
      <c r="I4021" t="s">
        <v>620</v>
      </c>
      <c r="J4021">
        <v>269</v>
      </c>
      <c r="K4021" t="s">
        <v>75</v>
      </c>
      <c r="L4021" s="13">
        <v>42329</v>
      </c>
      <c r="M4021" t="s">
        <v>2677</v>
      </c>
      <c r="N4021" t="s">
        <v>2808</v>
      </c>
      <c r="O4021">
        <v>18.66</v>
      </c>
      <c r="P4021" t="s">
        <v>565</v>
      </c>
    </row>
    <row r="4022" spans="1:16" x14ac:dyDescent="0.4">
      <c r="A4022" t="s">
        <v>15</v>
      </c>
      <c r="B4022" t="s">
        <v>16</v>
      </c>
      <c r="C4022" s="13">
        <v>42005</v>
      </c>
      <c r="D4022" s="13">
        <v>42369</v>
      </c>
      <c r="E4022" t="s">
        <v>17</v>
      </c>
      <c r="F4022">
        <v>17</v>
      </c>
      <c r="G4022" t="s">
        <v>619</v>
      </c>
      <c r="H4022">
        <v>6</v>
      </c>
      <c r="I4022" t="s">
        <v>620</v>
      </c>
      <c r="J4022">
        <v>441</v>
      </c>
      <c r="K4022" t="s">
        <v>268</v>
      </c>
      <c r="L4022" s="13">
        <v>42005</v>
      </c>
      <c r="M4022" t="s">
        <v>2838</v>
      </c>
      <c r="N4022" t="s">
        <v>2920</v>
      </c>
      <c r="O4022">
        <v>2044.74</v>
      </c>
      <c r="P4022" t="s">
        <v>2592</v>
      </c>
    </row>
    <row r="4023" spans="1:16" x14ac:dyDescent="0.4">
      <c r="A4023" t="s">
        <v>15</v>
      </c>
      <c r="B4023" t="s">
        <v>16</v>
      </c>
      <c r="C4023" s="13">
        <v>42005</v>
      </c>
      <c r="D4023" s="13">
        <v>42369</v>
      </c>
      <c r="E4023" t="s">
        <v>17</v>
      </c>
      <c r="F4023">
        <v>17</v>
      </c>
      <c r="G4023" t="s">
        <v>619</v>
      </c>
      <c r="H4023">
        <v>6</v>
      </c>
      <c r="I4023" t="s">
        <v>620</v>
      </c>
      <c r="J4023">
        <v>605</v>
      </c>
      <c r="K4023" t="s">
        <v>495</v>
      </c>
      <c r="L4023" s="13">
        <v>42128</v>
      </c>
      <c r="M4023" t="s">
        <v>2921</v>
      </c>
      <c r="N4023" t="s">
        <v>2922</v>
      </c>
      <c r="O4023">
        <v>125.4</v>
      </c>
      <c r="P4023" t="s">
        <v>472</v>
      </c>
    </row>
    <row r="4024" spans="1:16" x14ac:dyDescent="0.4">
      <c r="A4024" t="s">
        <v>15</v>
      </c>
      <c r="B4024" t="s">
        <v>16</v>
      </c>
      <c r="C4024" s="13">
        <v>42005</v>
      </c>
      <c r="D4024" s="13">
        <v>42369</v>
      </c>
      <c r="E4024" t="s">
        <v>17</v>
      </c>
      <c r="F4024">
        <v>17</v>
      </c>
      <c r="G4024" t="s">
        <v>619</v>
      </c>
      <c r="H4024">
        <v>6</v>
      </c>
      <c r="I4024" t="s">
        <v>620</v>
      </c>
      <c r="J4024">
        <v>605</v>
      </c>
      <c r="K4024" t="s">
        <v>495</v>
      </c>
      <c r="L4024" s="13">
        <v>42257</v>
      </c>
      <c r="M4024" t="s">
        <v>2913</v>
      </c>
      <c r="N4024" t="s">
        <v>2923</v>
      </c>
      <c r="O4024">
        <v>339.9</v>
      </c>
      <c r="P4024" t="s">
        <v>472</v>
      </c>
    </row>
    <row r="4025" spans="1:16" x14ac:dyDescent="0.4">
      <c r="A4025" t="s">
        <v>15</v>
      </c>
      <c r="B4025" t="s">
        <v>16</v>
      </c>
      <c r="C4025" s="13">
        <v>42005</v>
      </c>
      <c r="D4025" s="13">
        <v>42369</v>
      </c>
      <c r="E4025" t="s">
        <v>17</v>
      </c>
      <c r="F4025">
        <v>17</v>
      </c>
      <c r="G4025" t="s">
        <v>619</v>
      </c>
      <c r="H4025">
        <v>6</v>
      </c>
      <c r="I4025" t="s">
        <v>620</v>
      </c>
      <c r="J4025">
        <v>861</v>
      </c>
      <c r="K4025" t="s">
        <v>2311</v>
      </c>
      <c r="L4025" s="13">
        <v>42369</v>
      </c>
      <c r="M4025" t="s">
        <v>2859</v>
      </c>
      <c r="N4025" t="s">
        <v>2792</v>
      </c>
      <c r="O4025">
        <v>91.17</v>
      </c>
      <c r="P4025" t="s">
        <v>46</v>
      </c>
    </row>
  </sheetData>
  <autoFilter ref="A1:AA4025" xr:uid="{00000000-0001-0000-0000-000000000000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9"/>
  <sheetViews>
    <sheetView showGridLines="0" tabSelected="1" workbookViewId="0">
      <selection activeCell="B3" sqref="B3"/>
    </sheetView>
  </sheetViews>
  <sheetFormatPr baseColWidth="10" defaultColWidth="11.3828125" defaultRowHeight="14.6" x14ac:dyDescent="0.4"/>
  <cols>
    <col min="1" max="1" width="47.61328125" style="1" customWidth="1"/>
    <col min="2" max="2" width="15.07421875" style="1" bestFit="1" customWidth="1"/>
    <col min="3" max="16384" width="11.3828125" style="1"/>
  </cols>
  <sheetData>
    <row r="1" spans="1:2" x14ac:dyDescent="0.4">
      <c r="A1" s="10" t="s">
        <v>4201</v>
      </c>
      <c r="B1" s="10" t="s">
        <v>4202</v>
      </c>
    </row>
    <row r="2" spans="1:2" x14ac:dyDescent="0.4">
      <c r="A2" s="9" t="s">
        <v>4208</v>
      </c>
      <c r="B2" s="15" t="str" cm="1">
        <f t="array" aca="1" ref="B2" ca="1">chemin()</f>
        <v>C:\mes_dossiers_synchronises\projet_rgd_pas_a_pas\sources\source_active.xlsm</v>
      </c>
    </row>
    <row r="3" spans="1:2" x14ac:dyDescent="0.4">
      <c r="A3" s="8" t="s">
        <v>3946</v>
      </c>
      <c r="B3" s="14">
        <v>45901</v>
      </c>
    </row>
    <row r="4" spans="1:2" x14ac:dyDescent="0.4">
      <c r="A4" s="7" t="s">
        <v>4205</v>
      </c>
      <c r="B4" s="3">
        <v>2024</v>
      </c>
    </row>
    <row r="5" spans="1:2" x14ac:dyDescent="0.4">
      <c r="A5" s="1" t="s">
        <v>4204</v>
      </c>
      <c r="B5" s="3">
        <f>COUNTIF(data!$A:$A,"CC")</f>
        <v>4024</v>
      </c>
    </row>
    <row r="6" spans="1:2" x14ac:dyDescent="0.4">
      <c r="A6" s="5" t="s">
        <v>4206</v>
      </c>
      <c r="B6" s="4">
        <f>COUNTIF(data!C:C,"1/1/"&amp;B4)</f>
        <v>451</v>
      </c>
    </row>
    <row r="7" spans="1:2" x14ac:dyDescent="0.4">
      <c r="A7" s="2" t="s">
        <v>4207</v>
      </c>
      <c r="B7" s="4">
        <f>COUNTIF(data!C:C,"&lt;1/1/"&amp;B4)</f>
        <v>3260</v>
      </c>
    </row>
    <row r="8" spans="1:2" x14ac:dyDescent="0.4">
      <c r="A8" s="16" t="s">
        <v>4203</v>
      </c>
      <c r="B8" s="4">
        <f>COUNTIF(data!C:C,"1/1/"&amp;(B4+1))</f>
        <v>313</v>
      </c>
    </row>
    <row r="9" spans="1:2" x14ac:dyDescent="0.4">
      <c r="A9" s="16" t="s">
        <v>4209</v>
      </c>
      <c r="B9" s="17" t="str">
        <f>IF(B5=SUM(B6:B8),"Ok","Ano")</f>
        <v>Ok</v>
      </c>
    </row>
  </sheetData>
  <conditionalFormatting sqref="B9">
    <cfRule type="cellIs" dxfId="1" priority="2" operator="equal">
      <formula>"OK"</formula>
    </cfRule>
    <cfRule type="cellIs" dxfId="0" priority="1" operator="equal">
      <formula>"Ano"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F_parametres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Yvon PLANCADE</cp:lastModifiedBy>
  <dcterms:created xsi:type="dcterms:W3CDTF">2024-04-21T04:27:04Z</dcterms:created>
  <dcterms:modified xsi:type="dcterms:W3CDTF">2025-10-25T15:45:30Z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2.5.4</vt:lpwstr>
  </property>
</Properties>
</file>