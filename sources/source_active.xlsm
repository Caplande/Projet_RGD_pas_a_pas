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68D28DAB-D393-4A82-9FF9-DBDE5101D781}" xr6:coauthVersionLast="47" xr6:coauthVersionMax="47" xr10:uidLastSave="{00000000-0000-0000-0000-000000000000}"/>
  <bookViews>
    <workbookView xWindow="17803" yWindow="2597" windowWidth="7500" windowHeight="10012" activeTab="1" xr2:uid="{00000000-000D-0000-FFFF-FFFF00000000}"/>
  </bookViews>
  <sheets>
    <sheet name="data" sheetId="1" r:id="rId1"/>
    <sheet name="Parametres" sheetId="2" r:id="rId2"/>
    <sheet name="F_agregation" sheetId="3" r:id="rId3"/>
  </sheets>
  <functionGroups builtInGroupCount="19"/>
  <externalReferences>
    <externalReference r:id="rId4"/>
  </externalReferences>
  <definedNames>
    <definedName name="_xlnm._FilterDatabase" localSheetId="0" hidden="1">data!$C$1:$C$3800</definedName>
    <definedName name="_xlnm._FilterDatabase" localSheetId="2" hidden="1">F_agregation!$E$2:$P$113</definedName>
    <definedName name="Agregation_2015_a_2019" localSheetId="2">F_agregation!$A$2:$P$133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" l="1"/>
  <c r="F2" i="3"/>
  <c r="H2" i="3"/>
  <c r="I2" i="3" s="1"/>
  <c r="J2" i="3"/>
  <c r="K2" i="3"/>
  <c r="L2" i="3"/>
  <c r="O2" i="3"/>
  <c r="F3" i="3"/>
  <c r="H3" i="3"/>
  <c r="I3" i="3" s="1"/>
  <c r="J3" i="3"/>
  <c r="K3" i="3"/>
  <c r="L3" i="3"/>
  <c r="O3" i="3"/>
  <c r="F4" i="3"/>
  <c r="H4" i="3"/>
  <c r="I4" i="3" s="1"/>
  <c r="J4" i="3"/>
  <c r="K4" i="3"/>
  <c r="L4" i="3"/>
  <c r="O4" i="3"/>
  <c r="F5" i="3"/>
  <c r="H5" i="3"/>
  <c r="I5" i="3"/>
  <c r="J5" i="3"/>
  <c r="K5" i="3"/>
  <c r="L5" i="3"/>
  <c r="O5" i="3"/>
  <c r="F6" i="3"/>
  <c r="H6" i="3"/>
  <c r="I6" i="3"/>
  <c r="J6" i="3"/>
  <c r="K6" i="3"/>
  <c r="L6" i="3"/>
  <c r="O6" i="3"/>
  <c r="F7" i="3"/>
  <c r="H7" i="3"/>
  <c r="I7" i="3" s="1"/>
  <c r="J7" i="3"/>
  <c r="K7" i="3"/>
  <c r="L7" i="3"/>
  <c r="O7" i="3"/>
  <c r="F8" i="3"/>
  <c r="H8" i="3"/>
  <c r="I8" i="3"/>
  <c r="J8" i="3"/>
  <c r="K8" i="3"/>
  <c r="L8" i="3"/>
  <c r="O8" i="3"/>
  <c r="F9" i="3"/>
  <c r="H9" i="3"/>
  <c r="I9" i="3"/>
  <c r="J9" i="3"/>
  <c r="K9" i="3"/>
  <c r="L9" i="3"/>
  <c r="O9" i="3"/>
  <c r="F10" i="3"/>
  <c r="H10" i="3"/>
  <c r="I10" i="3"/>
  <c r="J10" i="3"/>
  <c r="K10" i="3"/>
  <c r="L10" i="3"/>
  <c r="O10" i="3"/>
  <c r="F11" i="3"/>
  <c r="H11" i="3"/>
  <c r="I11" i="3" s="1"/>
  <c r="J11" i="3"/>
  <c r="K11" i="3"/>
  <c r="L11" i="3"/>
  <c r="O11" i="3"/>
  <c r="F12" i="3"/>
  <c r="H12" i="3"/>
  <c r="I12" i="3" s="1"/>
  <c r="J12" i="3"/>
  <c r="K12" i="3"/>
  <c r="L12" i="3"/>
  <c r="O12" i="3"/>
  <c r="F13" i="3"/>
  <c r="H13" i="3"/>
  <c r="I13" i="3" s="1"/>
  <c r="J13" i="3"/>
  <c r="K13" i="3"/>
  <c r="L13" i="3"/>
  <c r="O13" i="3"/>
  <c r="F14" i="3"/>
  <c r="H14" i="3"/>
  <c r="I14" i="3" s="1"/>
  <c r="J14" i="3"/>
  <c r="K14" i="3"/>
  <c r="L14" i="3"/>
  <c r="O14" i="3"/>
  <c r="F15" i="3"/>
  <c r="H15" i="3"/>
  <c r="I15" i="3" s="1"/>
  <c r="J15" i="3"/>
  <c r="K15" i="3"/>
  <c r="L15" i="3"/>
  <c r="O15" i="3"/>
  <c r="F16" i="3"/>
  <c r="H16" i="3"/>
  <c r="I16" i="3" s="1"/>
  <c r="J16" i="3"/>
  <c r="K16" i="3"/>
  <c r="L16" i="3"/>
  <c r="O16" i="3"/>
  <c r="F17" i="3"/>
  <c r="H17" i="3"/>
  <c r="I17" i="3" s="1"/>
  <c r="J17" i="3"/>
  <c r="K17" i="3"/>
  <c r="L17" i="3"/>
  <c r="O17" i="3"/>
  <c r="F18" i="3"/>
  <c r="H18" i="3"/>
  <c r="I18" i="3" s="1"/>
  <c r="J18" i="3"/>
  <c r="K18" i="3"/>
  <c r="L18" i="3"/>
  <c r="O18" i="3"/>
  <c r="F19" i="3"/>
  <c r="H19" i="3"/>
  <c r="I19" i="3" s="1"/>
  <c r="J19" i="3"/>
  <c r="K19" i="3"/>
  <c r="L19" i="3"/>
  <c r="O19" i="3"/>
  <c r="F20" i="3"/>
  <c r="H20" i="3"/>
  <c r="I20" i="3" s="1"/>
  <c r="J20" i="3"/>
  <c r="K20" i="3"/>
  <c r="L20" i="3"/>
  <c r="O20" i="3"/>
  <c r="F21" i="3"/>
  <c r="H21" i="3"/>
  <c r="I21" i="3"/>
  <c r="J21" i="3"/>
  <c r="K21" i="3"/>
  <c r="L21" i="3"/>
  <c r="O21" i="3"/>
  <c r="F22" i="3"/>
  <c r="H22" i="3"/>
  <c r="I22" i="3"/>
  <c r="J22" i="3"/>
  <c r="K22" i="3"/>
  <c r="L22" i="3"/>
  <c r="O22" i="3"/>
  <c r="F23" i="3"/>
  <c r="H23" i="3"/>
  <c r="I23" i="3" s="1"/>
  <c r="J23" i="3"/>
  <c r="K23" i="3"/>
  <c r="L23" i="3"/>
  <c r="O23" i="3"/>
  <c r="F24" i="3"/>
  <c r="H24" i="3"/>
  <c r="I24" i="3"/>
  <c r="J24" i="3"/>
  <c r="K24" i="3"/>
  <c r="L24" i="3"/>
  <c r="O24" i="3"/>
  <c r="F25" i="3"/>
  <c r="H25" i="3"/>
  <c r="I25" i="3"/>
  <c r="J25" i="3"/>
  <c r="K25" i="3"/>
  <c r="L25" i="3"/>
  <c r="O25" i="3"/>
  <c r="F26" i="3"/>
  <c r="H26" i="3"/>
  <c r="I26" i="3"/>
  <c r="J26" i="3"/>
  <c r="K26" i="3"/>
  <c r="L26" i="3"/>
  <c r="O26" i="3"/>
  <c r="F27" i="3"/>
  <c r="H27" i="3"/>
  <c r="I27" i="3" s="1"/>
  <c r="J27" i="3"/>
  <c r="K27" i="3"/>
  <c r="L27" i="3"/>
  <c r="O27" i="3"/>
  <c r="F28" i="3"/>
  <c r="H28" i="3"/>
  <c r="I28" i="3" s="1"/>
  <c r="J28" i="3"/>
  <c r="K28" i="3"/>
  <c r="L28" i="3"/>
  <c r="O28" i="3"/>
  <c r="F29" i="3"/>
  <c r="H29" i="3"/>
  <c r="I29" i="3" s="1"/>
  <c r="J29" i="3"/>
  <c r="K29" i="3"/>
  <c r="L29" i="3"/>
  <c r="O29" i="3"/>
  <c r="F30" i="3"/>
  <c r="H30" i="3"/>
  <c r="I30" i="3" s="1"/>
  <c r="J30" i="3"/>
  <c r="K30" i="3"/>
  <c r="L30" i="3"/>
  <c r="O30" i="3"/>
  <c r="F31" i="3"/>
  <c r="H31" i="3"/>
  <c r="I31" i="3" s="1"/>
  <c r="J31" i="3"/>
  <c r="K31" i="3"/>
  <c r="L31" i="3"/>
  <c r="O31" i="3"/>
  <c r="F32" i="3"/>
  <c r="H32" i="3"/>
  <c r="I32" i="3" s="1"/>
  <c r="J32" i="3"/>
  <c r="K32" i="3"/>
  <c r="L32" i="3"/>
  <c r="O32" i="3"/>
  <c r="F33" i="3"/>
  <c r="H33" i="3"/>
  <c r="I33" i="3" s="1"/>
  <c r="J33" i="3"/>
  <c r="K33" i="3"/>
  <c r="L33" i="3"/>
  <c r="O33" i="3"/>
  <c r="F34" i="3"/>
  <c r="H34" i="3"/>
  <c r="I34" i="3" s="1"/>
  <c r="J34" i="3"/>
  <c r="K34" i="3"/>
  <c r="L34" i="3"/>
  <c r="O34" i="3"/>
  <c r="F35" i="3"/>
  <c r="H35" i="3"/>
  <c r="I35" i="3" s="1"/>
  <c r="J35" i="3"/>
  <c r="K35" i="3"/>
  <c r="L35" i="3"/>
  <c r="O35" i="3"/>
  <c r="F36" i="3"/>
  <c r="H36" i="3"/>
  <c r="I36" i="3" s="1"/>
  <c r="J36" i="3"/>
  <c r="K36" i="3"/>
  <c r="L36" i="3"/>
  <c r="O36" i="3"/>
  <c r="F37" i="3"/>
  <c r="H37" i="3"/>
  <c r="I37" i="3"/>
  <c r="J37" i="3"/>
  <c r="K37" i="3"/>
  <c r="L37" i="3"/>
  <c r="O37" i="3"/>
  <c r="F38" i="3"/>
  <c r="H38" i="3"/>
  <c r="I38" i="3"/>
  <c r="J38" i="3"/>
  <c r="K38" i="3"/>
  <c r="L38" i="3"/>
  <c r="O38" i="3"/>
  <c r="F39" i="3"/>
  <c r="H39" i="3"/>
  <c r="I39" i="3"/>
  <c r="J39" i="3"/>
  <c r="K39" i="3"/>
  <c r="L39" i="3"/>
  <c r="O39" i="3"/>
  <c r="F40" i="3"/>
  <c r="H40" i="3"/>
  <c r="I40" i="3"/>
  <c r="J40" i="3"/>
  <c r="K40" i="3"/>
  <c r="L40" i="3"/>
  <c r="O40" i="3"/>
  <c r="F41" i="3"/>
  <c r="H41" i="3"/>
  <c r="I41" i="3"/>
  <c r="J41" i="3"/>
  <c r="K41" i="3"/>
  <c r="L41" i="3"/>
  <c r="O41" i="3"/>
  <c r="F42" i="3"/>
  <c r="H42" i="3"/>
  <c r="I42" i="3"/>
  <c r="J42" i="3"/>
  <c r="K42" i="3"/>
  <c r="L42" i="3"/>
  <c r="O42" i="3"/>
  <c r="F43" i="3"/>
  <c r="H43" i="3"/>
  <c r="I43" i="3" s="1"/>
  <c r="J43" i="3"/>
  <c r="K43" i="3"/>
  <c r="L43" i="3"/>
  <c r="O43" i="3"/>
  <c r="F44" i="3"/>
  <c r="H44" i="3"/>
  <c r="I44" i="3" s="1"/>
  <c r="J44" i="3"/>
  <c r="K44" i="3"/>
  <c r="L44" i="3"/>
  <c r="O44" i="3"/>
  <c r="F45" i="3"/>
  <c r="H45" i="3"/>
  <c r="I45" i="3" s="1"/>
  <c r="J45" i="3"/>
  <c r="K45" i="3"/>
  <c r="L45" i="3"/>
  <c r="O45" i="3"/>
  <c r="F46" i="3"/>
  <c r="H46" i="3"/>
  <c r="I46" i="3" s="1"/>
  <c r="J46" i="3"/>
  <c r="K46" i="3"/>
  <c r="L46" i="3"/>
  <c r="O46" i="3"/>
  <c r="F47" i="3"/>
  <c r="H47" i="3"/>
  <c r="I47" i="3" s="1"/>
  <c r="J47" i="3"/>
  <c r="K47" i="3"/>
  <c r="L47" i="3"/>
  <c r="O47" i="3"/>
  <c r="F48" i="3"/>
  <c r="H48" i="3"/>
  <c r="I48" i="3" s="1"/>
  <c r="J48" i="3"/>
  <c r="K48" i="3"/>
  <c r="L48" i="3"/>
  <c r="O48" i="3"/>
  <c r="F49" i="3"/>
  <c r="H49" i="3"/>
  <c r="I49" i="3" s="1"/>
  <c r="J49" i="3"/>
  <c r="K49" i="3"/>
  <c r="L49" i="3"/>
  <c r="O49" i="3"/>
  <c r="F50" i="3"/>
  <c r="H50" i="3"/>
  <c r="I50" i="3" s="1"/>
  <c r="J50" i="3"/>
  <c r="K50" i="3"/>
  <c r="L50" i="3"/>
  <c r="O50" i="3"/>
  <c r="F51" i="3"/>
  <c r="H51" i="3"/>
  <c r="I51" i="3" s="1"/>
  <c r="J51" i="3"/>
  <c r="K51" i="3"/>
  <c r="L51" i="3"/>
  <c r="O51" i="3"/>
  <c r="F52" i="3"/>
  <c r="H52" i="3"/>
  <c r="I52" i="3" s="1"/>
  <c r="J52" i="3"/>
  <c r="K52" i="3"/>
  <c r="L52" i="3"/>
  <c r="O52" i="3"/>
  <c r="F53" i="3"/>
  <c r="H53" i="3"/>
  <c r="I53" i="3"/>
  <c r="J53" i="3"/>
  <c r="K53" i="3"/>
  <c r="L53" i="3"/>
  <c r="O53" i="3"/>
  <c r="F54" i="3"/>
  <c r="H54" i="3"/>
  <c r="I54" i="3"/>
  <c r="J54" i="3"/>
  <c r="K54" i="3"/>
  <c r="L54" i="3"/>
  <c r="O54" i="3"/>
  <c r="F55" i="3"/>
  <c r="H55" i="3"/>
  <c r="I55" i="3"/>
  <c r="J55" i="3"/>
  <c r="K55" i="3"/>
  <c r="L55" i="3"/>
  <c r="O55" i="3"/>
  <c r="F56" i="3"/>
  <c r="H56" i="3"/>
  <c r="I56" i="3"/>
  <c r="J56" i="3"/>
  <c r="K56" i="3"/>
  <c r="L56" i="3"/>
  <c r="O56" i="3"/>
  <c r="F57" i="3"/>
  <c r="H57" i="3"/>
  <c r="I57" i="3"/>
  <c r="J57" i="3"/>
  <c r="K57" i="3"/>
  <c r="L57" i="3"/>
  <c r="O57" i="3"/>
  <c r="F58" i="3"/>
  <c r="H58" i="3"/>
  <c r="I58" i="3"/>
  <c r="J58" i="3"/>
  <c r="K58" i="3"/>
  <c r="L58" i="3"/>
  <c r="O58" i="3"/>
  <c r="F59" i="3"/>
  <c r="H59" i="3"/>
  <c r="I59" i="3" s="1"/>
  <c r="J59" i="3"/>
  <c r="K59" i="3"/>
  <c r="L59" i="3"/>
  <c r="O59" i="3"/>
  <c r="F60" i="3"/>
  <c r="H60" i="3"/>
  <c r="I60" i="3" s="1"/>
  <c r="J60" i="3"/>
  <c r="K60" i="3"/>
  <c r="L60" i="3"/>
  <c r="O60" i="3"/>
  <c r="F61" i="3"/>
  <c r="H61" i="3"/>
  <c r="I61" i="3" s="1"/>
  <c r="J61" i="3"/>
  <c r="K61" i="3"/>
  <c r="L61" i="3"/>
  <c r="O61" i="3"/>
  <c r="F62" i="3"/>
  <c r="H62" i="3"/>
  <c r="I62" i="3" s="1"/>
  <c r="J62" i="3"/>
  <c r="K62" i="3"/>
  <c r="L62" i="3"/>
  <c r="O62" i="3"/>
  <c r="F63" i="3"/>
  <c r="H63" i="3"/>
  <c r="I63" i="3" s="1"/>
  <c r="J63" i="3"/>
  <c r="K63" i="3"/>
  <c r="L63" i="3"/>
  <c r="O63" i="3"/>
  <c r="F64" i="3"/>
  <c r="H64" i="3"/>
  <c r="I64" i="3" s="1"/>
  <c r="J64" i="3"/>
  <c r="K64" i="3"/>
  <c r="L64" i="3"/>
  <c r="O64" i="3"/>
  <c r="F65" i="3"/>
  <c r="H65" i="3"/>
  <c r="I65" i="3" s="1"/>
  <c r="J65" i="3"/>
  <c r="K65" i="3"/>
  <c r="L65" i="3"/>
  <c r="O65" i="3"/>
  <c r="F66" i="3"/>
  <c r="H66" i="3"/>
  <c r="I66" i="3" s="1"/>
  <c r="J66" i="3"/>
  <c r="K66" i="3"/>
  <c r="L66" i="3"/>
  <c r="O66" i="3"/>
  <c r="F67" i="3"/>
  <c r="H67" i="3"/>
  <c r="I67" i="3" s="1"/>
  <c r="J67" i="3"/>
  <c r="K67" i="3"/>
  <c r="L67" i="3"/>
  <c r="O67" i="3"/>
  <c r="F68" i="3"/>
  <c r="H68" i="3"/>
  <c r="I68" i="3" s="1"/>
  <c r="J68" i="3"/>
  <c r="K68" i="3"/>
  <c r="L68" i="3"/>
  <c r="O68" i="3"/>
  <c r="F69" i="3"/>
  <c r="H69" i="3"/>
  <c r="I69" i="3"/>
  <c r="J69" i="3"/>
  <c r="K69" i="3"/>
  <c r="L69" i="3"/>
  <c r="O69" i="3"/>
  <c r="F70" i="3"/>
  <c r="H70" i="3"/>
  <c r="I70" i="3"/>
  <c r="J70" i="3"/>
  <c r="K70" i="3"/>
  <c r="L70" i="3"/>
  <c r="O70" i="3"/>
  <c r="F71" i="3"/>
  <c r="H71" i="3"/>
  <c r="I71" i="3"/>
  <c r="J71" i="3"/>
  <c r="K71" i="3"/>
  <c r="L71" i="3"/>
  <c r="O71" i="3"/>
  <c r="F72" i="3"/>
  <c r="H72" i="3"/>
  <c r="I72" i="3"/>
  <c r="J72" i="3"/>
  <c r="K72" i="3"/>
  <c r="L72" i="3"/>
  <c r="O72" i="3"/>
  <c r="F73" i="3"/>
  <c r="H73" i="3"/>
  <c r="I73" i="3"/>
  <c r="J73" i="3"/>
  <c r="K73" i="3"/>
  <c r="L73" i="3"/>
  <c r="O73" i="3"/>
  <c r="F74" i="3"/>
  <c r="H74" i="3"/>
  <c r="I74" i="3"/>
  <c r="J74" i="3"/>
  <c r="K74" i="3"/>
  <c r="L74" i="3"/>
  <c r="O74" i="3"/>
  <c r="F75" i="3"/>
  <c r="H75" i="3"/>
  <c r="I75" i="3" s="1"/>
  <c r="J75" i="3"/>
  <c r="K75" i="3"/>
  <c r="L75" i="3"/>
  <c r="O75" i="3"/>
  <c r="F76" i="3"/>
  <c r="H76" i="3"/>
  <c r="I76" i="3" s="1"/>
  <c r="J76" i="3"/>
  <c r="K76" i="3"/>
  <c r="L76" i="3"/>
  <c r="O76" i="3"/>
  <c r="F77" i="3"/>
  <c r="H77" i="3"/>
  <c r="I77" i="3" s="1"/>
  <c r="J77" i="3"/>
  <c r="K77" i="3"/>
  <c r="L77" i="3"/>
  <c r="O77" i="3"/>
  <c r="F78" i="3"/>
  <c r="H78" i="3"/>
  <c r="I78" i="3" s="1"/>
  <c r="J78" i="3"/>
  <c r="K78" i="3"/>
  <c r="L78" i="3"/>
  <c r="O78" i="3"/>
  <c r="F79" i="3"/>
  <c r="H79" i="3"/>
  <c r="I79" i="3" s="1"/>
  <c r="J79" i="3"/>
  <c r="K79" i="3"/>
  <c r="L79" i="3"/>
  <c r="O79" i="3"/>
  <c r="F80" i="3"/>
  <c r="H80" i="3"/>
  <c r="I80" i="3" s="1"/>
  <c r="J80" i="3"/>
  <c r="K80" i="3"/>
  <c r="L80" i="3"/>
  <c r="O80" i="3"/>
  <c r="F81" i="3"/>
  <c r="H81" i="3"/>
  <c r="I81" i="3" s="1"/>
  <c r="J81" i="3"/>
  <c r="K81" i="3"/>
  <c r="L81" i="3"/>
  <c r="O81" i="3"/>
  <c r="F82" i="3"/>
  <c r="H82" i="3"/>
  <c r="I82" i="3" s="1"/>
  <c r="J82" i="3"/>
  <c r="K82" i="3"/>
  <c r="L82" i="3"/>
  <c r="O82" i="3"/>
  <c r="F83" i="3"/>
  <c r="H83" i="3"/>
  <c r="I83" i="3" s="1"/>
  <c r="J83" i="3"/>
  <c r="K83" i="3"/>
  <c r="L83" i="3"/>
  <c r="O83" i="3"/>
  <c r="F84" i="3"/>
  <c r="H84" i="3"/>
  <c r="I84" i="3" s="1"/>
  <c r="J84" i="3"/>
  <c r="K84" i="3"/>
  <c r="L84" i="3"/>
  <c r="O84" i="3"/>
  <c r="F85" i="3"/>
  <c r="H85" i="3"/>
  <c r="I85" i="3"/>
  <c r="J85" i="3"/>
  <c r="K85" i="3"/>
  <c r="L85" i="3"/>
  <c r="O85" i="3"/>
  <c r="F86" i="3"/>
  <c r="H86" i="3"/>
  <c r="I86" i="3"/>
  <c r="J86" i="3"/>
  <c r="K86" i="3"/>
  <c r="L86" i="3"/>
  <c r="O86" i="3"/>
  <c r="F87" i="3"/>
  <c r="H87" i="3"/>
  <c r="I87" i="3"/>
  <c r="J87" i="3"/>
  <c r="K87" i="3"/>
  <c r="L87" i="3"/>
  <c r="O87" i="3"/>
  <c r="F88" i="3"/>
  <c r="H88" i="3"/>
  <c r="I88" i="3"/>
  <c r="J88" i="3"/>
  <c r="K88" i="3"/>
  <c r="L88" i="3"/>
  <c r="O88" i="3"/>
  <c r="F89" i="3"/>
  <c r="H89" i="3"/>
  <c r="I89" i="3"/>
  <c r="J89" i="3"/>
  <c r="K89" i="3"/>
  <c r="L89" i="3"/>
  <c r="O89" i="3"/>
  <c r="F90" i="3"/>
  <c r="H90" i="3"/>
  <c r="I90" i="3"/>
  <c r="J90" i="3"/>
  <c r="K90" i="3"/>
  <c r="L90" i="3"/>
  <c r="O90" i="3"/>
  <c r="F91" i="3"/>
  <c r="H91" i="3"/>
  <c r="I91" i="3" s="1"/>
  <c r="J91" i="3"/>
  <c r="K91" i="3"/>
  <c r="L91" i="3"/>
  <c r="O91" i="3"/>
  <c r="F92" i="3"/>
  <c r="H92" i="3"/>
  <c r="I92" i="3" s="1"/>
  <c r="J92" i="3"/>
  <c r="K92" i="3"/>
  <c r="L92" i="3"/>
  <c r="O92" i="3"/>
  <c r="F93" i="3"/>
  <c r="H93" i="3"/>
  <c r="I93" i="3" s="1"/>
  <c r="J93" i="3"/>
  <c r="K93" i="3"/>
  <c r="L93" i="3"/>
  <c r="O93" i="3"/>
  <c r="F94" i="3"/>
  <c r="H94" i="3"/>
  <c r="I94" i="3" s="1"/>
  <c r="J94" i="3"/>
  <c r="K94" i="3"/>
  <c r="L94" i="3"/>
  <c r="O94" i="3"/>
  <c r="F95" i="3"/>
  <c r="H95" i="3"/>
  <c r="I95" i="3" s="1"/>
  <c r="J95" i="3"/>
  <c r="K95" i="3"/>
  <c r="L95" i="3"/>
  <c r="O95" i="3"/>
  <c r="F96" i="3"/>
  <c r="H96" i="3"/>
  <c r="I96" i="3" s="1"/>
  <c r="J96" i="3"/>
  <c r="K96" i="3"/>
  <c r="L96" i="3"/>
  <c r="O96" i="3"/>
  <c r="F97" i="3"/>
  <c r="H97" i="3"/>
  <c r="I97" i="3" s="1"/>
  <c r="J97" i="3"/>
  <c r="K97" i="3"/>
  <c r="L97" i="3"/>
  <c r="O97" i="3"/>
  <c r="F98" i="3"/>
  <c r="H98" i="3"/>
  <c r="I98" i="3" s="1"/>
  <c r="J98" i="3"/>
  <c r="K98" i="3"/>
  <c r="L98" i="3"/>
  <c r="O98" i="3"/>
  <c r="F99" i="3"/>
  <c r="H99" i="3"/>
  <c r="I99" i="3"/>
  <c r="J99" i="3"/>
  <c r="K99" i="3"/>
  <c r="L99" i="3"/>
  <c r="O99" i="3"/>
  <c r="F100" i="3"/>
  <c r="H100" i="3"/>
  <c r="I100" i="3" s="1"/>
  <c r="J100" i="3"/>
  <c r="K100" i="3"/>
  <c r="L100" i="3"/>
  <c r="O100" i="3"/>
  <c r="F101" i="3"/>
  <c r="H101" i="3"/>
  <c r="I101" i="3"/>
  <c r="J101" i="3"/>
  <c r="K101" i="3"/>
  <c r="L101" i="3"/>
  <c r="O101" i="3"/>
  <c r="F102" i="3"/>
  <c r="H102" i="3"/>
  <c r="I102" i="3"/>
  <c r="J102" i="3"/>
  <c r="K102" i="3"/>
  <c r="L102" i="3"/>
  <c r="O102" i="3"/>
  <c r="F103" i="3"/>
  <c r="H103" i="3"/>
  <c r="I103" i="3"/>
  <c r="J103" i="3"/>
  <c r="K103" i="3"/>
  <c r="L103" i="3"/>
  <c r="O103" i="3"/>
  <c r="F104" i="3"/>
  <c r="H104" i="3"/>
  <c r="I104" i="3"/>
  <c r="J104" i="3"/>
  <c r="K104" i="3"/>
  <c r="L104" i="3"/>
  <c r="O104" i="3"/>
  <c r="F105" i="3"/>
  <c r="H105" i="3"/>
  <c r="I105" i="3"/>
  <c r="J105" i="3"/>
  <c r="K105" i="3"/>
  <c r="L105" i="3"/>
  <c r="O105" i="3"/>
  <c r="F106" i="3"/>
  <c r="H106" i="3"/>
  <c r="I106" i="3"/>
  <c r="J106" i="3"/>
  <c r="K106" i="3"/>
  <c r="L106" i="3"/>
  <c r="O106" i="3"/>
  <c r="F107" i="3"/>
  <c r="H107" i="3"/>
  <c r="I107" i="3" s="1"/>
  <c r="J107" i="3"/>
  <c r="K107" i="3"/>
  <c r="L107" i="3"/>
  <c r="O107" i="3"/>
  <c r="F108" i="3"/>
  <c r="H108" i="3"/>
  <c r="I108" i="3" s="1"/>
  <c r="J108" i="3"/>
  <c r="K108" i="3"/>
  <c r="L108" i="3"/>
  <c r="O108" i="3"/>
  <c r="F109" i="3"/>
  <c r="H109" i="3"/>
  <c r="I109" i="3" s="1"/>
  <c r="J109" i="3"/>
  <c r="K109" i="3"/>
  <c r="L109" i="3"/>
  <c r="O109" i="3"/>
  <c r="F110" i="3"/>
  <c r="H110" i="3"/>
  <c r="I110" i="3" s="1"/>
  <c r="J110" i="3"/>
  <c r="K110" i="3"/>
  <c r="L110" i="3"/>
  <c r="O110" i="3"/>
  <c r="F111" i="3"/>
  <c r="H111" i="3"/>
  <c r="I111" i="3" s="1"/>
  <c r="J111" i="3"/>
  <c r="K111" i="3"/>
  <c r="L111" i="3"/>
  <c r="O111" i="3"/>
  <c r="F112" i="3"/>
  <c r="H112" i="3"/>
  <c r="I112" i="3" s="1"/>
  <c r="J112" i="3"/>
  <c r="K112" i="3"/>
  <c r="L112" i="3"/>
  <c r="O112" i="3"/>
  <c r="F113" i="3"/>
  <c r="H113" i="3"/>
  <c r="I113" i="3" s="1"/>
  <c r="J113" i="3"/>
  <c r="K113" i="3"/>
  <c r="L113" i="3"/>
  <c r="O113" i="3"/>
  <c r="F114" i="3"/>
  <c r="H114" i="3"/>
  <c r="I114" i="3" s="1"/>
  <c r="J114" i="3"/>
  <c r="K114" i="3"/>
  <c r="L114" i="3"/>
  <c r="O114" i="3"/>
  <c r="F115" i="3"/>
  <c r="H115" i="3"/>
  <c r="I115" i="3"/>
  <c r="J115" i="3"/>
  <c r="K115" i="3"/>
  <c r="L115" i="3"/>
  <c r="O115" i="3"/>
  <c r="F116" i="3"/>
  <c r="H116" i="3"/>
  <c r="I116" i="3" s="1"/>
  <c r="J116" i="3"/>
  <c r="K116" i="3"/>
  <c r="L116" i="3"/>
  <c r="O116" i="3"/>
  <c r="F117" i="3"/>
  <c r="H117" i="3"/>
  <c r="I117" i="3"/>
  <c r="J117" i="3"/>
  <c r="K117" i="3"/>
  <c r="L117" i="3"/>
  <c r="O117" i="3"/>
  <c r="F118" i="3"/>
  <c r="H118" i="3"/>
  <c r="I118" i="3"/>
  <c r="J118" i="3"/>
  <c r="K118" i="3"/>
  <c r="L118" i="3"/>
  <c r="O118" i="3"/>
  <c r="F119" i="3"/>
  <c r="H119" i="3"/>
  <c r="I119" i="3"/>
  <c r="J119" i="3"/>
  <c r="K119" i="3"/>
  <c r="L119" i="3"/>
  <c r="O119" i="3"/>
  <c r="F120" i="3"/>
  <c r="H120" i="3"/>
  <c r="I120" i="3"/>
  <c r="J120" i="3"/>
  <c r="K120" i="3"/>
  <c r="L120" i="3"/>
  <c r="O120" i="3"/>
  <c r="F121" i="3"/>
  <c r="H121" i="3"/>
  <c r="I121" i="3"/>
  <c r="J121" i="3"/>
  <c r="K121" i="3"/>
  <c r="L121" i="3"/>
  <c r="O121" i="3"/>
  <c r="F122" i="3"/>
  <c r="H122" i="3"/>
  <c r="I122" i="3"/>
  <c r="J122" i="3"/>
  <c r="K122" i="3"/>
  <c r="L122" i="3"/>
  <c r="O122" i="3"/>
  <c r="F123" i="3"/>
  <c r="H123" i="3"/>
  <c r="I123" i="3"/>
  <c r="J123" i="3"/>
  <c r="K123" i="3"/>
  <c r="L123" i="3"/>
  <c r="O123" i="3"/>
  <c r="F124" i="3"/>
  <c r="H124" i="3"/>
  <c r="I124" i="3" s="1"/>
  <c r="J124" i="3"/>
  <c r="K124" i="3"/>
  <c r="L124" i="3"/>
  <c r="O124" i="3"/>
  <c r="F125" i="3"/>
  <c r="H125" i="3"/>
  <c r="I125" i="3" s="1"/>
  <c r="J125" i="3"/>
  <c r="K125" i="3"/>
  <c r="L125" i="3"/>
  <c r="O125" i="3"/>
  <c r="F126" i="3"/>
  <c r="H126" i="3"/>
  <c r="I126" i="3" s="1"/>
  <c r="J126" i="3"/>
  <c r="K126" i="3"/>
  <c r="L126" i="3"/>
  <c r="O126" i="3"/>
  <c r="F127" i="3"/>
  <c r="H127" i="3"/>
  <c r="I127" i="3" s="1"/>
  <c r="J127" i="3"/>
  <c r="K127" i="3"/>
  <c r="L127" i="3"/>
  <c r="O127" i="3"/>
  <c r="F128" i="3"/>
  <c r="H128" i="3"/>
  <c r="I128" i="3" s="1"/>
  <c r="J128" i="3"/>
  <c r="K128" i="3"/>
  <c r="L128" i="3"/>
  <c r="O128" i="3"/>
  <c r="F129" i="3"/>
  <c r="H129" i="3"/>
  <c r="I129" i="3" s="1"/>
  <c r="J129" i="3"/>
  <c r="K129" i="3"/>
  <c r="L129" i="3"/>
  <c r="O129" i="3"/>
  <c r="F130" i="3"/>
  <c r="H130" i="3"/>
  <c r="I130" i="3" s="1"/>
  <c r="J130" i="3"/>
  <c r="K130" i="3"/>
  <c r="L130" i="3"/>
  <c r="O130" i="3"/>
  <c r="F131" i="3"/>
  <c r="H131" i="3"/>
  <c r="I131" i="3"/>
  <c r="J131" i="3"/>
  <c r="K131" i="3"/>
  <c r="L131" i="3"/>
  <c r="O131" i="3"/>
  <c r="F132" i="3"/>
  <c r="H132" i="3"/>
  <c r="I132" i="3" s="1"/>
  <c r="J132" i="3"/>
  <c r="K132" i="3"/>
  <c r="L132" i="3"/>
  <c r="O132" i="3"/>
  <c r="F133" i="3"/>
  <c r="H133" i="3"/>
  <c r="I133" i="3"/>
  <c r="J133" i="3"/>
  <c r="K133" i="3"/>
  <c r="L133" i="3"/>
  <c r="O133" i="3"/>
  <c r="B3" i="2"/>
  <c r="B4" i="2" s="1"/>
  <c r="B2" i="2" a="1"/>
  <c r="B2" i="2" l="1"/>
  <c r="B5" i="2"/>
  <c r="B6" i="2"/>
  <c r="B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<sst xmlns="http://schemas.openxmlformats.org/spreadsheetml/2006/main" count="37181" uniqueCount="4211">
  <si>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</si>
  <si>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</si>
  <si>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</si>
  <si>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</si>
  <si>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</si>
  <si>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</si>
  <si>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</si>
  <si>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</si>
  <si>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</si>
  <si>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</si>
  <si>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</si>
  <si>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</si>
  <si>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</si>
  <si>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</si>
  <si>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</si>
  <si>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</si>
  <si>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</si>
  <si>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</si>
  <si>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</si>
  <si>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</si>
  <si>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</si>
  <si>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</si>
  <si>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</si>
  <si>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</si>
  <si>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</si>
  <si>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</si>
  <si>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</si>
  <si>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</si>
  <si>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</si>
  <si>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</si>
  <si>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</si>
  <si>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</si>
  <si>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</si>
  <si>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</si>
  <si>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</si>
  <si>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</si>
  <si>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</si>
  <si>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</si>
  <si>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</si>
  <si>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</si>
  <si>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</si>
  <si>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</si>
  <si>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</si>
  <si>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</si>
  <si>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</si>
  <si>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</si>
  <si>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</si>
  <si>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</si>
  <si>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</si>
  <si>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</si>
  <si>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</si>
  <si>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</si>
  <si>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</si>
  <si>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</si>
  <si>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</si>
  <si>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</si>
  <si>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</si>
  <si>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</si>
  <si>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</si>
  <si>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</si>
  <si>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</si>
  <si>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</si>
  <si>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</si>
  <si>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</si>
  <si>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</si>
  <si>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</si>
  <si>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</si>
  <si>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</si>
  <si>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</si>
  <si>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</si>
  <si>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</si>
  <si>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</si>
  <si>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</si>
  <si>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</si>
  <si>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</si>
  <si>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</si>
  <si>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</si>
  <si>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</si>
  <si>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</si>
  <si>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</si>
  <si>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</si>
  <si>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</si>
  <si>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</si>
  <si>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</si>
  <si>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</si>
  <si>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</si>
  <si>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</si>
  <si>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</si>
  <si>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</si>
  <si>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</si>
  <si>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</si>
  <si>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</si>
  <si>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</si>
  <si>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</si>
  <si>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</si>
  <si>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</si>
  <si>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</si>
  <si>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</si>
  <si>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</si>
  <si>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</si>
  <si>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</si>
  <si>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</si>
  <si>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</si>
  <si>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</si>
  <si>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</si>
  <si>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</si>
  <si>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</si>
  <si>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</si>
  <si>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</si>
  <si>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</si>
  <si>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</si>
  <si>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</si>
  <si>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</si>
  <si>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</si>
  <si>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</si>
  <si>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</si>
  <si>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</si>
  <si>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</si>
  <si>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</si>
  <si>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</si>
  <si>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</si>
  <si>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</si>
  <si>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</si>
  <si>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</si>
  <si>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</si>
  <si>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</si>
  <si>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</si>
  <si>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</si>
  <si>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</si>
  <si>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</si>
  <si>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</si>
  <si>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</si>
  <si>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</si>
  <si>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</si>
  <si>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</si>
  <si>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</si>
  <si>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</si>
  <si>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</si>
  <si>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</si>
  <si>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</si>
  <si>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</si>
  <si>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</si>
  <si>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</si>
  <si>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</si>
  <si>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</si>
  <si>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</si>
  <si>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</si>
  <si>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</si>
  <si>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</si>
  <si>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</si>
  <si>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</si>
  <si>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</si>
  <si>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</si>
  <si>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</si>
  <si>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</si>
  <si>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</si>
  <si>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</si>
  <si>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</si>
  <si>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</si>
  <si>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</si>
  <si>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</si>
  <si>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</si>
  <si>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</si>
  <si>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</si>
  <si>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</si>
  <si>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</si>
  <si>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</si>
  <si>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</si>
  <si>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</si>
  <si>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</si>
  <si>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</si>
  <si>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</si>
  <si>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</si>
  <si>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</si>
  <si>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</si>
  <si>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</si>
  <si>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</si>
  <si>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</si>
  <si>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</si>
  <si>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</si>
  <si>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</si>
  <si>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</si>
  <si>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</si>
  <si>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</si>
  <si>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</si>
  <si>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</si>
  <si>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</si>
  <si>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</si>
  <si>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</si>
  <si>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</si>
  <si>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</si>
  <si>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</si>
  <si>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</si>
  <si>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</si>
  <si>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</si>
  <si>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</si>
  <si>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</si>
  <si>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</si>
  <si>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</si>
  <si>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</si>
  <si>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</si>
  <si>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</si>
  <si>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</si>
  <si>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</si>
  <si>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</si>
  <si>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</si>
  <si>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</si>
  <si>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</si>
  <si>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</si>
  <si>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</si>
  <si>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</si>
  <si>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</si>
  <si>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</si>
  <si>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</si>
  <si>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</si>
  <si>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</si>
  <si>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</si>
  <si>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</si>
  <si>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</si>
  <si>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</si>
  <si>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</si>
  <si>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</si>
  <si>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</si>
  <si>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</si>
  <si>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</si>
  <si>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</si>
  <si>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</si>
  <si>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</si>
  <si>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</si>
  <si>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</si>
  <si>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</si>
  <si>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</si>
  <si>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</si>
  <si>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</si>
  <si>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</si>
  <si>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</si>
  <si>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</si>
  <si>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</si>
  <si>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</si>
  <si>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</si>
  <si>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</si>
  <si>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</si>
  <si>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</si>
  <si>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</si>
  <si>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</si>
  <si>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</si>
  <si>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</si>
  <si>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</si>
  <si>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</si>
  <si>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</si>
  <si>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</si>
  <si>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</si>
  <si>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</si>
  <si>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</si>
  <si>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</si>
  <si>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</si>
  <si>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</si>
  <si>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</si>
  <si>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</si>
  <si>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</si>
  <si>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</si>
  <si>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</si>
  <si>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</si>
  <si>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</si>
  <si>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</si>
  <si>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</si>
  <si>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</si>
  <si>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</si>
  <si>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</si>
  <si>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</si>
  <si>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</si>
  <si>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</si>
  <si>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</si>
  <si>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</si>
  <si>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</si>
  <si>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</si>
  <si>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</si>
  <si>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</si>
  <si>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</si>
  <si>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</si>
  <si>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</si>
  <si>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</si>
  <si>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</si>
  <si>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</si>
  <si>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</si>
  <si>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</si>
  <si>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</si>
  <si>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</si>
  <si>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</si>
  <si>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</si>
  <si>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</si>
  <si>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</si>
  <si>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</si>
  <si>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</si>
  <si>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</si>
  <si>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</si>
  <si>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</si>
  <si>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</si>
  <si>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</si>
  <si>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</si>
  <si>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</si>
  <si>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</si>
  <si>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</si>
  <si>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</si>
  <si>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</si>
  <si>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</si>
  <si>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</si>
  <si>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</si>
  <si>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</si>
  <si>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</si>
  <si>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</si>
  <si>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</si>
  <si>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</si>
  <si>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</si>
  <si>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</si>
  <si>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</si>
  <si>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</si>
  <si>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</si>
  <si>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</si>
  <si>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</si>
  <si>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</si>
  <si>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</si>
  <si>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</si>
  <si>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</si>
  <si>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</si>
  <si>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</si>
  <si>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</si>
  <si>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</si>
  <si>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</si>
  <si>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</si>
  <si>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</si>
  <si>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</si>
  <si>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</si>
  <si>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</si>
  <si>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</si>
  <si>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</si>
  <si>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</si>
  <si>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</si>
  <si>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</si>
  <si>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</si>
  <si>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</si>
  <si>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</si>
  <si>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</si>
  <si>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</si>
  <si>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</si>
  <si>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</si>
  <si>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</si>
  <si>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</si>
  <si>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</si>
  <si>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</si>
  <si>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</si>
  <si>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</si>
  <si>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</si>
  <si>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</si>
  <si>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</si>
  <si>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</si>
  <si>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</si>
  <si>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</si>
  <si>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</si>
  <si>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</si>
  <si>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</si>
  <si>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</si>
  <si>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</si>
  <si>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</si>
  <si>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</si>
  <si>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</si>
  <si>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</si>
  <si>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</si>
  <si>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</si>
  <si>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</si>
  <si>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</si>
  <si>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</si>
  <si>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</si>
  <si>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</si>
  <si>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</si>
  <si>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</si>
  <si>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</si>
  <si>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</si>
  <si>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</si>
  <si>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</si>
  <si>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</si>
  <si>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</si>
  <si>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</si>
  <si>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</si>
  <si>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</si>
  <si>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</si>
  <si>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</si>
  <si>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</si>
  <si>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</si>
  <si>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</si>
  <si>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</si>
  <si>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</si>
  <si>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</si>
  <si>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</si>
  <si>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</si>
  <si>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</si>
  <si>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</si>
  <si>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</si>
  <si>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</si>
  <si>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</si>
  <si>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</si>
  <si>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</si>
  <si>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</si>
  <si>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</si>
  <si>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</si>
  <si>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</si>
  <si>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</si>
  <si>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</si>
  <si>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</si>
  <si>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</si>
  <si>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</si>
  <si>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</si>
  <si>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</si>
  <si>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</si>
  <si>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</si>
  <si>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</si>
  <si>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</si>
  <si>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</si>
  <si>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</si>
  <si>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</si>
  <si>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</si>
  <si>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</si>
  <si>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</si>
  <si>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</si>
  <si>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</si>
  <si>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</si>
  <si>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</si>
  <si>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</si>
  <si>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</si>
  <si>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</si>
  <si>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</si>
  <si>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</si>
  <si>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</si>
  <si>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</si>
  <si>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</si>
  <si>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</si>
  <si>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</si>
  <si>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</si>
  <si>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</si>
  <si>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</si>
  <si>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</si>
  <si>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</si>
  <si>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</si>
  <si>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</si>
  <si>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</si>
  <si>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</si>
  <si>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</si>
  <si>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</si>
  <si>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</si>
  <si>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</si>
  <si>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</si>
  <si>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</si>
  <si>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</si>
  <si>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</si>
  <si>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</si>
  <si>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</si>
  <si>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</si>
  <si>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</si>
  <si>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</si>
  <si>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</si>
  <si>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</si>
  <si>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</si>
  <si>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</si>
  <si>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</si>
  <si>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</si>
  <si>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</si>
  <si>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</si>
  <si>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</si>
  <si>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</si>
  <si>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</si>
  <si>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</si>
  <si>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</si>
  <si>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</si>
  <si>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</si>
  <si>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</si>
  <si>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</si>
  <si>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</si>
  <si>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</si>
  <si>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</si>
  <si>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</si>
  <si>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</si>
  <si>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</si>
  <si>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</si>
  <si>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</si>
  <si>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</si>
  <si>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</si>
  <si>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</si>
  <si>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</si>
  <si>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</si>
  <si>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</si>
  <si>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</si>
  <si>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</si>
  <si>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</si>
  <si>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</si>
  <si>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</si>
  <si>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</si>
  <si>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</si>
  <si>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</si>
  <si>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</si>
  <si>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</si>
  <si>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</si>
  <si>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</si>
  <si>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</si>
  <si>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</si>
  <si>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</si>
  <si>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</si>
  <si>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</si>
  <si>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</si>
  <si>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</si>
  <si>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</si>
  <si>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</si>
  <si>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</si>
  <si>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</si>
  <si>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</si>
  <si>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</si>
  <si>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</si>
  <si>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</si>
  <si>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</si>
  <si>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</si>
  <si>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</si>
  <si>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</si>
  <si>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</si>
  <si>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</si>
  <si>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</si>
  <si>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</si>
  <si>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</si>
  <si>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</si>
  <si>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</si>
  <si>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</si>
  <si>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</si>
  <si>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</si>
  <si>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</si>
  <si>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</si>
  <si>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</si>
  <si>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</si>
  <si>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</si>
  <si>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</si>
  <si>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</si>
  <si>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</si>
  <si>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</si>
  <si>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</si>
  <si>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</si>
  <si>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</si>
  <si>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</si>
  <si>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</si>
  <si>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</si>
  <si>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</si>
  <si>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</si>
  <si>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</si>
  <si>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</si>
  <si>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</si>
  <si>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</si>
  <si>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</si>
  <si>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</si>
  <si>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</si>
  <si>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</si>
  <si>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</si>
  <si>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</si>
  <si>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</si>
  <si>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</si>
  <si>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</si>
  <si>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</si>
  <si>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</si>
  <si>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</si>
  <si>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</si>
  <si>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</si>
  <si>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</si>
  <si>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</si>
  <si>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</si>
  <si>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</si>
  <si>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</si>
  <si>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</si>
  <si>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</si>
  <si>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</si>
  <si>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</si>
  <si>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</si>
  <si>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</si>
  <si>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</si>
  <si>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</si>
  <si>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</si>
  <si>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</si>
  <si>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</si>
  <si>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</si>
  <si>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</si>
  <si>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</si>
  <si>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</si>
  <si>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</si>
  <si>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</si>
  <si>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</si>
  <si>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</si>
  <si>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</si>
  <si>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</si>
  <si>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</si>
  <si>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</si>
  <si>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</si>
  <si>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</si>
  <si>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</si>
  <si>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</si>
  <si>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</si>
  <si>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</si>
  <si>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</si>
  <si>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</si>
  <si>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</si>
  <si>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</si>
  <si>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</si>
  <si>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</si>
  <si>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</si>
  <si>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</si>
  <si>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</si>
  <si>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</si>
  <si>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</si>
  <si>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</si>
  <si>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</si>
  <si>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</si>
  <si>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</si>
  <si>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</si>
  <si>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</si>
  <si>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</si>
  <si>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</si>
  <si>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</si>
  <si>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</si>
  <si>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</si>
  <si>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</si>
  <si>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</si>
  <si>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</si>
  <si>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</si>
  <si>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</si>
  <si>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</si>
  <si>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</si>
  <si>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</si>
  <si>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</si>
  <si>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</si>
  <si>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</si>
  <si>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</si>
  <si>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</si>
  <si>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</si>
  <si>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</si>
  <si>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</si>
  <si>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</si>
  <si>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</si>
  <si>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</si>
  <si>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</si>
  <si>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</si>
  <si>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</si>
  <si>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</si>
  <si>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</si>
  <si>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</si>
  <si>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</si>
  <si>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</si>
  <si>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</si>
  <si>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</si>
  <si>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</si>
  <si>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</si>
  <si>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</si>
  <si>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</si>
  <si>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</si>
  <si>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</si>
  <si>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</si>
  <si>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</si>
  <si>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</si>
  <si>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</si>
  <si>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</si>
  <si>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</si>
  <si>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</si>
  <si>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</si>
  <si>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</si>
  <si>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</si>
  <si>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</si>
  <si>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</si>
  <si>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</si>
  <si>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</si>
  <si>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</si>
  <si>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</si>
  <si>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</si>
  <si>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</si>
  <si>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</si>
  <si>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</si>
  <si>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</si>
  <si>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</si>
  <si>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</si>
  <si>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</si>
  <si>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</si>
  <si>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</si>
  <si>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</si>
  <si>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</si>
  <si>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</si>
  <si>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</si>
  <si>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</si>
  <si>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</si>
  <si>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</si>
  <si>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</si>
  <si>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</si>
  <si>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</si>
  <si>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</si>
  <si>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</si>
  <si>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</si>
  <si>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</si>
  <si>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</si>
  <si>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</si>
  <si>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</si>
  <si>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</si>
  <si>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</si>
  <si>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</si>
  <si>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</si>
  <si>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</si>
  <si>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</si>
  <si>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</si>
  <si>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</si>
  <si>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</si>
  <si>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</si>
  <si>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</si>
  <si>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</si>
  <si>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</si>
  <si>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</si>
  <si>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</si>
  <si>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</si>
  <si>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</si>
  <si>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</si>
  <si>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</si>
  <si>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</si>
  <si>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</si>
  <si>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</si>
  <si>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</si>
  <si>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</si>
  <si>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</si>
  <si>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</si>
  <si>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</si>
  <si>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</si>
  <si>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</si>
  <si>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</si>
  <si>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</si>
  <si>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</si>
  <si>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</si>
  <si>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</si>
  <si>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</si>
  <si>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</si>
  <si>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</si>
  <si>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</si>
  <si>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</si>
  <si>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</si>
  <si>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</si>
  <si>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</si>
  <si>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</si>
  <si>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</si>
  <si>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</si>
  <si>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</si>
  <si>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</si>
  <si>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</si>
  <si>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</si>
  <si>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</si>
  <si>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</si>
  <si>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</si>
  <si>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</si>
  <si>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</si>
  <si>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</si>
  <si>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</si>
  <si>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</si>
  <si>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</si>
  <si>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</si>
  <si>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</si>
  <si>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</si>
  <si>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</si>
  <si>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</si>
  <si>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</si>
  <si>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</si>
  <si>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</si>
  <si>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</si>
  <si>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</si>
  <si>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</si>
  <si>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</si>
  <si>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</si>
  <si>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</si>
  <si>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</si>
  <si>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</si>
  <si>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</si>
  <si>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</si>
  <si>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</si>
  <si>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</si>
  <si>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</si>
  <si>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</si>
  <si>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</si>
  <si>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</si>
  <si>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</si>
  <si>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</si>
  <si>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</si>
  <si>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</si>
  <si>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</si>
  <si>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</si>
  <si>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</si>
  <si>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</si>
  <si>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</si>
  <si>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</si>
  <si>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</si>
  <si>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</si>
  <si>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</si>
  <si>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</si>
  <si>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</si>
  <si>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</si>
  <si>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</si>
  <si>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</si>
  <si>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</si>
  <si>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</si>
  <si>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</si>
  <si>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</si>
  <si>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</si>
  <si>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</si>
  <si>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</si>
  <si>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</si>
  <si>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</si>
  <si>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</si>
  <si>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</si>
  <si>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</si>
  <si>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</si>
  <si>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</si>
  <si>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</si>
  <si>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</si>
  <si>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</si>
  <si>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</si>
  <si>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</si>
  <si>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</si>
  <si>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</si>
  <si>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</si>
  <si>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</si>
  <si>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</si>
  <si>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</si>
  <si>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</si>
  <si>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</si>
  <si>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</si>
  <si>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</si>
  <si>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</si>
  <si>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</si>
  <si>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</si>
  <si>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</si>
  <si>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</si>
  <si>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</si>
  <si>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</si>
  <si>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</si>
  <si>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</si>
  <si>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</si>
  <si>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</si>
  <si>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</si>
  <si>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</si>
  <si>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</si>
  <si>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</si>
  <si>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</si>
  <si>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</si>
  <si>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</si>
  <si>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</si>
  <si>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</si>
  <si>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</si>
  <si>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</si>
  <si>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</si>
  <si>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</si>
  <si>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</si>
  <si>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</si>
  <si>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</si>
  <si>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</si>
  <si>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</si>
  <si>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</si>
  <si>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</si>
  <si>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</si>
  <si>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</si>
  <si>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</si>
  <si>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</si>
  <si>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</si>
  <si>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</si>
  <si>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</si>
  <si>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</si>
  <si>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</si>
  <si>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</si>
  <si>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</si>
  <si>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</si>
  <si>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</si>
  <si>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</si>
  <si>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</si>
  <si>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</si>
  <si>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</si>
  <si>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</si>
  <si>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</si>
  <si>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</si>
  <si>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</si>
  <si>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</si>
  <si>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</si>
  <si>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</si>
  <si>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</si>
  <si>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</si>
  <si>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</si>
  <si>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</si>
  <si>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</si>
  <si>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</si>
  <si>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</si>
  <si>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</si>
  <si>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</si>
  <si>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</si>
  <si>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</si>
  <si>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</si>
  <si>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</si>
  <si>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</si>
  <si>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</si>
  <si>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</si>
  <si>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</si>
  <si>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</si>
  <si>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</si>
  <si>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</si>
  <si>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</si>
  <si>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</si>
  <si>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</si>
  <si>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</si>
  <si>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</si>
  <si>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</si>
  <si>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</si>
  <si>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</si>
  <si>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</si>
  <si>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</si>
  <si>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</si>
  <si>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</si>
  <si>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</si>
  <si>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</si>
  <si>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</si>
  <si>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</si>
  <si>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</si>
  <si>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</si>
  <si>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</si>
  <si>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</si>
  <si>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</si>
  <si>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</si>
  <si>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</si>
  <si>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</si>
  <si>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</si>
  <si>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</si>
  <si>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</si>
  <si>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</si>
  <si>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</si>
  <si>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</si>
  <si>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</si>
  <si>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</si>
  <si>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</si>
  <si>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</si>
  <si>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</si>
  <si>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</si>
  <si>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</si>
  <si>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</si>
  <si>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</si>
  <si>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</si>
  <si>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</si>
  <si>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</si>
  <si>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</si>
  <si>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</si>
  <si>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</si>
  <si>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</si>
  <si>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</si>
  <si>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</si>
  <si>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</si>
  <si>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</si>
  <si>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</si>
  <si>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</si>
  <si>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</si>
  <si>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</si>
  <si>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</si>
  <si>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</si>
  <si>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</si>
  <si>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</si>
  <si>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</si>
  <si>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</si>
  <si>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</si>
  <si>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</si>
  <si>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</si>
  <si>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</si>
  <si>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</si>
  <si>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</si>
  <si>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</si>
  <si>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</si>
  <si>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</si>
  <si>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</si>
  <si>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</si>
  <si>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</si>
  <si>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</si>
  <si>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</si>
  <si>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</si>
  <si>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</si>
  <si>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</si>
  <si>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</si>
  <si>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</si>
  <si>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</si>
  <si>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</si>
  <si>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</si>
  <si>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</si>
  <si>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</si>
  <si>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</si>
  <si>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</si>
  <si>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</si>
  <si>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</si>
  <si>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</si>
  <si>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</si>
  <si>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</si>
  <si>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</si>
  <si>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</si>
  <si>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</si>
  <si>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</si>
  <si>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</si>
  <si>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</si>
  <si>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</si>
  <si>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</si>
  <si>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</si>
  <si>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</si>
  <si>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</si>
  <si>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</si>
  <si>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</si>
  <si>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</si>
  <si>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</si>
  <si>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</si>
  <si>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</si>
  <si>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</si>
  <si>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</si>
  <si>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</si>
  <si>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</si>
  <si>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</si>
  <si>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</si>
  <si>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</si>
  <si>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</si>
  <si>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</si>
  <si>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</si>
  <si>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</si>
  <si>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</si>
  <si>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</si>
  <si>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</si>
  <si>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</si>
  <si>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</si>
  <si>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</si>
  <si>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</si>
  <si>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</si>
  <si>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</si>
  <si>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</si>
  <si>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</si>
  <si>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</si>
  <si>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</si>
  <si>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</si>
  <si>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</si>
  <si>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</si>
  <si>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</si>
  <si>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</si>
  <si>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</si>
  <si>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</si>
  <si>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</si>
  <si>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</si>
  <si>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</si>
  <si>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</si>
  <si>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</si>
  <si>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</si>
  <si>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</si>
  <si>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</si>
  <si>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</si>
  <si>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</si>
  <si>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</si>
  <si>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</si>
  <si>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</si>
  <si>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</si>
  <si>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</si>
  <si>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</si>
  <si>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</si>
  <si>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</si>
  <si>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</si>
  <si>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</si>
  <si>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</si>
  <si>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</si>
  <si>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</si>
  <si>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</si>
  <si>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</si>
  <si>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</si>
  <si>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</si>
  <si>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</si>
  <si>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</si>
  <si>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</si>
  <si>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</si>
  <si>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</si>
  <si>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</si>
  <si>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</si>
  <si>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</si>
  <si>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</si>
  <si>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</si>
  <si>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</si>
  <si>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</si>
  <si>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</si>
  <si>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</si>
  <si>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</si>
  <si>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</si>
  <si>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</si>
  <si>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</si>
  <si>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</si>
  <si>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</si>
  <si>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</si>
  <si>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</si>
  <si>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</si>
  <si>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</si>
  <si>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</si>
  <si>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</si>
  <si>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</si>
  <si>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</si>
  <si>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</si>
  <si>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</si>
  <si>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</si>
  <si>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</si>
  <si>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</si>
  <si>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</si>
  <si>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</si>
  <si>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</si>
  <si>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</si>
  <si>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</si>
  <si>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</si>
  <si>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</si>
  <si>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</si>
  <si>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</si>
  <si>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</si>
  <si>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</si>
  <si>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</si>
  <si>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</si>
  <si>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</si>
  <si>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</si>
  <si>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</si>
  <si>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</si>
  <si>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</si>
  <si>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</si>
  <si>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</si>
  <si>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</si>
  <si>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</si>
  <si>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</si>
  <si>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</si>
  <si>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</si>
  <si>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</si>
  <si>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</si>
  <si>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</si>
  <si>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</si>
  <si>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</si>
  <si>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</si>
  <si>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</si>
  <si>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</si>
  <si>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</si>
  <si>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</si>
  <si>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</si>
  <si>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</si>
  <si>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</si>
  <si>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</si>
  <si>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</si>
  <si>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</si>
  <si>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</si>
  <si>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</si>
  <si>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</si>
  <si>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</si>
  <si>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</si>
  <si>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</si>
  <si>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</si>
  <si>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</si>
  <si>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</si>
  <si>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</si>
  <si>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</si>
  <si>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</si>
  <si>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</si>
  <si>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</si>
  <si>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</si>
  <si>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</si>
  <si>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</si>
  <si>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</si>
  <si>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</si>
  <si>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</si>
  <si>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</si>
  <si>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</si>
  <si>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</si>
  <si>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</si>
  <si>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</si>
  <si>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</si>
  <si>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</si>
  <si>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</si>
  <si>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</si>
  <si>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</si>
  <si>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</si>
  <si>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</si>
  <si>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</si>
  <si>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</si>
  <si>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</si>
  <si>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</si>
  <si>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</si>
  <si>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</si>
  <si>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</si>
  <si>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</si>
  <si>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</si>
  <si>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</si>
  <si>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</si>
  <si>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</si>
  <si>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</si>
  <si>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</si>
  <si>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</si>
  <si>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</si>
  <si>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</si>
  <si>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</si>
  <si>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</si>
  <si>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</si>
  <si>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</si>
  <si>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</si>
  <si>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</si>
  <si>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</si>
  <si>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</si>
  <si>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</si>
  <si>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</si>
  <si>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</si>
  <si>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</si>
  <si>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</si>
  <si>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</si>
  <si>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</si>
  <si>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</si>
  <si>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</si>
  <si>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</si>
  <si>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</si>
  <si>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</si>
  <si>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</si>
  <si>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</si>
  <si>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</si>
  <si>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</si>
  <si>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</si>
  <si>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</si>
  <si>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</si>
  <si>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</si>
  <si>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</si>
  <si>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</si>
  <si>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</si>
  <si>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</si>
  <si>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</si>
  <si>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</si>
  <si>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</si>
  <si>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</si>
  <si>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</si>
  <si>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</si>
  <si>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</si>
  <si>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</si>
  <si>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</si>
  <si>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</si>
  <si>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</si>
  <si>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</si>
  <si>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</si>
  <si>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</si>
  <si>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</si>
  <si>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</si>
  <si>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</si>
  <si>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</si>
  <si>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</si>
  <si>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</si>
  <si>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</si>
  <si>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</si>
  <si>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</si>
  <si>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</si>
  <si>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</si>
  <si>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</si>
  <si>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</si>
  <si>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</si>
  <si>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</si>
  <si>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</si>
  <si>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</si>
  <si>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</si>
  <si>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</si>
  <si>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</si>
  <si>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</si>
  <si>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</si>
  <si>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</si>
  <si>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</si>
  <si>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</si>
  <si>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</si>
  <si>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</si>
  <si>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</si>
  <si>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</si>
  <si>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</si>
  <si>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</si>
  <si>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</si>
  <si>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</si>
  <si>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</si>
  <si>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</si>
  <si>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</si>
  <si>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</si>
  <si>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</si>
  <si>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</si>
  <si>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</si>
  <si>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</si>
  <si>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</si>
  <si>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</si>
  <si>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</si>
  <si>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</si>
  <si>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</si>
  <si>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</si>
  <si>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</si>
  <si>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</si>
  <si>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</si>
  <si>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</si>
  <si>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</si>
  <si>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</si>
  <si>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</si>
  <si>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</si>
  <si>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</si>
  <si>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</si>
  <si>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</si>
  <si>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</si>
  <si>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</si>
  <si>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</si>
  <si>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</si>
  <si>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</si>
  <si>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</si>
  <si>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</si>
  <si>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</si>
  <si>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</si>
  <si>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</si>
  <si>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</si>
  <si>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</si>
  <si>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</si>
  <si>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</si>
  <si>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</si>
  <si>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</si>
  <si>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</si>
  <si>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</si>
  <si>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</si>
  <si>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</si>
  <si>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</si>
  <si>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</si>
  <si>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</si>
  <si>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</si>
  <si>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</si>
  <si>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</si>
  <si>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</si>
  <si>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</si>
  <si>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</si>
  <si>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</si>
  <si>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</si>
  <si>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</si>
  <si>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</si>
  <si>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</si>
  <si>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</si>
  <si>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</si>
  <si>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</si>
  <si>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</si>
  <si>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</si>
  <si>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</si>
  <si>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</si>
  <si>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</si>
  <si>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</si>
  <si>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</si>
  <si>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</si>
  <si>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</si>
  <si>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</si>
  <si>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</si>
  <si>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</si>
  <si>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</si>
  <si>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</si>
  <si>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</si>
  <si>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</si>
  <si>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</si>
  <si>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</si>
  <si>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</si>
  <si>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</si>
  <si>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</si>
  <si>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</si>
  <si>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</si>
  <si>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</si>
  <si>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</si>
  <si>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</si>
  <si>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</si>
  <si>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</si>
  <si>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</si>
  <si>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</si>
  <si>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</si>
  <si>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</si>
  <si>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</si>
  <si>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</si>
  <si>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</si>
  <si>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</si>
  <si>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</si>
  <si>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</si>
  <si>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</si>
  <si>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</si>
  <si>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</si>
  <si>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</si>
  <si>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</si>
  <si>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</si>
  <si>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</si>
  <si>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</si>
  <si>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</si>
  <si>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</si>
  <si>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</si>
  <si>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</si>
  <si>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</si>
  <si>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</si>
  <si>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</si>
  <si>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</si>
  <si>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</si>
  <si>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</si>
  <si>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</si>
  <si>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</si>
  <si>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</si>
  <si>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</si>
  <si>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</si>
  <si>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</si>
  <si>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</si>
  <si>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</si>
  <si>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</si>
  <si>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</si>
  <si>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</si>
  <si>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</si>
  <si>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</si>
  <si>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</si>
  <si>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</si>
  <si>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</si>
  <si>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</si>
  <si>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</si>
  <si>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</si>
  <si>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</si>
  <si>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</si>
  <si>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</si>
  <si>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</si>
  <si>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</si>
  <si>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</si>
  <si>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</si>
  <si>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</si>
  <si>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</si>
  <si>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</si>
  <si>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</si>
  <si>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</si>
  <si>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</si>
  <si>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</si>
  <si>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</si>
  <si>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</si>
  <si>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</si>
  <si>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</si>
  <si>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</si>
  <si>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</si>
  <si>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</si>
  <si>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</si>
  <si>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</si>
  <si>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</si>
  <si>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</si>
  <si>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</si>
  <si>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</si>
  <si>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</si>
  <si>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</si>
  <si>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</si>
  <si>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</si>
  <si>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</si>
  <si>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</si>
  <si>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</si>
  <si>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</si>
  <si>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</si>
  <si>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</si>
  <si>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</si>
  <si>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</si>
  <si>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</si>
  <si>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</si>
  <si>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</si>
  <si>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</si>
  <si>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</si>
  <si>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</si>
  <si>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</si>
  <si>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</si>
  <si>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</si>
  <si>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</si>
  <si>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</si>
  <si>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</si>
  <si>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</si>
  <si>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</si>
  <si>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</si>
  <si>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</si>
  <si>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</si>
  <si>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</si>
  <si>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</si>
  <si>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</si>
  <si>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</si>
  <si>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</si>
  <si>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</si>
  <si>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</si>
  <si>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</si>
  <si>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</si>
  <si>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</si>
  <si>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</si>
  <si>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</si>
  <si>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</si>
  <si>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</si>
  <si>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</si>
  <si>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</si>
  <si>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</si>
  <si>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</si>
  <si>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</si>
  <si>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</si>
  <si>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</si>
  <si>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</si>
  <si>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</si>
  <si>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</si>
  <si>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</si>
  <si>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</si>
  <si>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</si>
  <si>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</si>
  <si>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</si>
  <si>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</si>
  <si>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</si>
  <si>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</si>
  <si>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</si>
  <si>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</si>
  <si>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</si>
  <si>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</si>
  <si>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</si>
  <si>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</si>
  <si>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</si>
  <si>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</si>
  <si>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</si>
  <si>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</si>
  <si>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</si>
  <si>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</si>
  <si>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</si>
  <si>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</si>
  <si>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</si>
  <si>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</si>
  <si>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</si>
  <si>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</si>
  <si>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</si>
  <si>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</si>
  <si>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</si>
  <si>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</si>
  <si>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</si>
  <si>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</si>
  <si>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</si>
  <si>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</si>
  <si>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</si>
  <si>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</si>
  <si>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</si>
  <si>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</si>
  <si>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</si>
  <si>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</si>
  <si>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</si>
  <si>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</si>
  <si>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</si>
  <si>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</si>
  <si>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</si>
  <si>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</si>
  <si>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</si>
  <si>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</si>
  <si>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</si>
  <si>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</si>
  <si>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</si>
  <si>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</si>
  <si>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</si>
  <si>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</si>
  <si>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</si>
  <si>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</si>
  <si>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</si>
  <si>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</si>
  <si>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</si>
  <si>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</si>
  <si>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</si>
  <si>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</si>
  <si>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</si>
  <si>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</si>
  <si>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</si>
  <si>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</si>
  <si>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</si>
  <si>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</si>
  <si>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</si>
  <si>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</si>
  <si>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</si>
  <si>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</si>
  <si>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</si>
  <si>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</si>
  <si>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</si>
  <si>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</si>
  <si>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</si>
  <si>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</si>
  <si>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</si>
  <si>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</si>
  <si>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</si>
  <si>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</si>
  <si>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</si>
  <si>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</si>
  <si>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</si>
  <si>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</si>
  <si>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</si>
  <si>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</si>
  <si>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</si>
  <si>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</si>
  <si>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</si>
  <si>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</si>
  <si>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</si>
  <si>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</si>
  <si>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</si>
  <si>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</si>
  <si>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</si>
  <si>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</si>
  <si>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</si>
  <si>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</si>
  <si>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</si>
  <si>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</si>
  <si>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</si>
  <si>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</si>
  <si>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</si>
  <si>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</si>
  <si>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</si>
  <si>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</si>
  <si>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</si>
  <si>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</si>
  <si>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</si>
  <si>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</si>
  <si>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</si>
  <si>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</si>
  <si>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</si>
  <si>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</si>
  <si>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</si>
  <si>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</si>
  <si>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</si>
  <si>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</si>
  <si>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</si>
  <si>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</si>
  <si>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</si>
  <si>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</si>
  <si>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</si>
  <si>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</si>
  <si>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</si>
  <si>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</si>
  <si>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</si>
  <si>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</si>
  <si>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</si>
  <si>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</si>
  <si>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</si>
  <si>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</si>
  <si>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</si>
  <si>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</si>
  <si>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</si>
  <si>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</si>
  <si>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</si>
  <si>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</si>
  <si>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</si>
  <si>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</si>
  <si>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</si>
  <si>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</si>
  <si>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</si>
  <si>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</si>
  <si>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</si>
  <si>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</si>
  <si>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</si>
  <si>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</si>
  <si>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</si>
  <si>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</si>
  <si>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</si>
  <si>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</si>
  <si>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</si>
  <si>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</si>
  <si>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</si>
  <si>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</si>
  <si>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</si>
  <si>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</si>
  <si>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</si>
  <si>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</si>
  <si>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</si>
  <si>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</si>
  <si>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</si>
  <si>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</si>
  <si>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</si>
  <si>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</si>
  <si>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</si>
  <si>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</si>
  <si>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</si>
  <si>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</si>
  <si>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</si>
  <si>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</si>
  <si>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</si>
  <si>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</si>
  <si>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</si>
  <si>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</si>
  <si>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</si>
  <si>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</si>
  <si>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</si>
  <si>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</si>
  <si>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</si>
  <si>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</si>
  <si>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</si>
  <si>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</si>
  <si>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</si>
  <si>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</si>
  <si>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</si>
  <si>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</si>
  <si>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</si>
  <si>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</si>
  <si>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</si>
  <si>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</si>
  <si>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</si>
  <si>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</si>
  <si>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</si>
  <si>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</si>
  <si>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</si>
  <si>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</si>
  <si>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</si>
  <si>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</si>
  <si>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</si>
  <si>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</si>
  <si>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</si>
  <si>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</si>
  <si>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</si>
  <si>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</si>
  <si>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</si>
  <si>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</si>
  <si>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</si>
  <si>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</si>
  <si>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</si>
  <si>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</si>
  <si>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</si>
  <si>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</si>
  <si>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</si>
  <si>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</si>
  <si>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</si>
  <si>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</si>
  <si>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</si>
  <si>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</si>
  <si>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</si>
  <si>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</si>
  <si>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</si>
  <si>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</si>
  <si>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</si>
  <si>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</si>
  <si>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</si>
  <si>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</si>
  <si>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</si>
  <si>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</si>
  <si>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</si>
  <si>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</si>
  <si>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</si>
  <si>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</si>
  <si>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</si>
  <si>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</si>
  <si>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</si>
  <si>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</si>
  <si>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</si>
  <si>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</si>
  <si>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</si>
  <si>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</si>
  <si>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</si>
  <si>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</si>
  <si>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</si>
  <si>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</si>
  <si>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</si>
  <si>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</si>
  <si>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</si>
  <si>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</si>
  <si>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</si>
  <si>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</si>
  <si>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</si>
  <si>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</si>
  <si>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</si>
  <si>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</si>
  <si>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</si>
  <si>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</si>
  <si>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</si>
  <si>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</si>
  <si>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</si>
  <si>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</si>
  <si>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</si>
  <si>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</si>
  <si>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</si>
  <si>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</si>
  <si>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</si>
  <si>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</si>
  <si>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</si>
  <si>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</si>
  <si>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</si>
  <si>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</si>
  <si>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</si>
  <si>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</si>
  <si>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</si>
  <si>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</si>
  <si>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</si>
  <si>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</si>
  <si>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</si>
  <si>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</si>
  <si>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</si>
  <si>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</si>
  <si>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</si>
  <si>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</si>
  <si>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</si>
  <si>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</si>
  <si>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</si>
  <si>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</si>
  <si>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</si>
  <si>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</si>
  <si>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</si>
  <si>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</si>
  <si>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</si>
  <si>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</si>
  <si>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</si>
  <si>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</si>
  <si>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</si>
  <si>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</si>
  <si>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</si>
  <si>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</si>
  <si>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</si>
  <si>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</si>
  <si>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</si>
  <si>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</si>
  <si>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</si>
  <si>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</si>
  <si>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</si>
  <si>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</si>
  <si>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</si>
  <si>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</si>
  <si>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</si>
  <si>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</si>
  <si>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</si>
  <si>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</si>
  <si>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</si>
  <si>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</si>
  <si>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</si>
  <si>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</si>
  <si>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</si>
  <si>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</si>
  <si>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</si>
  <si>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</si>
  <si>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</si>
  <si>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</si>
  <si>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</si>
  <si>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</si>
  <si>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</si>
  <si>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</si>
  <si>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</si>
  <si>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</si>
  <si>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</si>
  <si>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</si>
  <si>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</si>
  <si>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</si>
  <si>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</si>
  <si>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</si>
  <si>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</si>
  <si>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</si>
  <si>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</si>
  <si>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</si>
  <si>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</si>
  <si>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</si>
  <si>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</si>
  <si>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</si>
  <si>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</si>
  <si>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</si>
  <si>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</si>
  <si>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</si>
  <si>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</si>
  <si>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</si>
  <si>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</si>
  <si>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</si>
  <si>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</si>
  <si>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</si>
  <si>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</si>
  <si>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</si>
  <si>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</si>
  <si>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</si>
  <si>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</si>
  <si>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</si>
  <si>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</si>
  <si>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</si>
  <si>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</si>
  <si>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</si>
  <si>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</si>
  <si>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</si>
  <si>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</si>
  <si>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</si>
  <si>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</si>
  <si>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</si>
  <si>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</si>
  <si>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</si>
  <si>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</si>
  <si>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</si>
  <si>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</si>
  <si>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</si>
  <si>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</si>
  <si>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</si>
  <si>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</si>
  <si>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</si>
  <si>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</si>
  <si>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</si>
  <si>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</si>
  <si>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</si>
  <si>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</si>
  <si>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</si>
  <si>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</si>
  <si>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</si>
  <si>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</si>
  <si>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</si>
  <si>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</si>
  <si>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</si>
  <si>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</si>
  <si>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</si>
  <si>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</si>
  <si>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</si>
  <si>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</si>
  <si>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</si>
  <si>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</si>
  <si>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</si>
  <si>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</si>
  <si>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</si>
  <si>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</si>
  <si>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</si>
  <si>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</si>
  <si>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</si>
  <si>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</si>
  <si>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</si>
  <si>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</si>
  <si>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</si>
  <si>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</si>
  <si>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</si>
  <si>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</si>
  <si>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</si>
  <si>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</si>
  <si>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</si>
  <si>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</si>
  <si>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</si>
  <si>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</si>
  <si>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</si>
  <si>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</si>
  <si>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</si>
  <si>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</si>
  <si>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</si>
  <si>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</si>
  <si>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</si>
  <si>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</si>
  <si>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</si>
  <si>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</si>
  <si>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</si>
  <si>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</si>
  <si>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</si>
  <si>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</si>
  <si>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</si>
  <si>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</si>
  <si>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</si>
  <si>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</si>
  <si>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</si>
  <si>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</si>
  <si>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</si>
  <si>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</si>
  <si>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</si>
  <si>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</si>
  <si>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</si>
  <si>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</si>
  <si>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</si>
  <si>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</si>
  <si>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</si>
  <si>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</si>
  <si>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</si>
  <si>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</si>
  <si>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</si>
  <si>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</si>
  <si>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</si>
  <si>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</si>
  <si>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</si>
  <si>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</si>
  <si>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</si>
  <si>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</si>
  <si>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</si>
  <si>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</si>
  <si>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</si>
  <si>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</si>
  <si>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</si>
  <si>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</si>
  <si>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</si>
  <si>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</si>
  <si>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</si>
  <si>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</si>
  <si>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</si>
  <si>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</si>
  <si>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</si>
  <si>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</si>
  <si>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</si>
  <si>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</si>
  <si>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</si>
  <si>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</si>
  <si>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</si>
  <si>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</si>
  <si>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</si>
  <si>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</si>
  <si>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</si>
  <si>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</si>
  <si>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</si>
  <si>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</si>
  <si>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</si>
  <si>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</si>
  <si>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</si>
  <si>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</si>
  <si>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</si>
  <si>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</si>
  <si>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</si>
  <si>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</si>
  <si>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</si>
  <si>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</si>
  <si>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</si>
  <si>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</si>
  <si>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</si>
  <si>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</si>
  <si>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</si>
  <si>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</si>
  <si>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</si>
  <si>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</si>
  <si>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</si>
  <si>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</si>
  <si>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</si>
  <si>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</si>
  <si>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</si>
  <si>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</si>
  <si>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</si>
  <si>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</si>
  <si>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</si>
  <si>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</si>
  <si>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</si>
  <si>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</si>
  <si>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</si>
  <si>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</si>
  <si>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</si>
  <si>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</si>
  <si>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</si>
  <si>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</si>
  <si>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</si>
  <si>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</si>
  <si>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</si>
  <si>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</si>
  <si>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</si>
  <si>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</si>
  <si>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</si>
  <si>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</si>
  <si>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</si>
  <si>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</si>
  <si>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</si>
  <si>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</si>
  <si>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</si>
  <si>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</si>
  <si>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</si>
  <si>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</si>
  <si>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</si>
  <si>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</si>
  <si>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</si>
  <si>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</si>
  <si>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</si>
  <si>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</si>
  <si>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</si>
  <si>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</si>
  <si>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</si>
  <si>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</si>
  <si>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</si>
  <si>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</si>
  <si>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</si>
  <si>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</si>
  <si>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</si>
  <si>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</si>
  <si>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</si>
  <si>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</si>
  <si>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</si>
  <si>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</si>
  <si>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</si>
  <si>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</si>
  <si>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</si>
  <si>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</si>
  <si>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</si>
  <si>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</si>
  <si>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</si>
  <si>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</si>
  <si>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</si>
  <si>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</si>
  <si>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</si>
  <si>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</si>
  <si>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</si>
  <si>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</si>
  <si>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</si>
  <si>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</si>
  <si>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</si>
  <si>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</si>
  <si>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</si>
  <si>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</si>
  <si>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</si>
  <si>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</si>
  <si>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</si>
  <si>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</si>
  <si>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</si>
  <si>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</si>
  <si>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</si>
  <si>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</si>
  <si>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</si>
  <si>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</si>
  <si>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</si>
  <si>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</si>
  <si>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</si>
  <si>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</si>
  <si>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</si>
  <si>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</si>
  <si>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</si>
  <si>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</si>
  <si>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</si>
  <si>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</si>
  <si>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</si>
  <si>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</si>
  <si>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</si>
  <si>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</si>
  <si>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</si>
  <si>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</si>
  <si>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</si>
  <si>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</si>
  <si>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</si>
  <si>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</si>
  <si>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</si>
  <si>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</si>
  <si>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</si>
  <si>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</si>
  <si>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</si>
  <si>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</si>
  <si>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</si>
  <si>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</si>
  <si>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</si>
  <si>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</si>
  <si>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</si>
  <si>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</si>
  <si>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</si>
  <si>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</si>
  <si>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</si>
  <si>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</si>
  <si>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</si>
  <si>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</si>
  <si>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</si>
  <si>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</si>
  <si>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</si>
  <si>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</si>
  <si>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</si>
  <si>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</si>
  <si>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</si>
  <si>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</si>
  <si>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</si>
  <si>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</si>
  <si>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</si>
  <si>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</si>
  <si>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</si>
  <si>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</si>
  <si>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</si>
  <si>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</si>
  <si>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</si>
  <si>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</si>
  <si>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</si>
  <si>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</si>
  <si>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</si>
  <si>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</si>
  <si>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</si>
  <si>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</si>
  <si>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</si>
  <si>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</si>
  <si>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</si>
  <si>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</si>
  <si>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</si>
  <si>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</si>
  <si>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</si>
  <si>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</si>
  <si>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</si>
  <si>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</si>
  <si>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</si>
  <si>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</si>
  <si>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</si>
  <si>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</si>
  <si>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</si>
  <si>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</si>
  <si>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</si>
  <si>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</si>
  <si>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</si>
  <si>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</si>
  <si>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</si>
  <si>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</si>
  <si>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</si>
  <si>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</si>
  <si>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</si>
  <si>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</si>
  <si>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</si>
  <si>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</si>
  <si>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</si>
  <si>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</si>
  <si>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</si>
  <si>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</si>
  <si>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</si>
  <si>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</si>
  <si>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</si>
  <si>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</si>
  <si>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</si>
  <si>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</si>
  <si>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</si>
  <si>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</si>
  <si>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</si>
  <si>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</si>
  <si>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</si>
  <si>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</si>
  <si>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</si>
  <si>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</si>
  <si>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</si>
  <si>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</si>
  <si>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</si>
  <si>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</si>
  <si>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</si>
  <si>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</si>
  <si>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</si>
  <si>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</si>
  <si>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</si>
  <si>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</si>
  <si>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</si>
  <si>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</si>
  <si>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</si>
  <si>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</si>
  <si>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</si>
  <si>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</si>
  <si>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</si>
  <si>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</si>
  <si>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</si>
  <si>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</si>
  <si>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</si>
  <si>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</si>
  <si>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</si>
  <si>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</si>
  <si>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</si>
  <si>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</si>
  <si>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</si>
  <si>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</si>
  <si>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</si>
  <si>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</si>
  <si>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</si>
  <si>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</si>
  <si>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</si>
  <si>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</si>
  <si>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</si>
  <si>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</si>
  <si>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</si>
  <si>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</si>
  <si>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</si>
  <si>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</si>
  <si>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</si>
  <si>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</si>
  <si>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</si>
  <si>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</si>
  <si>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</si>
  <si>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</si>
  <si>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</si>
  <si>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</si>
  <si>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</si>
  <si>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</si>
  <si>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</si>
  <si>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</si>
  <si>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</si>
  <si>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</si>
  <si>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</si>
  <si>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</si>
  <si>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</si>
  <si>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</si>
  <si>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</si>
  <si>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</si>
  <si>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</si>
  <si>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</si>
  <si>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</si>
  <si>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</si>
  <si>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</si>
  <si>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</si>
  <si>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</si>
  <si>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</si>
  <si>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</si>
  <si>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</si>
  <si>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</si>
  <si>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</si>
  <si>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</si>
  <si>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</si>
  <si>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</si>
  <si>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</si>
  <si>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</si>
  <si>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</si>
  <si>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</si>
  <si>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</si>
  <si>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</si>
  <si>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</si>
  <si>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</si>
  <si>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</si>
  <si>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</si>
  <si>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</si>
  <si>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</si>
  <si>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</si>
  <si>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</si>
  <si>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</si>
  <si>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</si>
  <si>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</si>
  <si>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</si>
  <si>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</si>
  <si>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</si>
  <si>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</si>
  <si>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</si>
  <si>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</si>
  <si>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</si>
  <si>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</si>
  <si>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</si>
  <si>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</si>
  <si>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</si>
  <si>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</si>
  <si>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</si>
  <si>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</si>
  <si>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</si>
  <si>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</si>
  <si>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</si>
  <si>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</si>
  <si>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</si>
  <si>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</si>
  <si>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</si>
  <si>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</si>
  <si>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</si>
  <si>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</si>
  <si>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</si>
  <si>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</si>
  <si>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</si>
  <si>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</si>
  <si>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</si>
  <si>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</si>
  <si>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</si>
  <si>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</si>
  <si>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</si>
  <si>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</si>
  <si>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</si>
  <si>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</si>
  <si>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</si>
  <si>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</si>
  <si>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</si>
  <si>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</si>
  <si>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</si>
  <si>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</si>
  <si>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</si>
  <si>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</si>
  <si>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</si>
  <si>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</si>
  <si>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</si>
  <si>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</si>
  <si>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</si>
  <si>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</si>
  <si>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</si>
  <si>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</si>
  <si>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</si>
  <si>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</si>
  <si>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</si>
  <si>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</si>
  <si>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</si>
  <si>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</si>
  <si>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</si>
  <si>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</si>
  <si>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</si>
  <si>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</si>
  <si>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</si>
  <si>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</si>
  <si>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</si>
  <si>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</si>
  <si>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</si>
  <si>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</si>
  <si>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</si>
  <si>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</si>
  <si>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</si>
  <si>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</si>
  <si>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</si>
  <si>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</si>
  <si>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</si>
  <si>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</si>
  <si>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</si>
  <si>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</si>
  <si>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</si>
  <si>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</si>
  <si>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</si>
  <si>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</si>
  <si>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</si>
  <si>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</si>
  <si>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</si>
  <si>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</si>
  <si>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</si>
  <si>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</si>
  <si>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</si>
  <si>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</si>
  <si>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</si>
  <si>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</si>
  <si>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</si>
  <si>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</si>
  <si>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</si>
  <si>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</si>
  <si>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</si>
  <si>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</si>
  <si>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</si>
  <si>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</si>
  <si>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</si>
  <si>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</si>
  <si>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</si>
  <si>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</si>
  <si>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</si>
  <si>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</si>
  <si>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</si>
  <si>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</si>
  <si>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</si>
  <si>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</si>
  <si>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</si>
  <si>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</si>
  <si>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</si>
  <si>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</si>
  <si>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</si>
  <si>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</si>
  <si>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</si>
  <si>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</si>
  <si>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</si>
  <si>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</si>
  <si>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</si>
  <si>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</si>
  <si>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</si>
  <si>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</si>
  <si>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</si>
  <si>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</si>
  <si>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</si>
  <si>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</si>
  <si>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</si>
  <si>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</si>
  <si>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</si>
  <si>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</si>
  <si>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</si>
  <si>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</si>
  <si>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</si>
  <si>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</si>
  <si>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</si>
  <si>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</si>
  <si>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</si>
  <si>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</si>
  <si>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</si>
  <si>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</si>
  <si>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</si>
  <si>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</si>
  <si>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</si>
  <si>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</si>
  <si>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</si>
  <si>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</si>
  <si>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</si>
  <si>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</si>
  <si>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</si>
  <si>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</si>
  <si>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</si>
  <si>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</si>
  <si>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</si>
  <si>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</si>
  <si>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</si>
  <si>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</si>
  <si>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</si>
  <si>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</si>
  <si>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</si>
  <si>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</si>
  <si>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</si>
  <si>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</si>
  <si>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</si>
  <si>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</si>
  <si>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</si>
  <si>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</si>
  <si>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</si>
  <si>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</si>
  <si>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</si>
  <si>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</si>
  <si>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</si>
  <si>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</si>
  <si>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</si>
  <si>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</si>
  <si>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</si>
  <si>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</si>
  <si>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</si>
  <si>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</si>
  <si>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</si>
  <si>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</si>
  <si>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</si>
  <si>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</si>
  <si>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</si>
  <si>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</si>
  <si>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</si>
  <si>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</si>
  <si>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</si>
  <si>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</si>
  <si>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</si>
  <si>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</si>
  <si>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</si>
  <si>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</si>
  <si>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</si>
  <si>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</si>
  <si>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</si>
  <si>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</si>
  <si>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</si>
  <si>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</si>
  <si>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</si>
  <si>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</si>
  <si>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</si>
  <si>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</si>
  <si>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</si>
  <si>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</si>
  <si>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</si>
  <si>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</si>
  <si>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</si>
  <si>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</si>
  <si>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</si>
  <si>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</si>
  <si>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</si>
  <si>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</si>
  <si>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</si>
  <si>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</si>
  <si>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</si>
  <si>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</si>
  <si>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</si>
  <si>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</si>
  <si>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</si>
  <si>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</si>
  <si>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</si>
  <si>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</si>
  <si>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</si>
  <si>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</si>
  <si>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</si>
  <si>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</si>
  <si>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</si>
  <si>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</si>
  <si>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</si>
  <si>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</si>
  <si>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</si>
  <si>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</si>
  <si>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</si>
  <si>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</si>
  <si>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</si>
  <si>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</si>
  <si>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</si>
  <si>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</si>
  <si>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</si>
  <si>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</si>
  <si>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</si>
  <si>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</si>
  <si>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</si>
  <si>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</si>
  <si>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</si>
  <si>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</si>
  <si>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</si>
  <si>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</si>
  <si>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</si>
  <si>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</si>
  <si>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</si>
  <si>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</si>
  <si>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</si>
  <si>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</si>
  <si>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</si>
  <si>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</si>
  <si>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</si>
  <si>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</si>
  <si>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</si>
  <si>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</si>
  <si>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</si>
  <si>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</si>
  <si>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</si>
  <si>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</si>
  <si>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</si>
  <si>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</si>
  <si>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</si>
  <si>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</si>
  <si>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</si>
  <si>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</si>
  <si>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</si>
  <si>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</si>
  <si>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</si>
  <si>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</si>
  <si>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</si>
  <si>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</si>
  <si>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</si>
  <si>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</si>
  <si>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</si>
  <si>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</si>
  <si>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</si>
  <si>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</si>
  <si>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</si>
  <si>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</si>
  <si>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</si>
  <si>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</si>
  <si>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</si>
  <si>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</si>
  <si>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</si>
  <si>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</si>
  <si>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</si>
  <si>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</si>
  <si>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</si>
  <si>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</si>
  <si>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</si>
  <si>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</si>
  <si>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</si>
  <si>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</si>
  <si>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</si>
  <si>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</si>
  <si>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</si>
  <si>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</si>
  <si>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</si>
  <si>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</si>
  <si>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</si>
  <si>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</si>
  <si>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</si>
  <si>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</si>
  <si>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</si>
  <si>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</si>
  <si>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</si>
  <si>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</si>
  <si>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</si>
  <si>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</si>
  <si>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</si>
  <si>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</si>
  <si>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</si>
  <si>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</si>
  <si>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</si>
  <si>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</si>
  <si>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</si>
  <si>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</si>
  <si>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</si>
  <si>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</si>
  <si>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</si>
  <si>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</si>
  <si>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</si>
  <si>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</si>
  <si>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</si>
  <si>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</si>
  <si>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</si>
  <si>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</si>
  <si>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</si>
  <si>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</si>
  <si>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</si>
  <si>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</si>
  <si>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</si>
  <si>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</si>
  <si>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</si>
  <si>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</si>
  <si>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</si>
  <si>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</si>
  <si>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</si>
  <si>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</si>
  <si>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</si>
  <si>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</si>
  <si>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</si>
  <si>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</si>
  <si>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</si>
  <si>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</si>
  <si>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</si>
  <si>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</si>
  <si>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</si>
  <si>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</si>
  <si>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</si>
  <si>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</si>
  <si>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</si>
  <si>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</si>
  <si>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</si>
  <si>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</si>
  <si>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</si>
  <si>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</si>
  <si>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</si>
  <si>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</si>
  <si>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</si>
  <si>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</si>
  <si>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</si>
  <si>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</si>
  <si>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</si>
  <si>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</si>
  <si>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</si>
  <si>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</si>
  <si>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</si>
  <si>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</si>
  <si>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</si>
  <si>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</si>
  <si>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</si>
  <si>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</si>
  <si>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</si>
  <si>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</si>
  <si>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</si>
  <si>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</si>
  <si>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</si>
  <si>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</si>
  <si>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</si>
  <si>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</si>
  <si>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</si>
  <si>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</si>
  <si>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</si>
  <si>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</si>
  <si>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</si>
  <si>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</si>
  <si>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</si>
  <si>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</si>
  <si>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</si>
  <si>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</si>
  <si>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</si>
  <si>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</si>
  <si>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</si>
  <si>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</si>
  <si>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</si>
  <si>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</si>
  <si>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</si>
  <si>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</si>
  <si>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</si>
  <si>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</si>
  <si>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</si>
  <si>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</si>
  <si>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</si>
  <si>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</si>
  <si>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</si>
  <si>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</si>
  <si>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</si>
  <si>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</si>
  <si>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</si>
  <si>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</si>
  <si>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</si>
  <si>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</si>
  <si>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</si>
  <si>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</si>
  <si>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</si>
  <si>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</si>
  <si>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</si>
  <si>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</si>
  <si>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</si>
  <si>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</si>
  <si>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</si>
  <si>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</si>
  <si>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</si>
  <si>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</si>
  <si>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</si>
  <si>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</si>
  <si>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</si>
  <si>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</si>
  <si>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</si>
  <si>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</si>
  <si>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</si>
  <si>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</si>
  <si>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</si>
  <si>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</si>
  <si>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</si>
  <si>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</si>
  <si>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</si>
  <si>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</si>
  <si>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</si>
  <si>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</si>
  <si>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</si>
  <si>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</si>
  <si>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</si>
  <si>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</si>
  <si>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</si>
  <si>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</si>
  <si>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</si>
  <si>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</si>
  <si>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</si>
  <si>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</si>
  <si>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</si>
  <si>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</si>
  <si>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</si>
  <si>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</si>
  <si>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</si>
  <si>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</si>
  <si>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</si>
  <si>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</si>
  <si>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</si>
  <si>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</si>
  <si>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</si>
  <si>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</si>
  <si>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</si>
  <si>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</si>
  <si>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</si>
  <si>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</si>
  <si>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</si>
  <si>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</si>
  <si>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</si>
  <si>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</si>
  <si>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</si>
  <si>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</si>
  <si>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</si>
  <si>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</si>
  <si>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</si>
  <si>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</si>
  <si>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</si>
  <si>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</si>
  <si>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</si>
  <si>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</si>
  <si>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</si>
  <si>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</si>
  <si>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</si>
  <si>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</si>
  <si>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</si>
  <si>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</si>
  <si>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</si>
  <si>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</si>
  <si>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</si>
  <si>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</si>
  <si>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</si>
  <si>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</si>
  <si>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</si>
  <si>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</si>
  <si>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</si>
  <si>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</si>
  <si>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</si>
  <si>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</si>
  <si>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</si>
  <si>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</si>
  <si>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</si>
  <si>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</si>
  <si>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</si>
  <si>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</si>
  <si>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</si>
  <si>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</si>
  <si>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</si>
  <si>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</si>
  <si>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</si>
  <si>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</si>
  <si>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</si>
  <si>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</si>
  <si>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</si>
  <si>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</si>
  <si>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</si>
  <si>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</si>
  <si>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</si>
  <si>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</si>
  <si>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</si>
  <si>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</si>
  <si>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</si>
  <si>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</si>
  <si>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</si>
  <si>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</si>
  <si>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</si>
  <si>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</si>
  <si>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</si>
  <si>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</si>
  <si>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</si>
  <si>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</si>
  <si>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</si>
  <si>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</si>
  <si>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</si>
  <si>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</si>
  <si>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</si>
  <si>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</si>
  <si>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</si>
  <si>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</si>
  <si>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</si>
  <si>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</si>
  <si>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</si>
  <si>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</si>
  <si>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</si>
  <si>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</si>
  <si>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</si>
  <si>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</si>
  <si>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</si>
  <si>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</si>
  <si>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</si>
  <si>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</si>
  <si>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</si>
  <si>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</si>
  <si>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</si>
  <si>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</si>
  <si>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</si>
  <si>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</si>
  <si>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</si>
  <si>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</si>
  <si>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</si>
  <si>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</si>
  <si>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</si>
  <si>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</si>
  <si>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</si>
  <si>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</si>
  <si>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</si>
  <si>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</si>
  <si>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</si>
  <si>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</si>
  <si>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</si>
  <si>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</si>
  <si>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</si>
  <si>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</si>
  <si>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</si>
  <si>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</si>
  <si>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</si>
  <si>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</si>
  <si>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</si>
  <si>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</si>
  <si>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</si>
  <si>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</si>
  <si>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</si>
  <si>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</si>
  <si>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</si>
  <si>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</si>
  <si>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</si>
  <si>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</si>
  <si>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</si>
  <si>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</si>
  <si>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</si>
  <si>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</si>
  <si>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</si>
  <si>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</si>
  <si>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</si>
  <si>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</si>
  <si>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</si>
  <si>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</si>
  <si>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</si>
  <si>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</si>
  <si>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</si>
  <si>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</si>
  <si>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</si>
  <si>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</si>
  <si>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</si>
  <si>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</si>
  <si>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</si>
  <si>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</si>
  <si>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</si>
  <si>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</si>
  <si>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</si>
  <si>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</si>
  <si>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</si>
  <si>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</si>
  <si>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</si>
  <si>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</si>
  <si>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</si>
  <si>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</si>
  <si>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</si>
  <si>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</si>
  <si>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</si>
  <si>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</si>
  <si>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</si>
  <si>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</si>
  <si>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</si>
  <si>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</si>
  <si>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</si>
  <si>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</si>
  <si>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</si>
  <si>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</si>
  <si>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</si>
  <si>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</si>
  <si>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</si>
  <si>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</si>
  <si>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</si>
  <si>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</si>
  <si>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</si>
  <si>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</si>
  <si>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</si>
  <si>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</si>
  <si>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</si>
  <si>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</si>
  <si>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</si>
  <si>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</si>
  <si>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</si>
  <si>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</si>
  <si>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</si>
  <si>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</si>
  <si>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</si>
  <si>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</si>
  <si>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</si>
  <si>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</si>
  <si>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</si>
  <si>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</si>
  <si>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</si>
  <si>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</si>
  <si>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</si>
  <si>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</si>
  <si>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</si>
  <si>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</si>
  <si>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</si>
  <si>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</si>
  <si>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</si>
  <si>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</si>
  <si>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</si>
  <si>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</si>
  <si>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</si>
  <si>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</si>
  <si>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</si>
  <si>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</si>
  <si>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</si>
  <si>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</si>
  <si>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</si>
  <si>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</si>
  <si>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</si>
  <si>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</si>
  <si>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</si>
  <si>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</si>
  <si>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</si>
  <si>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</si>
  <si>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</si>
  <si>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</si>
  <si>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</si>
  <si>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</si>
  <si>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</si>
  <si>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</si>
  <si>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</si>
  <si>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</si>
  <si>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</si>
  <si>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</si>
  <si>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</si>
  <si>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</si>
  <si>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</si>
  <si>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</si>
  <si>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</si>
  <si>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</si>
  <si>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</si>
  <si>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</si>
  <si>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</si>
  <si>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</si>
  <si>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</si>
  <si>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</si>
  <si>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</si>
  <si>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</si>
  <si>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</si>
  <si>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</si>
  <si>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</si>
  <si>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</si>
  <si>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</si>
  <si>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</si>
  <si>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</si>
  <si>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</si>
  <si>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</si>
  <si>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</si>
  <si>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</si>
  <si>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</si>
  <si>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</si>
  <si>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</si>
  <si>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</si>
  <si>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</si>
  <si>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</si>
  <si>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</si>
  <si>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</si>
  <si>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</si>
  <si>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</si>
  <si>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</si>
  <si>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</si>
  <si>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</si>
  <si>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</si>
  <si>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</si>
  <si>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</si>
  <si>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</si>
  <si>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</si>
  <si>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</si>
  <si>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</si>
  <si>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</si>
  <si>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</si>
  <si>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</si>
  <si>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</si>
  <si>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</si>
  <si>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</si>
  <si>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</si>
  <si>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</si>
  <si>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</si>
  <si>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</si>
  <si>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</si>
  <si>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</si>
  <si>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</si>
  <si>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</si>
  <si>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</si>
  <si>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</si>
  <si>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</si>
  <si>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</si>
  <si>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</si>
  <si>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</si>
  <si>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</si>
  <si>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</si>
  <si>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</si>
  <si>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</si>
  <si>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</si>
  <si>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</si>
  <si>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</si>
  <si>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</si>
  <si>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</si>
  <si>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</si>
  <si>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</si>
  <si>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</si>
  <si>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</si>
  <si>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</si>
  <si>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</si>
  <si>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</si>
  <si>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</si>
  <si>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</si>
  <si>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</si>
  <si>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</si>
  <si>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</si>
  <si>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</si>
  <si>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</si>
  <si>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</si>
  <si>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</si>
  <si>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</si>
  <si>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</si>
  <si>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</si>
  <si>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</si>
  <si>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</si>
  <si>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</si>
  <si>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</si>
  <si>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</si>
  <si>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</si>
  <si>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</si>
  <si>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</si>
  <si>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</si>
  <si>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</si>
  <si>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</si>
  <si>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</si>
  <si>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</si>
  <si>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</si>
  <si>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</si>
  <si>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</si>
  <si>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</si>
  <si>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</si>
  <si>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</si>
  <si>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</si>
  <si>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</si>
  <si>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</si>
  <si>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</si>
  <si>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</si>
  <si>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</si>
  <si>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</si>
  <si>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</si>
  <si>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</si>
  <si>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</si>
  <si>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</si>
  <si>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</si>
  <si>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</si>
  <si>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</si>
  <si>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</si>
  <si>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</si>
  <si>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</si>
  <si>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</si>
  <si>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</si>
  <si>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</si>
  <si>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</si>
  <si>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</si>
  <si>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</si>
  <si>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</si>
  <si>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</si>
  <si>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</si>
  <si>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</si>
  <si>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</si>
  <si>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</si>
  <si>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</si>
  <si>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</si>
  <si>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</si>
  <si>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</si>
  <si>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</si>
  <si>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</si>
  <si>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</si>
  <si>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</si>
  <si>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</si>
  <si>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</si>
  <si>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</si>
  <si>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</si>
  <si>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</si>
  <si>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</si>
  <si>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</si>
  <si>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</si>
  <si>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</si>
  <si>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</si>
  <si>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</si>
  <si>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</si>
  <si>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</si>
  <si>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</si>
  <si>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</si>
  <si>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</si>
  <si>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</si>
  <si>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</si>
  <si>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</si>
  <si>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</si>
  <si>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</si>
  <si>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</si>
  <si>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</si>
  <si>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</si>
  <si>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</si>
  <si>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</si>
  <si>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</si>
  <si>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</si>
  <si>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</si>
  <si>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</si>
  <si>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</si>
  <si>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</si>
  <si>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</si>
  <si>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</si>
  <si>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</si>
  <si>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</si>
  <si>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</si>
  <si>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</si>
  <si>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</si>
  <si>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</si>
  <si>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</si>
  <si>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</si>
  <si>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</si>
  <si>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</si>
  <si>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</si>
  <si>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</si>
  <si>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</si>
  <si>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</si>
  <si>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</si>
  <si>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</si>
  <si>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</si>
  <si>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</si>
  <si>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</si>
  <si>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</si>
  <si>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</si>
  <si>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</si>
  <si>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</si>
  <si>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</si>
  <si>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</si>
  <si>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</si>
  <si>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</si>
  <si>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</si>
  <si>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</si>
  <si>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</si>
  <si>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</si>
  <si>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</si>
  <si>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</si>
  <si>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</si>
  <si>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</si>
  <si>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</si>
  <si>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</si>
  <si>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</si>
  <si>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</si>
  <si>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</si>
  <si>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</si>
  <si>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</si>
  <si>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</si>
  <si>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</si>
  <si>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</si>
  <si>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</si>
  <si>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</si>
  <si>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</si>
  <si>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</si>
  <si>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</si>
  <si>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</si>
  <si>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</si>
  <si>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</si>
  <si>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</si>
  <si>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</si>
  <si>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</si>
  <si>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</si>
  <si>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</si>
  <si>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</si>
  <si>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</si>
  <si>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</si>
  <si>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</si>
  <si>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</si>
  <si>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</si>
  <si>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</si>
  <si>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</si>
  <si>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</si>
  <si>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</si>
  <si>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</si>
  <si>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</si>
  <si>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</si>
  <si>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</si>
  <si>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</si>
  <si>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</si>
  <si>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</si>
  <si>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</si>
  <si>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</si>
  <si>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</si>
  <si>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</si>
  <si>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</si>
  <si>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</si>
  <si>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</si>
  <si>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</si>
  <si>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</si>
  <si>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</si>
  <si>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</si>
  <si>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</si>
  <si>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</si>
  <si>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</si>
  <si>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</si>
  <si>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</si>
  <si>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</si>
  <si>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</si>
  <si>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</si>
  <si>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</si>
  <si>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</si>
  <si>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</si>
  <si>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</si>
  <si>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</si>
  <si>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</si>
  <si>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</si>
  <si>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</si>
  <si>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</si>
  <si>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</si>
  <si>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</si>
  <si>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</si>
  <si>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</si>
  <si>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</si>
  <si>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</si>
  <si>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</si>
  <si>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</si>
  <si>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</si>
  <si>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</si>
  <si>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</si>
  <si>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</si>
  <si>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</si>
  <si>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</si>
  <si>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</si>
  <si>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</si>
  <si>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</si>
  <si>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</si>
  <si>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</si>
  <si>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</si>
  <si>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</si>
  <si>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</si>
  <si>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</si>
  <si>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</si>
  <si>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</si>
  <si>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</si>
  <si>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</si>
  <si>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</si>
  <si>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</si>
  <si>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</si>
  <si>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</si>
  <si>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</si>
  <si>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</si>
  <si>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</si>
  <si>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</si>
  <si>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</si>
  <si>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</si>
  <si>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</si>
  <si>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</si>
  <si>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</si>
  <si>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</si>
  <si>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</si>
  <si>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</si>
  <si>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</si>
  <si>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</si>
  <si>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</si>
  <si>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</si>
  <si>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</si>
  <si>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</si>
  <si>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</si>
  <si>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</si>
  <si>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</si>
  <si>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</si>
  <si>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</si>
  <si>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</si>
  <si>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</si>
  <si>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</si>
  <si>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</si>
  <si>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</si>
  <si>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</si>
  <si>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</si>
  <si>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</si>
  <si>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</si>
  <si>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</si>
  <si>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</si>
  <si>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</si>
  <si>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</si>
  <si>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</si>
  <si>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</si>
  <si>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</si>
  <si>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</si>
  <si>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</si>
  <si>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</si>
  <si>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</si>
  <si>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</si>
  <si>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</si>
  <si>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</si>
  <si>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</si>
  <si>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</si>
  <si>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</si>
  <si>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</si>
  <si>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</si>
  <si>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</si>
  <si>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</si>
  <si>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</si>
  <si>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</si>
  <si>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</si>
  <si>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</si>
  <si>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</si>
  <si>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</si>
  <si>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</si>
  <si>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</si>
  <si>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</si>
  <si>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</si>
  <si>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</si>
  <si>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</si>
  <si>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</si>
  <si>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</si>
  <si>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</si>
  <si>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</si>
  <si>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</si>
  <si>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</si>
  <si>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</si>
  <si>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</si>
  <si>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</si>
  <si>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</si>
  <si>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</si>
  <si>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</si>
  <si>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</si>
  <si>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</si>
  <si>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</si>
  <si>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</si>
  <si>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</si>
  <si>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</si>
  <si>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</si>
  <si>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</si>
  <si>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</si>
  <si>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</si>
  <si>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</si>
  <si>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</si>
  <si>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</si>
  <si>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</si>
  <si>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</si>
  <si>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</si>
  <si>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</si>
  <si>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</si>
  <si>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</si>
  <si>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</si>
  <si>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</si>
  <si>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</si>
  <si>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</si>
  <si>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</si>
  <si>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</si>
  <si>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</si>
  <si>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</si>
  <si>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</si>
  <si>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</si>
  <si>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</si>
  <si>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</si>
  <si>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</si>
  <si>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</si>
  <si>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</si>
  <si>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</si>
  <si>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</si>
  <si>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</si>
  <si>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</si>
  <si>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</si>
  <si>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</si>
  <si>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</si>
  <si>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</si>
  <si>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</si>
  <si>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</si>
  <si>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</si>
  <si>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</si>
  <si>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</si>
  <si>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</si>
  <si>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</si>
  <si>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</si>
  <si>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</si>
  <si>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</si>
  <si>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</si>
  <si>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</si>
  <si>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</si>
  <si>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</si>
  <si>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</si>
  <si>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</si>
  <si>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</si>
  <si>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</si>
  <si>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</si>
  <si>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</si>
  <si>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</si>
  <si>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</si>
  <si>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</si>
  <si>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</si>
  <si>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</si>
  <si>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</si>
  <si>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</si>
  <si>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</si>
  <si>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</si>
  <si>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</si>
  <si>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</si>
  <si>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</si>
  <si>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</si>
  <si>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</si>
  <si>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</si>
  <si>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</si>
  <si>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</si>
  <si>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</si>
  <si>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</si>
  <si>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</si>
  <si>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</si>
  <si>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</si>
  <si>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</si>
  <si>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</si>
  <si>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</si>
  <si>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</si>
  <si>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</si>
  <si>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</si>
  <si>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</si>
  <si>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</si>
  <si>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</si>
  <si>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</si>
  <si>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</si>
  <si>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</si>
  <si>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</si>
  <si>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</si>
  <si>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</si>
  <si>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</si>
  <si>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</si>
  <si>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</si>
  <si>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</si>
  <si>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</si>
  <si>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</si>
  <si>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</si>
  <si>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</si>
  <si>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</si>
  <si>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</si>
  <si>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</si>
  <si>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</si>
  <si>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</si>
  <si>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</si>
  <si>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</si>
  <si>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</si>
  <si>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</si>
  <si>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</si>
  <si>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</si>
  <si>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</si>
  <si>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</si>
  <si>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</si>
  <si>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</si>
  <si>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</si>
  <si>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</si>
  <si>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</si>
  <si>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</si>
  <si>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</si>
  <si>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</si>
  <si>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</si>
  <si>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</si>
  <si>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</si>
  <si>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</si>
  <si>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</si>
  <si>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</si>
  <si>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</si>
  <si>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</si>
  <si>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</si>
  <si>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</si>
  <si>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</si>
  <si>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</si>
  <si>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</si>
  <si>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</si>
  <si>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</si>
  <si>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</si>
  <si>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</si>
  <si>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</si>
  <si>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</si>
  <si>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</si>
  <si>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</si>
  <si>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</si>
  <si>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</si>
  <si>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</si>
  <si>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</si>
  <si>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</si>
  <si>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</si>
  <si>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</si>
  <si>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</si>
  <si>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</si>
  <si>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</si>
  <si>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</si>
  <si>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</si>
  <si>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</si>
  <si>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</si>
  <si>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</si>
  <si>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</si>
  <si>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</si>
  <si>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</si>
  <si>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</si>
  <si>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</si>
  <si>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</si>
  <si>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</si>
  <si>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</si>
  <si>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</si>
  <si>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</si>
  <si>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</si>
  <si>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</si>
  <si>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</si>
  <si>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</si>
  <si>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</si>
  <si>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</si>
  <si>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</si>
  <si>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</si>
  <si>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</si>
  <si>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</si>
  <si>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</si>
  <si>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</si>
  <si>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</si>
  <si>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</si>
  <si>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</si>
  <si>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</si>
  <si>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</si>
  <si>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</si>
  <si>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</si>
  <si>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</si>
  <si>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</si>
  <si>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</si>
  <si>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</si>
  <si>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</si>
  <si>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</si>
  <si>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</si>
  <si>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</si>
  <si>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</si>
  <si>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</si>
  <si>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</si>
  <si>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</si>
  <si>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</si>
  <si>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</si>
  <si>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</si>
  <si>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</si>
  <si>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</si>
  <si>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</si>
  <si>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Nombre lignes exercices antérieurs</t>
  </si>
  <si>
    <t>Nombre lignes exercice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</si>
  <si>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</si>
  <si>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</si>
  <si>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</si>
  <si>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</si>
  <si>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</si>
  <si>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</si>
  <si>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</si>
  <si>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</si>
  <si>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</si>
  <si>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</si>
  <si>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</si>
  <si>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</si>
  <si>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</si>
  <si>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</si>
  <si>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</si>
  <si>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</si>
  <si>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</si>
  <si>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</si>
  <si>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</si>
  <si>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</si>
  <si>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</si>
  <si>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</si>
  <si>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</si>
  <si>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</si>
  <si>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</si>
  <si>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</si>
  <si>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</si>
  <si>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</si>
  <si>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</si>
  <si>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</si>
  <si>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</si>
  <si>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</si>
  <si>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</si>
  <si>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</si>
  <si>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</si>
  <si>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</si>
  <si>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</si>
  <si>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</si>
  <si>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</si>
  <si>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</si>
  <si>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</si>
  <si>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</si>
  <si>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</si>
  <si>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</si>
  <si>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</si>
  <si>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</si>
  <si>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</si>
  <si>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</si>
  <si>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</si>
  <si>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</si>
  <si>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</si>
  <si>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</si>
  <si>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</si>
  <si>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</si>
  <si>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</si>
  <si>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</si>
  <si>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</si>
  <si>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</si>
  <si>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</si>
  <si>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</si>
  <si>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</si>
  <si>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</si>
  <si>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</si>
  <si>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</si>
  <si>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</si>
  <si>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</si>
  <si>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</si>
  <si>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</si>
  <si>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</si>
  <si>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</si>
  <si>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</si>
  <si>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</si>
  <si>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</si>
  <si>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</si>
  <si>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</si>
  <si>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</si>
  <si>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</si>
  <si>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</si>
  <si>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</si>
  <si>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</si>
  <si>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</si>
  <si>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</si>
  <si>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</si>
  <si>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</si>
  <si>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</si>
  <si>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</si>
  <si>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</si>
  <si>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</si>
  <si>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</si>
  <si>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</si>
  <si>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</si>
  <si>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</si>
  <si>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</si>
  <si>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</si>
  <si>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</si>
  <si>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</si>
  <si>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</si>
  <si>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</si>
  <si>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</si>
  <si>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</si>
  <si>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</si>
  <si>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</si>
  <si>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</si>
  <si>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</si>
  <si>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</si>
  <si>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</si>
  <si>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</si>
  <si>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</si>
  <si>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</si>
  <si>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</si>
  <si>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</si>
  <si>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</si>
  <si>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</si>
  <si>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</si>
  <si>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</si>
  <si>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</si>
  <si>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</si>
  <si>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</si>
  <si>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</si>
  <si>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</si>
  <si>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</si>
  <si>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</si>
  <si>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</si>
  <si>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</si>
  <si>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</si>
  <si>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</si>
  <si>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</si>
  <si>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</si>
  <si>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</si>
  <si>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</si>
  <si>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</si>
  <si>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</si>
  <si>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</si>
  <si>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</si>
  <si>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</si>
  <si>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</si>
  <si>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</si>
  <si>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</si>
  <si>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</si>
  <si>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</si>
  <si>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</si>
  <si>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</si>
  <si>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</si>
  <si>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</si>
  <si>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</si>
  <si>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</si>
  <si>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</si>
  <si>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</si>
  <si>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</si>
  <si>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</si>
  <si>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</si>
  <si>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</si>
  <si>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</si>
  <si>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</si>
  <si>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</si>
  <si>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</si>
  <si>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</si>
  <si>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</si>
  <si>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</si>
  <si>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</si>
  <si>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</si>
  <si>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</si>
  <si>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</si>
  <si>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</si>
  <si>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</si>
  <si>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</si>
  <si>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</si>
  <si>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</si>
  <si>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</si>
  <si>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</si>
  <si>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</si>
  <si>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</si>
  <si>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</si>
  <si>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</si>
  <si>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</si>
  <si>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</si>
  <si>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</si>
  <si>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</si>
  <si>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</si>
  <si>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</si>
  <si>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</si>
  <si>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</si>
  <si>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</si>
  <si>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</si>
  <si>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</si>
  <si>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</si>
  <si>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</si>
  <si>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</si>
  <si>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</si>
  <si>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</si>
  <si>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</si>
  <si>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</si>
  <si>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</si>
  <si>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</si>
  <si>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</si>
  <si>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</si>
  <si>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</si>
  <si>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</si>
  <si>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</si>
  <si>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</si>
  <si>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</si>
  <si>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</si>
  <si>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</si>
  <si>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</si>
  <si>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</si>
  <si>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</si>
  <si>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</si>
  <si>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</si>
  <si>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</si>
  <si>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</si>
  <si>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</si>
  <si>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</si>
  <si>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</si>
  <si>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</si>
  <si>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</si>
  <si>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</si>
  <si>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</si>
  <si>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</si>
  <si>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</si>
  <si>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</si>
  <si>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</si>
  <si>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</si>
  <si>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</si>
  <si>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</si>
  <si>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</si>
  <si>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</si>
  <si>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</si>
  <si>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</si>
  <si>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</si>
  <si>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</si>
  <si>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</si>
  <si>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</si>
  <si>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</si>
  <si>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</si>
  <si>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</si>
  <si>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</si>
  <si>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</si>
  <si>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</si>
  <si>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</si>
  <si>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</si>
  <si>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</si>
  <si>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</si>
  <si>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</si>
  <si>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</si>
  <si>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</si>
  <si>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</si>
  <si>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</si>
  <si>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</si>
  <si>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</si>
  <si>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</si>
  <si>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</si>
  <si>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</si>
  <si>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</si>
  <si>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</si>
  <si>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</si>
  <si>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</si>
  <si>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</si>
  <si>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</si>
  <si>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</si>
  <si>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</si>
  <si>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</si>
  <si>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</si>
  <si>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</si>
  <si>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</si>
  <si>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</si>
  <si>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</si>
  <si>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</si>
  <si>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</si>
  <si>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</si>
  <si>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</si>
  <si>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</si>
  <si>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</si>
  <si>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</si>
  <si>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</si>
  <si>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</si>
  <si>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</si>
  <si>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</si>
  <si>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</si>
  <si>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</si>
  <si>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</si>
  <si>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</si>
  <si>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</si>
  <si>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</si>
  <si>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</si>
  <si>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</si>
  <si>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</si>
  <si>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</si>
  <si>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</si>
  <si>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</si>
  <si>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</si>
  <si>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</si>
  <si>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</si>
  <si>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</si>
  <si>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</si>
  <si>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</si>
  <si>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</si>
  <si>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</si>
  <si>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</si>
  <si>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</si>
  <si>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</si>
  <si>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</si>
  <si>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</si>
  <si>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</si>
  <si>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</si>
  <si>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</si>
  <si>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</si>
  <si>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</si>
  <si>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</si>
  <si>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</si>
  <si>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</si>
  <si>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</si>
  <si>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</si>
  <si>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</si>
  <si>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</si>
  <si>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</si>
  <si>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</si>
  <si>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</si>
  <si>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</si>
  <si>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</si>
  <si>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</si>
  <si>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</si>
  <si>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</si>
  <si>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</si>
  <si>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</si>
  <si>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</si>
  <si>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</si>
  <si>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</si>
  <si>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</si>
  <si>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</si>
  <si>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</si>
  <si>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</si>
  <si>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</si>
  <si>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</si>
  <si>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</si>
  <si>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</si>
  <si>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</si>
  <si>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</si>
  <si>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</si>
  <si>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</si>
  <si>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</si>
  <si>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</si>
  <si>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</si>
  <si>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</si>
  <si>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</si>
  <si>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</si>
  <si>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</si>
  <si>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</si>
  <si>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</si>
  <si>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</si>
  <si>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</si>
  <si>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</si>
  <si>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</si>
  <si>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</si>
  <si>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</si>
  <si>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</si>
  <si>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</si>
  <si>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</si>
  <si>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</si>
  <si>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</si>
  <si>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</si>
  <si>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</si>
  <si>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</si>
  <si>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</si>
  <si>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</si>
  <si>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</si>
  <si>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</si>
  <si>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</si>
  <si>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Exercice ("AAAA")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</si>
  <si>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</si>
  <si>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</si>
  <si>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</si>
  <si>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</si>
  <si>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</si>
  <si>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</si>
  <si>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</si>
  <si>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</si>
  <si>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</si>
  <si>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</si>
  <si>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</si>
  <si>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</si>
  <si>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</si>
  <si>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</si>
  <si>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</si>
  <si>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</si>
  <si>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</si>
  <si>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</si>
  <si>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</si>
  <si>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</si>
  <si>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</si>
  <si>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</si>
  <si>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</si>
  <si>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</si>
  <si>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</si>
  <si>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</si>
  <si>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</si>
  <si>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</si>
  <si>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</si>
  <si>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</si>
  <si>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</si>
  <si>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</si>
  <si>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</si>
  <si>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</si>
  <si>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</si>
  <si>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</si>
  <si>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</si>
  <si>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</si>
  <si>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</si>
  <si>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</si>
  <si>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</si>
  <si>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</si>
  <si>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</si>
  <si>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</si>
  <si>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</si>
  <si>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</si>
  <si>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</si>
  <si>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</si>
  <si>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</si>
  <si>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</si>
  <si>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</si>
  <si>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</si>
  <si>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</si>
  <si>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</si>
  <si>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</si>
  <si>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</si>
  <si>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</si>
  <si>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</si>
  <si>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</si>
  <si>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</si>
  <si>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</si>
  <si>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</si>
  <si>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</si>
  <si>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</si>
  <si>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</si>
  <si>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</si>
  <si>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</si>
  <si>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</si>
  <si>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</si>
  <si>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</si>
  <si>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</si>
  <si>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</si>
  <si>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</si>
  <si>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</si>
  <si>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</si>
  <si>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</si>
  <si>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</si>
  <si>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</si>
  <si>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</si>
  <si>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</si>
  <si>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</si>
  <si>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</si>
  <si>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</si>
  <si>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</si>
  <si>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</si>
  <si>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</si>
  <si>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</si>
  <si>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</si>
  <si>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</si>
  <si>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</si>
  <si>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</si>
  <si>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</si>
  <si>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</si>
  <si>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</si>
  <si>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</si>
  <si>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</si>
  <si>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</si>
  <si>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</si>
  <si>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</si>
  <si>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</si>
  <si>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</si>
  <si>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</si>
  <si>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</si>
  <si>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</si>
  <si>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</si>
  <si>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</si>
  <si>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</si>
  <si>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</si>
  <si>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</si>
  <si>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</si>
  <si>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</si>
  <si>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</si>
  <si>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</si>
  <si>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</si>
  <si>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</si>
  <si>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</si>
  <si>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</si>
  <si>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</si>
  <si>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</si>
  <si>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</si>
  <si>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</si>
  <si>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</si>
  <si>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</si>
  <si>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</si>
  <si>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</si>
  <si>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</si>
  <si>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</si>
  <si>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</si>
  <si>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</si>
  <si>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</si>
  <si>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</si>
  <si>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</si>
  <si>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</si>
  <si>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</si>
  <si>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</si>
  <si>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</si>
  <si>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</si>
  <si>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</si>
  <si>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</si>
  <si>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</si>
  <si>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</si>
  <si>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</si>
  <si>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</si>
  <si>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</si>
  <si>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</si>
  <si>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</si>
  <si>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</si>
  <si>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</si>
  <si>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</si>
  <si>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</si>
  <si>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</si>
  <si>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</si>
  <si>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</si>
  <si>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</si>
  <si>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</si>
  <si>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</si>
  <si>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</si>
  <si>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</si>
  <si>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</si>
  <si>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</si>
  <si>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</si>
  <si>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</si>
  <si>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</si>
  <si>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</si>
  <si>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</si>
  <si>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</si>
  <si>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</si>
  <si>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</si>
  <si>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</si>
  <si>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</si>
  <si>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</si>
  <si>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</si>
  <si>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</si>
  <si>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</si>
  <si>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</si>
  <si>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</si>
  <si>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</si>
  <si>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</si>
  <si>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</si>
  <si>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</si>
  <si>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</si>
  <si>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</si>
  <si>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</si>
  <si>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</si>
  <si>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</si>
  <si>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</si>
  <si>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</si>
  <si>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</si>
  <si>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</si>
  <si>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</si>
  <si>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</si>
  <si>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</si>
  <si>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</si>
  <si>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</si>
  <si>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</si>
  <si>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</si>
  <si>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</si>
  <si>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</si>
  <si>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</si>
  <si>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</si>
  <si>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</si>
  <si>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</si>
  <si>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</si>
  <si>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</si>
  <si>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</si>
  <si>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</si>
  <si>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</si>
  <si>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</si>
  <si>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</si>
  <si>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</si>
  <si>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</si>
  <si>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</si>
  <si>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</si>
  <si>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</si>
  <si>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</si>
  <si>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</si>
  <si>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</si>
  <si>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</si>
  <si>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</si>
  <si>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</si>
  <si>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</si>
  <si>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</si>
  <si>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</si>
  <si>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</si>
  <si>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</si>
  <si>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</si>
  <si>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</si>
  <si>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</si>
  <si>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</si>
  <si>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</si>
  <si>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</si>
  <si>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</si>
  <si>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</si>
  <si>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</si>
  <si>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</si>
  <si>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</si>
  <si>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</si>
  <si>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</si>
  <si>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</si>
  <si>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</si>
  <si>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</si>
  <si>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</si>
  <si>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</si>
  <si>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</si>
  <si>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</si>
  <si>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</si>
  <si>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</si>
  <si>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</si>
  <si>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</si>
  <si>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</si>
  <si>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</si>
  <si>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</si>
  <si>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</si>
  <si>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</si>
  <si>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</si>
  <si>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Importé depuis annexe 3</t>
  </si>
  <si>
    <t>CHARGES GENERALES COPRO</t>
  </si>
  <si>
    <t>Nombre lignes F_agregation</t>
  </si>
  <si>
    <t>Chemin</t>
  </si>
  <si>
    <t>Nombre total lignes</t>
  </si>
  <si>
    <t>indicateur</t>
  </si>
  <si>
    <t>valeur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</si>
</sst>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;@"/>
    <numFmt numFmtId="165" formatCode="dd/mm/yy;@"/>
    <numFmt numFmtId="166" formatCode="d/m/yy;@"/>
  </numFmts>
  <fonts count="1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/>
    <xf numFmtId="0" fontId="2" fillId="0" borderId="0"/>
    <xf numFmtId="0" fontId="9" fillId="0" borderId="0"/>
  </cellStyleXfs>
  <cellXfs count="32">
    <xf numFmtId="0" fontId="0" fillId="0" borderId="0" xfId="0"/>
    <xf numFmtId="14" fontId="0" fillId="0" borderId="0" xfId="0" applyNumberFormat="1"/>
    <xf numFmtId="0" fontId="8" fillId="0" borderId="0" xfId="1"/>
    <xf numFmtId="0" fontId="7" fillId="0" borderId="0" xfId="1" applyFont="1"/>
    <xf numFmtId="164" fontId="8" fillId="2" borderId="0" xfId="1" applyNumberFormat="1" applyFill="1"/>
    <xf numFmtId="1" fontId="8" fillId="3" borderId="0" xfId="1" applyNumberFormat="1" applyFill="1"/>
    <xf numFmtId="0" fontId="8" fillId="3" borderId="0" xfId="1" applyFill="1"/>
    <xf numFmtId="0" fontId="6" fillId="0" borderId="0" xfId="1" applyFont="1"/>
    <xf numFmtId="165" fontId="0" fillId="0" borderId="0" xfId="0" applyNumberFormat="1"/>
    <xf numFmtId="0" fontId="0" fillId="0" borderId="0" xfId="0" applyNumberFormat="1"/>
    <xf numFmtId="0" fontId="5" fillId="0" borderId="0" xfId="1" applyFont="1"/>
    <xf numFmtId="166" fontId="0" fillId="0" borderId="0" xfId="0" applyNumberFormat="1"/>
    <xf numFmtId="0" fontId="3" fillId="0" borderId="0" xfId="1" applyFont="1"/>
    <xf numFmtId="0" fontId="2" fillId="4" borderId="0" xfId="2" applyFill="1"/>
    <xf numFmtId="0" fontId="2" fillId="4" borderId="0" xfId="2" applyFill="1" applyAlignment="1">
      <alignment horizontal="left"/>
    </xf>
    <xf numFmtId="165" fontId="2" fillId="4" borderId="0" xfId="2" applyNumberFormat="1" applyFill="1"/>
    <xf numFmtId="1" fontId="2" fillId="4" borderId="0" xfId="2" applyNumberFormat="1" applyFill="1"/>
    <xf numFmtId="0" fontId="2" fillId="4" borderId="0" xfId="2" applyFill="1" applyAlignment="1">
      <alignment vertical="center"/>
    </xf>
    <xf numFmtId="0" fontId="10" fillId="4" borderId="0" xfId="3" applyFont="1" applyFill="1" applyAlignment="1">
      <alignment horizontal="left" vertical="center"/>
    </xf>
    <xf numFmtId="4" fontId="10" fillId="4" borderId="0" xfId="3" applyNumberFormat="1" applyFont="1" applyFill="1" applyAlignment="1">
      <alignment horizontal="center" vertical="center" wrapText="1"/>
    </xf>
    <xf numFmtId="165" fontId="10" fillId="4" borderId="0" xfId="3" applyNumberFormat="1" applyFont="1" applyFill="1" applyAlignment="1">
      <alignment horizontal="right" vertical="center" wrapText="1"/>
    </xf>
    <xf numFmtId="0" fontId="10" fillId="4" borderId="0" xfId="3" applyFont="1" applyFill="1" applyAlignment="1">
      <alignment vertical="center" wrapText="1"/>
    </xf>
    <xf numFmtId="1" fontId="10" fillId="4" borderId="0" xfId="3" applyNumberFormat="1" applyFont="1" applyFill="1" applyAlignment="1">
      <alignment horizontal="right" vertical="center" wrapText="1"/>
    </xf>
    <xf numFmtId="14" fontId="10" fillId="4" borderId="0" xfId="3" applyNumberFormat="1" applyFont="1" applyFill="1" applyAlignment="1">
      <alignment horizontal="right" vertical="center" wrapText="1"/>
    </xf>
    <xf numFmtId="165" fontId="2" fillId="4" borderId="0" xfId="2" applyNumberFormat="1" applyFill="1" applyAlignment="1">
      <alignment vertical="center"/>
    </xf>
    <xf numFmtId="0" fontId="2" fillId="0" borderId="0" xfId="2" applyAlignment="1">
      <alignment vertical="center"/>
    </xf>
    <xf numFmtId="4" fontId="2" fillId="4" borderId="0" xfId="2" applyNumberFormat="1" applyFill="1"/>
    <xf numFmtId="0" fontId="2" fillId="0" borderId="0" xfId="2" applyAlignment="1">
      <alignment horizontal="center"/>
    </xf>
    <xf numFmtId="0" fontId="2" fillId="0" borderId="0" xfId="1" applyFont="1"/>
    <xf numFmtId="0" fontId="2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0" fontId="1" fillId="0" borderId="0" xfId="1" applyFont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E0BA55AB-7331-492D-956F-71BC61C0CA64}"/>
    <cellStyle name="Normal_Agrégation brute" xfId="3" xr:uid="{F62A65E5-E255-4989-B0BE-E8D5F1DBEAF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Yvon\AAAAA-Mes-donnees\Mes-developpements\Python_tous_mes_tutoriels\projet_rgd_pas_a_pas\sources\Annexes%203%20ASL%202015%20&#224;%202019.xlsm" TargetMode="External"/><Relationship Id="rId1" Type="http://schemas.openxmlformats.org/officeDocument/2006/relationships/externalLinkPath" Target="Annexes%203%20ASL%202015%20&#224;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lication"/>
      <sheetName val="2015"/>
      <sheetName val="2016"/>
      <sheetName val="2017"/>
      <sheetName val="2018"/>
      <sheetName val="2019"/>
      <sheetName val="Agregation"/>
      <sheetName val="Tables"/>
      <sheetName val="Controle agregation"/>
    </sheetNames>
    <sheetDataSet>
      <sheetData sheetId="0"/>
      <sheetData sheetId="1">
        <row r="12">
          <cell r="B12" t="str">
            <v>000</v>
          </cell>
          <cell r="C12" t="str">
            <v>04</v>
          </cell>
          <cell r="D12" t="str">
            <v>301</v>
          </cell>
          <cell r="E12" t="str">
            <v>Entretien serrurerie</v>
          </cell>
          <cell r="F12">
            <v>0</v>
          </cell>
        </row>
        <row r="13">
          <cell r="B13" t="str">
            <v>000</v>
          </cell>
          <cell r="C13" t="str">
            <v>04</v>
          </cell>
          <cell r="D13" t="str">
            <v>341</v>
          </cell>
          <cell r="E13" t="str">
            <v>Fournitures diverses</v>
          </cell>
          <cell r="F13">
            <v>88.28</v>
          </cell>
        </row>
        <row r="14">
          <cell r="B14" t="str">
            <v>000</v>
          </cell>
          <cell r="C14" t="str">
            <v>04</v>
          </cell>
          <cell r="D14" t="str">
            <v>386</v>
          </cell>
          <cell r="E14" t="str">
            <v>Entretien extincteurs</v>
          </cell>
          <cell r="F14">
            <v>26.05</v>
          </cell>
        </row>
        <row r="15">
          <cell r="B15" t="str">
            <v>000</v>
          </cell>
          <cell r="C15" t="str">
            <v>04</v>
          </cell>
          <cell r="D15" t="str">
            <v>460</v>
          </cell>
          <cell r="E15" t="str">
            <v>Achat materiel divers</v>
          </cell>
          <cell r="F15">
            <v>0</v>
          </cell>
        </row>
        <row r="16">
          <cell r="B16" t="str">
            <v>000</v>
          </cell>
          <cell r="C16" t="str">
            <v>04</v>
          </cell>
          <cell r="D16" t="str">
            <v>461</v>
          </cell>
          <cell r="E16" t="str">
            <v>Regul. miroir signalisation</v>
          </cell>
          <cell r="F16">
            <v>1155</v>
          </cell>
        </row>
        <row r="17">
          <cell r="B17" t="str">
            <v>000</v>
          </cell>
          <cell r="C17" t="str">
            <v>04</v>
          </cell>
          <cell r="D17" t="str">
            <v>482</v>
          </cell>
          <cell r="E17" t="str">
            <v>Travaux piscine</v>
          </cell>
          <cell r="F17">
            <v>0</v>
          </cell>
        </row>
        <row r="18">
          <cell r="B18" t="str">
            <v>000</v>
          </cell>
          <cell r="C18" t="str">
            <v>04</v>
          </cell>
          <cell r="D18" t="str">
            <v>484</v>
          </cell>
          <cell r="E18" t="str">
            <v>Contrat piscine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486</v>
          </cell>
          <cell r="E19" t="str">
            <v>Fournitures piscine</v>
          </cell>
          <cell r="F19">
            <v>1140.5999999999999</v>
          </cell>
        </row>
        <row r="20">
          <cell r="B20" t="str">
            <v>000</v>
          </cell>
          <cell r="C20" t="str">
            <v>04</v>
          </cell>
          <cell r="D20" t="str">
            <v>489</v>
          </cell>
          <cell r="E20" t="str">
            <v>Consommation eau piscine</v>
          </cell>
          <cell r="F20">
            <v>202.22</v>
          </cell>
        </row>
        <row r="21">
          <cell r="B21" t="str">
            <v>000</v>
          </cell>
          <cell r="C21" t="str">
            <v>04</v>
          </cell>
          <cell r="D21" t="str">
            <v>490</v>
          </cell>
          <cell r="E21" t="str">
            <v>Analyses Piscine</v>
          </cell>
          <cell r="F21">
            <v>210.62</v>
          </cell>
        </row>
        <row r="22">
          <cell r="B22" t="str">
            <v>000</v>
          </cell>
          <cell r="C22" t="str">
            <v>04</v>
          </cell>
          <cell r="D22" t="str">
            <v>681</v>
          </cell>
          <cell r="E22" t="str">
            <v>Taxe d'habitation</v>
          </cell>
          <cell r="F22">
            <v>1255</v>
          </cell>
        </row>
        <row r="23">
          <cell r="B23" t="str">
            <v>000</v>
          </cell>
          <cell r="C23" t="str">
            <v>04</v>
          </cell>
          <cell r="D23" t="str">
            <v>684</v>
          </cell>
          <cell r="E23" t="str">
            <v>Taxe fonciere</v>
          </cell>
          <cell r="F23">
            <v>1387</v>
          </cell>
        </row>
        <row r="24">
          <cell r="B24" t="str">
            <v>000</v>
          </cell>
          <cell r="C24" t="str">
            <v>04</v>
          </cell>
          <cell r="D24" t="str">
            <v>735</v>
          </cell>
          <cell r="E24" t="str">
            <v>EDF Piscine</v>
          </cell>
          <cell r="F24">
            <v>1617.88</v>
          </cell>
        </row>
        <row r="25">
          <cell r="B25" t="str">
            <v>000</v>
          </cell>
          <cell r="C25" t="str">
            <v>04</v>
          </cell>
          <cell r="D25" t="str">
            <v>844</v>
          </cell>
          <cell r="E25" t="str">
            <v>Honoraires Syndic</v>
          </cell>
          <cell r="F25">
            <v>11190</v>
          </cell>
        </row>
        <row r="26">
          <cell r="B26" t="str">
            <v>000</v>
          </cell>
          <cell r="C26" t="str">
            <v>04</v>
          </cell>
          <cell r="D26" t="str">
            <v>912</v>
          </cell>
          <cell r="E26" t="str">
            <v>Participation employe immeuble</v>
          </cell>
          <cell r="F26">
            <v>6287.19</v>
          </cell>
        </row>
        <row r="27">
          <cell r="B27" t="str">
            <v>000</v>
          </cell>
          <cell r="C27" t="str">
            <v>04</v>
          </cell>
          <cell r="D27" t="str">
            <v>951</v>
          </cell>
          <cell r="E27" t="str">
            <v>Deduct. Q/P Honoraires L/ER</v>
          </cell>
          <cell r="F27">
            <v>-6797.48</v>
          </cell>
        </row>
        <row r="28">
          <cell r="B28" t="str">
            <v>000</v>
          </cell>
          <cell r="C28" t="str">
            <v>04</v>
          </cell>
          <cell r="D28" t="str">
            <v>935</v>
          </cell>
          <cell r="E28" t="str">
            <v>Deduct. Q/P Honoraires VILLAGE</v>
          </cell>
          <cell r="F28">
            <v>-1212.42</v>
          </cell>
        </row>
        <row r="31">
          <cell r="B31" t="str">
            <v>000</v>
          </cell>
          <cell r="C31" t="str">
            <v>03</v>
          </cell>
          <cell r="D31" t="str">
            <v>868</v>
          </cell>
          <cell r="E31" t="str">
            <v>Frais tirage comptes convoc</v>
          </cell>
          <cell r="F31">
            <v>1415.16</v>
          </cell>
        </row>
        <row r="32">
          <cell r="B32" t="str">
            <v>000</v>
          </cell>
          <cell r="C32" t="str">
            <v>03</v>
          </cell>
          <cell r="D32" t="str">
            <v>869</v>
          </cell>
          <cell r="E32" t="str">
            <v>Gestion archives du Syndicat</v>
          </cell>
          <cell r="F32">
            <v>234.62</v>
          </cell>
        </row>
        <row r="33">
          <cell r="B33" t="str">
            <v>000</v>
          </cell>
          <cell r="C33" t="str">
            <v>03</v>
          </cell>
          <cell r="D33" t="str">
            <v>871</v>
          </cell>
          <cell r="E33" t="str">
            <v>Frais Affranchissements</v>
          </cell>
          <cell r="F33">
            <v>830.98</v>
          </cell>
        </row>
        <row r="34">
          <cell r="B34" t="str">
            <v>000</v>
          </cell>
          <cell r="C34" t="str">
            <v>03</v>
          </cell>
          <cell r="D34" t="str">
            <v>872</v>
          </cell>
          <cell r="E34" t="str">
            <v>Location salle AG</v>
          </cell>
          <cell r="F34">
            <v>0</v>
          </cell>
        </row>
        <row r="37">
          <cell r="B37" t="str">
            <v>000</v>
          </cell>
          <cell r="C37" t="str">
            <v>04</v>
          </cell>
          <cell r="D37" t="str">
            <v>341</v>
          </cell>
          <cell r="E37" t="str">
            <v>Fournitures diverses</v>
          </cell>
          <cell r="F37">
            <v>0</v>
          </cell>
        </row>
        <row r="38">
          <cell r="B38" t="str">
            <v>000</v>
          </cell>
          <cell r="C38" t="str">
            <v>04</v>
          </cell>
          <cell r="D38" t="str">
            <v>461</v>
          </cell>
          <cell r="E38" t="str">
            <v>Travaux divers</v>
          </cell>
          <cell r="F38">
            <v>0</v>
          </cell>
        </row>
        <row r="39">
          <cell r="B39" t="str">
            <v>000</v>
          </cell>
          <cell r="C39" t="str">
            <v>04</v>
          </cell>
          <cell r="D39" t="str">
            <v>521</v>
          </cell>
          <cell r="E39" t="str">
            <v>Enlevement déchets végétaux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526</v>
          </cell>
          <cell r="E40" t="str">
            <v>Fourniture arrosage automat.</v>
          </cell>
          <cell r="F40">
            <v>215</v>
          </cell>
        </row>
        <row r="41">
          <cell r="B41" t="str">
            <v>000</v>
          </cell>
          <cell r="C41" t="str">
            <v>04</v>
          </cell>
          <cell r="D41" t="str">
            <v>621</v>
          </cell>
          <cell r="E41" t="str">
            <v>Traitement chenilles process.</v>
          </cell>
          <cell r="F41">
            <v>1844.4</v>
          </cell>
        </row>
        <row r="42">
          <cell r="B42" t="str">
            <v>000</v>
          </cell>
          <cell r="C42" t="str">
            <v>04</v>
          </cell>
          <cell r="D42" t="str">
            <v>622</v>
          </cell>
          <cell r="E42" t="str">
            <v>Travaux elagage et abattage</v>
          </cell>
          <cell r="F42">
            <v>3481.6</v>
          </cell>
        </row>
        <row r="43">
          <cell r="B43" t="str">
            <v>000</v>
          </cell>
          <cell r="C43" t="str">
            <v>04</v>
          </cell>
          <cell r="D43" t="str">
            <v>624</v>
          </cell>
          <cell r="E43" t="str">
            <v>Contrat espaces verts</v>
          </cell>
          <cell r="F43">
            <v>0</v>
          </cell>
        </row>
        <row r="44">
          <cell r="B44" t="str">
            <v>000</v>
          </cell>
          <cell r="C44" t="str">
            <v>04</v>
          </cell>
          <cell r="D44" t="str">
            <v>625</v>
          </cell>
          <cell r="E44" t="str">
            <v>Fourniture vegetaux</v>
          </cell>
          <cell r="F44">
            <v>489.56</v>
          </cell>
        </row>
        <row r="45">
          <cell r="B45" t="str">
            <v>000</v>
          </cell>
          <cell r="C45" t="str">
            <v>04</v>
          </cell>
          <cell r="D45" t="str">
            <v>626</v>
          </cell>
          <cell r="E45" t="str">
            <v>Surv. cpteur jardins</v>
          </cell>
          <cell r="F45">
            <v>108.01</v>
          </cell>
        </row>
        <row r="46">
          <cell r="B46" t="str">
            <v>000</v>
          </cell>
          <cell r="C46" t="str">
            <v>04</v>
          </cell>
          <cell r="D46" t="str">
            <v>646</v>
          </cell>
          <cell r="E46" t="str">
            <v>Traitement chenilles process.</v>
          </cell>
          <cell r="F46">
            <v>0</v>
          </cell>
        </row>
        <row r="47">
          <cell r="B47" t="str">
            <v>000</v>
          </cell>
          <cell r="C47" t="str">
            <v>04</v>
          </cell>
          <cell r="D47" t="str">
            <v>784</v>
          </cell>
          <cell r="E47" t="str">
            <v>Eau d'arrosage</v>
          </cell>
          <cell r="F47">
            <v>3744.94</v>
          </cell>
        </row>
        <row r="50">
          <cell r="B50" t="str">
            <v>000</v>
          </cell>
          <cell r="C50" t="str">
            <v>46</v>
          </cell>
          <cell r="D50" t="str">
            <v>521</v>
          </cell>
          <cell r="E50" t="str">
            <v>Entretien jardins</v>
          </cell>
          <cell r="F50">
            <v>1837.91</v>
          </cell>
        </row>
      </sheetData>
      <sheetData sheetId="2">
        <row r="12">
          <cell r="B12" t="str">
            <v>000</v>
          </cell>
          <cell r="C12" t="str">
            <v>04</v>
          </cell>
          <cell r="D12">
            <v>856</v>
          </cell>
          <cell r="E12" t="str">
            <v xml:space="preserve"> Travaux plomberie piscine</v>
          </cell>
          <cell r="F12">
            <v>1017.5</v>
          </cell>
        </row>
        <row r="13">
          <cell r="B13" t="str">
            <v>000</v>
          </cell>
          <cell r="C13" t="str">
            <v>04</v>
          </cell>
          <cell r="D13" t="str">
            <v>301</v>
          </cell>
          <cell r="E13" t="str">
            <v xml:space="preserve">Entretien serrurerie </v>
          </cell>
          <cell r="F13">
            <v>0</v>
          </cell>
        </row>
        <row r="14">
          <cell r="B14" t="str">
            <v>000</v>
          </cell>
          <cell r="C14" t="str">
            <v>04</v>
          </cell>
          <cell r="D14" t="str">
            <v>341</v>
          </cell>
          <cell r="E14" t="str">
            <v xml:space="preserve">Fournitures diverses </v>
          </cell>
          <cell r="F14">
            <v>0</v>
          </cell>
        </row>
        <row r="15">
          <cell r="B15" t="str">
            <v>000</v>
          </cell>
          <cell r="C15" t="str">
            <v>04</v>
          </cell>
          <cell r="D15" t="str">
            <v>386</v>
          </cell>
          <cell r="E15" t="str">
            <v>Entretien extincteurs</v>
          </cell>
          <cell r="F15">
            <v>24.59</v>
          </cell>
        </row>
        <row r="16">
          <cell r="B16" t="str">
            <v>000</v>
          </cell>
          <cell r="C16" t="str">
            <v>04</v>
          </cell>
          <cell r="D16" t="str">
            <v>460</v>
          </cell>
          <cell r="E16" t="str">
            <v>Achat materiel divers</v>
          </cell>
          <cell r="F16">
            <v>228</v>
          </cell>
        </row>
        <row r="17">
          <cell r="B17" t="str">
            <v>000</v>
          </cell>
          <cell r="C17" t="str">
            <v>04</v>
          </cell>
          <cell r="D17" t="str">
            <v>461</v>
          </cell>
          <cell r="E17" t="str">
            <v>Regul. miroir signalisation</v>
          </cell>
          <cell r="F17">
            <v>0</v>
          </cell>
        </row>
        <row r="18">
          <cell r="B18" t="str">
            <v>000</v>
          </cell>
          <cell r="C18" t="str">
            <v>04</v>
          </cell>
          <cell r="D18" t="str">
            <v>462</v>
          </cell>
          <cell r="E18" t="str">
            <v xml:space="preserve">Travaux piscine 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484</v>
          </cell>
          <cell r="E19" t="str">
            <v xml:space="preserve">Contrat piscine </v>
          </cell>
          <cell r="F19">
            <v>0</v>
          </cell>
        </row>
        <row r="20">
          <cell r="B20" t="str">
            <v>000</v>
          </cell>
          <cell r="C20" t="str">
            <v>04</v>
          </cell>
          <cell r="D20" t="str">
            <v>486</v>
          </cell>
          <cell r="E20" t="str">
            <v>Fournitures piscine</v>
          </cell>
          <cell r="F20">
            <v>942.85</v>
          </cell>
        </row>
        <row r="21">
          <cell r="B21" t="str">
            <v>000</v>
          </cell>
          <cell r="C21" t="str">
            <v>04</v>
          </cell>
          <cell r="D21" t="str">
            <v>489</v>
          </cell>
          <cell r="E21" t="str">
            <v>Consommation eau piscine</v>
          </cell>
          <cell r="F21">
            <v>188.28</v>
          </cell>
        </row>
        <row r="22">
          <cell r="B22" t="str">
            <v>000</v>
          </cell>
          <cell r="C22" t="str">
            <v>04</v>
          </cell>
          <cell r="D22" t="str">
            <v>490</v>
          </cell>
          <cell r="E22" t="str">
            <v>Analyses Piscine</v>
          </cell>
          <cell r="F22">
            <v>209.9</v>
          </cell>
        </row>
        <row r="23">
          <cell r="B23" t="str">
            <v>000</v>
          </cell>
          <cell r="C23" t="str">
            <v>04</v>
          </cell>
          <cell r="D23" t="str">
            <v>681</v>
          </cell>
          <cell r="E23" t="str">
            <v>Taxe d'habitation</v>
          </cell>
          <cell r="F23">
            <v>1259</v>
          </cell>
        </row>
        <row r="24">
          <cell r="B24" t="str">
            <v>000</v>
          </cell>
          <cell r="C24" t="str">
            <v>04</v>
          </cell>
          <cell r="D24" t="str">
            <v>684</v>
          </cell>
          <cell r="E24" t="str">
            <v>Taxe fonciere</v>
          </cell>
          <cell r="F24">
            <v>1399</v>
          </cell>
        </row>
        <row r="25">
          <cell r="B25" t="str">
            <v>000</v>
          </cell>
          <cell r="C25" t="str">
            <v>04</v>
          </cell>
          <cell r="D25" t="str">
            <v>735</v>
          </cell>
          <cell r="E25" t="str">
            <v>EDF Piscine</v>
          </cell>
          <cell r="F25">
            <v>1839.83</v>
          </cell>
        </row>
        <row r="26">
          <cell r="B26" t="str">
            <v>000</v>
          </cell>
          <cell r="C26" t="str">
            <v>04</v>
          </cell>
          <cell r="D26" t="str">
            <v>844</v>
          </cell>
          <cell r="E26" t="str">
            <v>Honoraires Syndic</v>
          </cell>
          <cell r="F26">
            <v>11190</v>
          </cell>
        </row>
        <row r="27">
          <cell r="B27" t="str">
            <v>000</v>
          </cell>
          <cell r="C27" t="str">
            <v>04</v>
          </cell>
          <cell r="D27" t="str">
            <v>912</v>
          </cell>
          <cell r="E27" t="str">
            <v>Participation emptoye immeuble</v>
          </cell>
          <cell r="F27">
            <v>6812.99</v>
          </cell>
        </row>
        <row r="28">
          <cell r="B28" t="str">
            <v>000</v>
          </cell>
          <cell r="C28" t="str">
            <v>04</v>
          </cell>
          <cell r="D28" t="str">
            <v>951</v>
          </cell>
          <cell r="E28" t="str">
            <v>Deduct. QIP Honoraires GIER</v>
          </cell>
          <cell r="F28">
            <v>-6797.48</v>
          </cell>
        </row>
        <row r="29">
          <cell r="B29" t="str">
            <v>000</v>
          </cell>
          <cell r="C29" t="str">
            <v>04</v>
          </cell>
          <cell r="D29" t="str">
            <v>935</v>
          </cell>
          <cell r="E29" t="str">
            <v xml:space="preserve">Deduct. Q/P Honoraires VILLAGE </v>
          </cell>
          <cell r="F29">
            <v>-1212.42</v>
          </cell>
        </row>
        <row r="30">
          <cell r="B30" t="str">
            <v>000</v>
          </cell>
          <cell r="C30" t="str">
            <v>04</v>
          </cell>
          <cell r="D30" t="str">
            <v>999</v>
          </cell>
          <cell r="E30" t="str">
            <v>Rompus sur repartition</v>
          </cell>
          <cell r="F30">
            <v>0.01</v>
          </cell>
        </row>
        <row r="33">
          <cell r="B33" t="str">
            <v>000</v>
          </cell>
          <cell r="C33" t="str">
            <v>03</v>
          </cell>
          <cell r="D33" t="str">
            <v>868</v>
          </cell>
          <cell r="E33" t="str">
            <v>Frais tirage comptes convoc</v>
          </cell>
          <cell r="F33">
            <v>1203.6600000000001</v>
          </cell>
        </row>
        <row r="34">
          <cell r="B34" t="str">
            <v>000</v>
          </cell>
          <cell r="C34" t="str">
            <v>03</v>
          </cell>
          <cell r="D34" t="str">
            <v>869</v>
          </cell>
          <cell r="E34" t="str">
            <v>Gestion archives du Syndicat</v>
          </cell>
          <cell r="F34">
            <v>235.87</v>
          </cell>
        </row>
        <row r="35">
          <cell r="B35" t="str">
            <v>000</v>
          </cell>
          <cell r="C35" t="str">
            <v>03</v>
          </cell>
          <cell r="D35" t="str">
            <v>871</v>
          </cell>
          <cell r="E35" t="str">
            <v>Frais Affranchissements</v>
          </cell>
          <cell r="F35">
            <v>1073.55</v>
          </cell>
        </row>
        <row r="36">
          <cell r="B36" t="str">
            <v>000</v>
          </cell>
          <cell r="C36" t="str">
            <v>03</v>
          </cell>
          <cell r="D36" t="str">
            <v>872</v>
          </cell>
          <cell r="E36" t="str">
            <v>Location salle AG</v>
          </cell>
          <cell r="F36">
            <v>0</v>
          </cell>
        </row>
        <row r="39">
          <cell r="B39" t="str">
            <v>000</v>
          </cell>
          <cell r="C39" t="str">
            <v>04</v>
          </cell>
          <cell r="D39" t="str">
            <v>341</v>
          </cell>
          <cell r="E39" t="str">
            <v>Fournitures diverses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521</v>
          </cell>
          <cell r="E40" t="str">
            <v xml:space="preserve">Enlevement dechets vegetaux </v>
          </cell>
          <cell r="F40">
            <v>0</v>
          </cell>
        </row>
        <row r="41">
          <cell r="B41" t="str">
            <v>000</v>
          </cell>
          <cell r="C41" t="str">
            <v>04</v>
          </cell>
          <cell r="D41" t="str">
            <v>526</v>
          </cell>
          <cell r="E41" t="str">
            <v>Fourniture arrosage autornat.</v>
          </cell>
          <cell r="F41">
            <v>0</v>
          </cell>
        </row>
        <row r="42">
          <cell r="B42" t="str">
            <v>000</v>
          </cell>
          <cell r="C42" t="str">
            <v>04</v>
          </cell>
          <cell r="D42" t="str">
            <v>621</v>
          </cell>
          <cell r="E42" t="str">
            <v>Traitement chenilles process.</v>
          </cell>
          <cell r="F42">
            <v>648</v>
          </cell>
        </row>
        <row r="43">
          <cell r="B43" t="str">
            <v>000</v>
          </cell>
          <cell r="C43" t="str">
            <v>04</v>
          </cell>
          <cell r="D43" t="str">
            <v>622</v>
          </cell>
          <cell r="E43" t="str">
            <v xml:space="preserve">Travaux elagage et abattage </v>
          </cell>
          <cell r="F43">
            <v>2872.2</v>
          </cell>
        </row>
        <row r="44">
          <cell r="B44" t="str">
            <v>000</v>
          </cell>
          <cell r="C44" t="str">
            <v>04</v>
          </cell>
          <cell r="D44" t="str">
            <v>624</v>
          </cell>
          <cell r="E44" t="str">
            <v>Contrat espaces verts</v>
          </cell>
          <cell r="F44">
            <v>0</v>
          </cell>
        </row>
        <row r="45">
          <cell r="B45" t="str">
            <v>000</v>
          </cell>
          <cell r="C45" t="str">
            <v>04</v>
          </cell>
          <cell r="D45" t="str">
            <v>625</v>
          </cell>
          <cell r="E45" t="str">
            <v>Fourniture vegetaux</v>
          </cell>
          <cell r="F45">
            <v>1543.96</v>
          </cell>
        </row>
        <row r="46">
          <cell r="B46" t="str">
            <v>000</v>
          </cell>
          <cell r="C46" t="str">
            <v>04</v>
          </cell>
          <cell r="D46" t="str">
            <v>626</v>
          </cell>
          <cell r="E46" t="str">
            <v xml:space="preserve">Surv. cpteur jardins </v>
          </cell>
          <cell r="F46">
            <v>110.02</v>
          </cell>
        </row>
        <row r="47">
          <cell r="B47" t="str">
            <v>000</v>
          </cell>
          <cell r="C47" t="str">
            <v>04</v>
          </cell>
          <cell r="D47" t="str">
            <v>784</v>
          </cell>
          <cell r="E47" t="str">
            <v>Eau d'arrosage</v>
          </cell>
          <cell r="F47">
            <v>3405.85</v>
          </cell>
        </row>
        <row r="50">
          <cell r="B50" t="str">
            <v>000</v>
          </cell>
          <cell r="C50" t="str">
            <v>46</v>
          </cell>
          <cell r="D50" t="str">
            <v>521</v>
          </cell>
          <cell r="E50" t="str">
            <v>Entretien jardins</v>
          </cell>
          <cell r="F50">
            <v>1837.91</v>
          </cell>
        </row>
      </sheetData>
      <sheetData sheetId="3">
        <row r="12">
          <cell r="B12" t="str">
            <v>000</v>
          </cell>
          <cell r="C12" t="str">
            <v>04</v>
          </cell>
          <cell r="D12" t="str">
            <v>106</v>
          </cell>
          <cell r="E12" t="str">
            <v>Travaux plomberie</v>
          </cell>
          <cell r="F12">
            <v>0</v>
          </cell>
        </row>
        <row r="13">
          <cell r="B13" t="str">
            <v>000</v>
          </cell>
          <cell r="C13" t="str">
            <v>04</v>
          </cell>
          <cell r="D13" t="str">
            <v>195</v>
          </cell>
          <cell r="E13" t="str">
            <v>Entretien serrurerie</v>
          </cell>
          <cell r="F13">
            <v>0</v>
          </cell>
        </row>
        <row r="14">
          <cell r="B14" t="str">
            <v>000</v>
          </cell>
          <cell r="C14" t="str">
            <v>04</v>
          </cell>
          <cell r="D14" t="str">
            <v>236</v>
          </cell>
          <cell r="E14" t="str">
            <v>Regul. miroir signalisation</v>
          </cell>
          <cell r="F14">
            <v>0</v>
          </cell>
        </row>
        <row r="15">
          <cell r="B15" t="str">
            <v>000</v>
          </cell>
          <cell r="C15" t="str">
            <v>04</v>
          </cell>
          <cell r="D15" t="str">
            <v>269</v>
          </cell>
          <cell r="E15" t="str">
            <v>EDF Piscine</v>
          </cell>
          <cell r="F15">
            <v>1797.7</v>
          </cell>
        </row>
        <row r="16">
          <cell r="B16" t="str">
            <v>000</v>
          </cell>
          <cell r="C16" t="str">
            <v>04</v>
          </cell>
          <cell r="D16" t="str">
            <v>281</v>
          </cell>
          <cell r="E16" t="str">
            <v>Consommation eau piscine</v>
          </cell>
          <cell r="F16">
            <v>1090.32</v>
          </cell>
        </row>
        <row r="17">
          <cell r="B17" t="str">
            <v>000</v>
          </cell>
          <cell r="C17" t="str">
            <v>04</v>
          </cell>
          <cell r="D17" t="str">
            <v>401</v>
          </cell>
          <cell r="E17" t="str">
            <v>Honoraires Syndic</v>
          </cell>
          <cell r="F17">
            <v>12516</v>
          </cell>
        </row>
        <row r="18">
          <cell r="B18" t="str">
            <v>000</v>
          </cell>
          <cell r="C18" t="str">
            <v>04</v>
          </cell>
          <cell r="D18" t="str">
            <v>481</v>
          </cell>
          <cell r="E18" t="str">
            <v>Taxe tonciere</v>
          </cell>
          <cell r="F18">
            <v>1404</v>
          </cell>
        </row>
        <row r="19">
          <cell r="B19" t="str">
            <v>000</v>
          </cell>
          <cell r="C19" t="str">
            <v>04</v>
          </cell>
          <cell r="D19" t="str">
            <v>482</v>
          </cell>
          <cell r="E19" t="str">
            <v>Taxe d'habitation</v>
          </cell>
          <cell r="F19">
            <v>1264</v>
          </cell>
        </row>
        <row r="20">
          <cell r="B20" t="str">
            <v>000</v>
          </cell>
          <cell r="C20" t="str">
            <v>04</v>
          </cell>
          <cell r="D20" t="str">
            <v>702</v>
          </cell>
          <cell r="E20" t="str">
            <v>Contrat entr extincteurs</v>
          </cell>
          <cell r="F20">
            <v>22.66</v>
          </cell>
        </row>
        <row r="21">
          <cell r="B21" t="str">
            <v>000</v>
          </cell>
          <cell r="C21" t="str">
            <v>04</v>
          </cell>
          <cell r="D21" t="str">
            <v>706</v>
          </cell>
          <cell r="E21" t="str">
            <v>Entretien extincteurs</v>
          </cell>
          <cell r="F21">
            <v>0</v>
          </cell>
        </row>
        <row r="22">
          <cell r="B22" t="str">
            <v>000</v>
          </cell>
          <cell r="C22" t="str">
            <v>04</v>
          </cell>
          <cell r="D22" t="str">
            <v>851</v>
          </cell>
          <cell r="E22" t="str">
            <v>Contrat piscine</v>
          </cell>
          <cell r="F22">
            <v>0</v>
          </cell>
        </row>
        <row r="23">
          <cell r="B23" t="str">
            <v>000</v>
          </cell>
          <cell r="C23" t="str">
            <v>04</v>
          </cell>
          <cell r="D23" t="str">
            <v>856</v>
          </cell>
          <cell r="E23" t="str">
            <v>Travaux piscine</v>
          </cell>
          <cell r="F23">
            <v>0</v>
          </cell>
        </row>
        <row r="24">
          <cell r="B24" t="str">
            <v>000</v>
          </cell>
          <cell r="C24" t="str">
            <v>04</v>
          </cell>
          <cell r="D24" t="str">
            <v>857</v>
          </cell>
          <cell r="E24" t="str">
            <v>Fournitures piscine</v>
          </cell>
          <cell r="F24">
            <v>1045.6500000000001</v>
          </cell>
        </row>
        <row r="25">
          <cell r="B25" t="str">
            <v>000</v>
          </cell>
          <cell r="C25" t="str">
            <v>04</v>
          </cell>
          <cell r="D25" t="str">
            <v>858</v>
          </cell>
          <cell r="E25" t="str">
            <v>Analyses Piscine</v>
          </cell>
          <cell r="F25">
            <v>242.4</v>
          </cell>
        </row>
        <row r="26">
          <cell r="B26" t="str">
            <v>000</v>
          </cell>
          <cell r="C26" t="str">
            <v>04</v>
          </cell>
          <cell r="D26" t="str">
            <v>892</v>
          </cell>
          <cell r="E26" t="str">
            <v>Deduct, Q/P Honoraires 01ER</v>
          </cell>
          <cell r="F26">
            <v>-7602.97</v>
          </cell>
        </row>
        <row r="27">
          <cell r="B27" t="str">
            <v>000</v>
          </cell>
          <cell r="C27" t="str">
            <v>04</v>
          </cell>
          <cell r="D27" t="str">
            <v>909</v>
          </cell>
          <cell r="E27" t="str">
            <v>Participation employe immeuble</v>
          </cell>
          <cell r="F27">
            <v>45519.89</v>
          </cell>
        </row>
        <row r="28">
          <cell r="B28" t="str">
            <v>000</v>
          </cell>
          <cell r="C28" t="str">
            <v>04</v>
          </cell>
          <cell r="D28" t="str">
            <v>935</v>
          </cell>
          <cell r="E28" t="str">
            <v>Deduct. Q/P Honoraires VILLAGE</v>
          </cell>
          <cell r="F28">
            <v>-1356.09</v>
          </cell>
        </row>
        <row r="29">
          <cell r="B29" t="str">
            <v>000</v>
          </cell>
          <cell r="C29" t="str">
            <v>04</v>
          </cell>
          <cell r="D29" t="str">
            <v>988</v>
          </cell>
          <cell r="E29" t="str">
            <v>Rompus sur repartition</v>
          </cell>
          <cell r="F29">
            <v>0</v>
          </cell>
        </row>
        <row r="32">
          <cell r="B32" t="str">
            <v>000</v>
          </cell>
          <cell r="C32" t="str">
            <v>03</v>
          </cell>
          <cell r="D32" t="str">
            <v>231</v>
          </cell>
          <cell r="E32" t="str">
            <v>Gestion archives du Syndicat</v>
          </cell>
          <cell r="F32">
            <v>238.37</v>
          </cell>
        </row>
        <row r="33">
          <cell r="B33" t="str">
            <v>000</v>
          </cell>
          <cell r="C33" t="str">
            <v>03</v>
          </cell>
          <cell r="D33" t="str">
            <v>241</v>
          </cell>
          <cell r="E33" t="str">
            <v>Location salle AG</v>
          </cell>
          <cell r="F33">
            <v>0</v>
          </cell>
        </row>
        <row r="34">
          <cell r="B34" t="str">
            <v>000</v>
          </cell>
          <cell r="C34" t="str">
            <v>03</v>
          </cell>
          <cell r="D34" t="str">
            <v>352</v>
          </cell>
          <cell r="E34" t="str">
            <v>Frais Affranchissements</v>
          </cell>
          <cell r="F34">
            <v>1077.95</v>
          </cell>
        </row>
        <row r="35">
          <cell r="B35" t="str">
            <v>000</v>
          </cell>
          <cell r="C35" t="str">
            <v>03</v>
          </cell>
          <cell r="D35" t="str">
            <v>353</v>
          </cell>
          <cell r="E35" t="str">
            <v>Frais tirage comptes convoc</v>
          </cell>
          <cell r="F35">
            <v>991.42</v>
          </cell>
        </row>
        <row r="38">
          <cell r="B38" t="str">
            <v>000</v>
          </cell>
          <cell r="C38" t="str">
            <v>04</v>
          </cell>
          <cell r="D38" t="str">
            <v>233</v>
          </cell>
          <cell r="E38" t="str">
            <v>Fournitures diverses</v>
          </cell>
          <cell r="F38">
            <v>0</v>
          </cell>
        </row>
        <row r="39">
          <cell r="B39" t="str">
            <v>000</v>
          </cell>
          <cell r="C39" t="str">
            <v>04</v>
          </cell>
          <cell r="D39" t="str">
            <v>234</v>
          </cell>
          <cell r="E39" t="str">
            <v>Fourniture vegetaux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285</v>
          </cell>
          <cell r="E40" t="str">
            <v>Eau d'arrosage</v>
          </cell>
          <cell r="F40">
            <v>0</v>
          </cell>
        </row>
        <row r="41">
          <cell r="B41" t="str">
            <v>000</v>
          </cell>
          <cell r="C41" t="str">
            <v>04</v>
          </cell>
          <cell r="D41" t="str">
            <v>845</v>
          </cell>
          <cell r="E41" t="str">
            <v>Fourniture arrosage autocoat.</v>
          </cell>
          <cell r="F41">
            <v>0</v>
          </cell>
        </row>
        <row r="42">
          <cell r="B42" t="str">
            <v>000</v>
          </cell>
          <cell r="C42" t="str">
            <v>04</v>
          </cell>
          <cell r="D42" t="str">
            <v>846</v>
          </cell>
          <cell r="E42" t="str">
            <v>Travaux elagage et abattage</v>
          </cell>
          <cell r="F42">
            <v>0</v>
          </cell>
        </row>
        <row r="43">
          <cell r="B43" t="str">
            <v>000</v>
          </cell>
          <cell r="C43" t="str">
            <v>04</v>
          </cell>
          <cell r="D43" t="str">
            <v>883</v>
          </cell>
          <cell r="E43" t="str">
            <v>Surv. cpteur jardins</v>
          </cell>
          <cell r="F43">
            <v>0</v>
          </cell>
        </row>
        <row r="46">
          <cell r="B46" t="str">
            <v>000</v>
          </cell>
          <cell r="C46" t="str">
            <v>46</v>
          </cell>
          <cell r="D46" t="str">
            <v>845</v>
          </cell>
          <cell r="E46" t="str">
            <v>Entretien lardins</v>
          </cell>
          <cell r="F46">
            <v>0</v>
          </cell>
        </row>
      </sheetData>
      <sheetData sheetId="4">
        <row r="12">
          <cell r="B12" t="str">
            <v>000</v>
          </cell>
          <cell r="C12" t="str">
            <v>04</v>
          </cell>
          <cell r="D12" t="str">
            <v>269</v>
          </cell>
          <cell r="E12" t="str">
            <v>EDF Piscine</v>
          </cell>
          <cell r="F12">
            <v>1994.34</v>
          </cell>
        </row>
        <row r="13">
          <cell r="B13" t="str">
            <v>000</v>
          </cell>
          <cell r="C13" t="str">
            <v>04</v>
          </cell>
          <cell r="D13" t="str">
            <v>281</v>
          </cell>
          <cell r="E13" t="str">
            <v>Consommation eau piscine</v>
          </cell>
          <cell r="F13">
            <v>692.4</v>
          </cell>
        </row>
        <row r="14">
          <cell r="B14" t="str">
            <v>000</v>
          </cell>
          <cell r="C14" t="str">
            <v>04</v>
          </cell>
          <cell r="D14" t="str">
            <v>401</v>
          </cell>
          <cell r="E14" t="str">
            <v>Honoraires Syndic</v>
          </cell>
          <cell r="F14">
            <v>12516</v>
          </cell>
        </row>
        <row r="15">
          <cell r="B15" t="str">
            <v>000</v>
          </cell>
          <cell r="C15" t="str">
            <v>04</v>
          </cell>
          <cell r="D15" t="str">
            <v>481</v>
          </cell>
          <cell r="E15" t="str">
            <v>Taxe fonciere</v>
          </cell>
          <cell r="F15">
            <v>1569</v>
          </cell>
        </row>
        <row r="16">
          <cell r="B16" t="str">
            <v>000</v>
          </cell>
          <cell r="C16" t="str">
            <v>04</v>
          </cell>
          <cell r="D16" t="str">
            <v>482</v>
          </cell>
          <cell r="E16" t="str">
            <v>Taxe d'habitation</v>
          </cell>
          <cell r="F16">
            <v>1280</v>
          </cell>
        </row>
        <row r="17">
          <cell r="B17" t="str">
            <v>000</v>
          </cell>
          <cell r="C17" t="str">
            <v>04</v>
          </cell>
          <cell r="D17" t="str">
            <v>702</v>
          </cell>
          <cell r="E17" t="str">
            <v>Contrat entr extincteurs</v>
          </cell>
          <cell r="F17">
            <v>19.420000000000002</v>
          </cell>
        </row>
        <row r="18">
          <cell r="B18" t="str">
            <v>000</v>
          </cell>
          <cell r="C18" t="str">
            <v>04</v>
          </cell>
          <cell r="D18" t="str">
            <v>706</v>
          </cell>
          <cell r="E18" t="str">
            <v>Entretien extincteurs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856</v>
          </cell>
          <cell r="E19" t="str">
            <v>Travaux piscine</v>
          </cell>
          <cell r="F19">
            <v>1522.8</v>
          </cell>
        </row>
        <row r="20">
          <cell r="B20" t="str">
            <v>000</v>
          </cell>
          <cell r="C20" t="str">
            <v>04</v>
          </cell>
          <cell r="D20" t="str">
            <v>857</v>
          </cell>
          <cell r="E20" t="str">
            <v>Fournitures piscine</v>
          </cell>
          <cell r="F20">
            <v>1030.5</v>
          </cell>
        </row>
        <row r="21">
          <cell r="B21" t="str">
            <v>000</v>
          </cell>
          <cell r="C21" t="str">
            <v>04</v>
          </cell>
          <cell r="D21" t="str">
            <v>856</v>
          </cell>
          <cell r="E21" t="str">
            <v>Analyses Piscine</v>
          </cell>
          <cell r="F21">
            <v>121.2</v>
          </cell>
        </row>
        <row r="22">
          <cell r="B22" t="str">
            <v>000</v>
          </cell>
          <cell r="C22" t="str">
            <v>04</v>
          </cell>
          <cell r="D22" t="str">
            <v>892</v>
          </cell>
          <cell r="E22" t="str">
            <v>Deduct QIP Honoraires G/ER</v>
          </cell>
          <cell r="F22">
            <v>-7602.97</v>
          </cell>
        </row>
        <row r="23">
          <cell r="B23" t="str">
            <v>000</v>
          </cell>
          <cell r="C23" t="str">
            <v>04</v>
          </cell>
          <cell r="D23" t="str">
            <v>905</v>
          </cell>
          <cell r="E23" t="str">
            <v>Regul de charges ex anteneur</v>
          </cell>
          <cell r="F23">
            <v>-404.64</v>
          </cell>
        </row>
        <row r="24">
          <cell r="B24" t="str">
            <v>000</v>
          </cell>
          <cell r="C24" t="str">
            <v>04</v>
          </cell>
          <cell r="D24" t="str">
            <v>909</v>
          </cell>
          <cell r="E24" t="str">
            <v>Participation employe immeuble</v>
          </cell>
          <cell r="F24">
            <v>41394.99</v>
          </cell>
        </row>
        <row r="25">
          <cell r="B25" t="str">
            <v>000</v>
          </cell>
          <cell r="C25" t="str">
            <v>04</v>
          </cell>
          <cell r="D25" t="str">
            <v>935</v>
          </cell>
          <cell r="E25" t="str">
            <v>Deduct QIP Honoraires VILLAGE</v>
          </cell>
          <cell r="F25">
            <v>-1356.09</v>
          </cell>
        </row>
        <row r="26">
          <cell r="B26" t="str">
            <v>000</v>
          </cell>
          <cell r="C26" t="str">
            <v>04</v>
          </cell>
          <cell r="D26" t="str">
            <v>988</v>
          </cell>
          <cell r="E26" t="str">
            <v>Rompus sur repartitron</v>
          </cell>
          <cell r="F26">
            <v>0.01</v>
          </cell>
        </row>
        <row r="29">
          <cell r="B29" t="str">
            <v>000</v>
          </cell>
          <cell r="C29" t="str">
            <v>03</v>
          </cell>
          <cell r="D29" t="str">
            <v>231</v>
          </cell>
          <cell r="E29" t="str">
            <v>Gestion archives du Syndicat</v>
          </cell>
          <cell r="F29">
            <v>244.61</v>
          </cell>
        </row>
        <row r="30">
          <cell r="B30" t="str">
            <v>000</v>
          </cell>
          <cell r="C30" t="str">
            <v>03</v>
          </cell>
          <cell r="D30" t="str">
            <v>241</v>
          </cell>
          <cell r="E30" t="str">
            <v>Location salle AG</v>
          </cell>
          <cell r="F30">
            <v>0</v>
          </cell>
        </row>
        <row r="31">
          <cell r="B31" t="str">
            <v>000</v>
          </cell>
          <cell r="C31" t="str">
            <v>03</v>
          </cell>
          <cell r="D31" t="str">
            <v>352</v>
          </cell>
          <cell r="E31" t="str">
            <v>Frais Affranchissements</v>
          </cell>
          <cell r="F31">
            <v>1054.81</v>
          </cell>
        </row>
        <row r="32">
          <cell r="B32" t="str">
            <v>000</v>
          </cell>
          <cell r="C32" t="str">
            <v>03</v>
          </cell>
          <cell r="D32" t="str">
            <v>353</v>
          </cell>
          <cell r="E32" t="str">
            <v>Frais tirage comptes convoc</v>
          </cell>
          <cell r="F32">
            <v>0</v>
          </cell>
        </row>
      </sheetData>
      <sheetData sheetId="5">
        <row r="12">
          <cell r="B12" t="str">
            <v>000</v>
          </cell>
          <cell r="C12" t="str">
            <v>04</v>
          </cell>
          <cell r="D12" t="str">
            <v>269</v>
          </cell>
          <cell r="E12" t="str">
            <v>EDF Piscine</v>
          </cell>
          <cell r="F12">
            <v>1988.11</v>
          </cell>
        </row>
        <row r="13">
          <cell r="B13" t="str">
            <v>000</v>
          </cell>
          <cell r="C13" t="str">
            <v>04</v>
          </cell>
          <cell r="D13" t="str">
            <v>281</v>
          </cell>
          <cell r="E13" t="str">
            <v>Consommation eau piscine</v>
          </cell>
          <cell r="F13">
            <v>-42.09</v>
          </cell>
        </row>
        <row r="14">
          <cell r="B14" t="str">
            <v>000</v>
          </cell>
          <cell r="C14" t="str">
            <v>04</v>
          </cell>
          <cell r="D14" t="str">
            <v>401</v>
          </cell>
          <cell r="E14" t="str">
            <v>Honoraires Syndic</v>
          </cell>
          <cell r="F14">
            <v>12516</v>
          </cell>
        </row>
        <row r="15">
          <cell r="B15" t="str">
            <v>000</v>
          </cell>
          <cell r="C15" t="str">
            <v>04</v>
          </cell>
          <cell r="D15" t="str">
            <v>481</v>
          </cell>
          <cell r="E15" t="str">
            <v>Taxe fonciere</v>
          </cell>
          <cell r="F15">
            <v>1497</v>
          </cell>
        </row>
        <row r="16">
          <cell r="B16" t="str">
            <v>000</v>
          </cell>
          <cell r="C16" t="str">
            <v>04</v>
          </cell>
          <cell r="D16" t="str">
            <v>482</v>
          </cell>
          <cell r="E16" t="str">
            <v>Taxe d'habitation</v>
          </cell>
          <cell r="F16">
            <v>1306</v>
          </cell>
        </row>
        <row r="17">
          <cell r="B17" t="str">
            <v>000</v>
          </cell>
          <cell r="C17" t="str">
            <v>04</v>
          </cell>
          <cell r="D17" t="str">
            <v>702</v>
          </cell>
          <cell r="E17" t="str">
            <v>Contrat entr extincteurs</v>
          </cell>
          <cell r="F17">
            <v>19.8</v>
          </cell>
        </row>
        <row r="18">
          <cell r="B18" t="str">
            <v>000</v>
          </cell>
          <cell r="C18" t="str">
            <v>04</v>
          </cell>
          <cell r="D18" t="str">
            <v>706</v>
          </cell>
          <cell r="E18" t="str">
            <v>Entretien extincteurs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856</v>
          </cell>
          <cell r="E19" t="str">
            <v>Travaux piscine</v>
          </cell>
          <cell r="F19">
            <v>0</v>
          </cell>
        </row>
        <row r="20">
          <cell r="B20" t="str">
            <v>000</v>
          </cell>
          <cell r="C20" t="str">
            <v>04</v>
          </cell>
          <cell r="D20" t="str">
            <v>857</v>
          </cell>
          <cell r="E20" t="str">
            <v>Fournitures piscine</v>
          </cell>
          <cell r="F20">
            <v>1215.9000000000001</v>
          </cell>
        </row>
        <row r="21">
          <cell r="B21" t="str">
            <v>000</v>
          </cell>
          <cell r="C21" t="str">
            <v>04</v>
          </cell>
          <cell r="D21" t="str">
            <v>858</v>
          </cell>
          <cell r="E21" t="str">
            <v>Analyses Piscine</v>
          </cell>
          <cell r="F21">
            <v>0</v>
          </cell>
        </row>
        <row r="22">
          <cell r="B22" t="str">
            <v>000</v>
          </cell>
          <cell r="C22" t="str">
            <v>04</v>
          </cell>
          <cell r="D22" t="str">
            <v>892</v>
          </cell>
          <cell r="E22" t="str">
            <v>Deduct QIP Honoraires G/ER</v>
          </cell>
          <cell r="F22">
            <v>-7602.97</v>
          </cell>
        </row>
        <row r="23">
          <cell r="B23" t="str">
            <v>000</v>
          </cell>
          <cell r="C23" t="str">
            <v>04</v>
          </cell>
          <cell r="D23" t="str">
            <v>905</v>
          </cell>
          <cell r="E23" t="str">
            <v>Regul de charges ex anterieur</v>
          </cell>
          <cell r="F23">
            <v>0</v>
          </cell>
        </row>
        <row r="24">
          <cell r="B24" t="str">
            <v>000</v>
          </cell>
          <cell r="C24" t="str">
            <v>04</v>
          </cell>
          <cell r="D24" t="str">
            <v>909</v>
          </cell>
          <cell r="E24" t="str">
            <v>Participation employe immeuble</v>
          </cell>
          <cell r="F24">
            <v>47361.94</v>
          </cell>
        </row>
        <row r="25">
          <cell r="B25" t="str">
            <v>000</v>
          </cell>
          <cell r="C25" t="str">
            <v>04</v>
          </cell>
          <cell r="D25" t="str">
            <v>935</v>
          </cell>
          <cell r="E25" t="str">
            <v>Deduct Q/P Honoraires VILLAGE</v>
          </cell>
          <cell r="F25">
            <v>-1356.09</v>
          </cell>
        </row>
        <row r="26">
          <cell r="B26" t="str">
            <v>000</v>
          </cell>
          <cell r="C26" t="str">
            <v>04</v>
          </cell>
          <cell r="D26" t="str">
            <v>988</v>
          </cell>
          <cell r="E26" t="str">
            <v>Rompus sur repartition</v>
          </cell>
          <cell r="F26">
            <v>-0.05</v>
          </cell>
        </row>
        <row r="29">
          <cell r="B29" t="str">
            <v>000</v>
          </cell>
          <cell r="C29" t="str">
            <v>03</v>
          </cell>
          <cell r="D29" t="str">
            <v>231</v>
          </cell>
          <cell r="E29" t="str">
            <v>Gestion archives du Syndicat</v>
          </cell>
          <cell r="F29">
            <v>248.74</v>
          </cell>
        </row>
        <row r="30">
          <cell r="B30" t="str">
            <v>000</v>
          </cell>
          <cell r="C30" t="str">
            <v>03</v>
          </cell>
          <cell r="D30" t="str">
            <v>241</v>
          </cell>
          <cell r="E30" t="str">
            <v>Location salle AG</v>
          </cell>
          <cell r="F30">
            <v>0</v>
          </cell>
        </row>
        <row r="31">
          <cell r="B31" t="str">
            <v>000</v>
          </cell>
          <cell r="C31" t="str">
            <v>03</v>
          </cell>
          <cell r="D31" t="str">
            <v>352</v>
          </cell>
          <cell r="E31" t="str">
            <v>Frais Affranchissements</v>
          </cell>
          <cell r="F31">
            <v>1265</v>
          </cell>
        </row>
      </sheetData>
      <sheetData sheetId="6"/>
      <sheetData sheetId="7">
        <row r="1">
          <cell r="A1">
            <v>3</v>
          </cell>
          <cell r="B1" t="str">
            <v>Charges d'administration</v>
          </cell>
        </row>
        <row r="2">
          <cell r="A2">
            <v>4</v>
          </cell>
          <cell r="B2" t="str">
            <v>ASL + Monica</v>
          </cell>
        </row>
        <row r="3">
          <cell r="A3">
            <v>46</v>
          </cell>
          <cell r="B3" t="str">
            <v>Charges spéciales Villa 1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3981" activePane="bottomLeft" state="frozen"/>
      <selection pane="bottomLeft" sqref="A1:XFD1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21.3828125" style="11" customWidth="1" collapsed="1"/>
    <col min="4" max="4" width="19.3828125" style="8" customWidth="1" collapsed="1"/>
    <col min="5" max="5" width="21.382812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ht="25" customHeight="1" x14ac:dyDescent="0.4">
      <c r="A1" t="s">
        <v>0</v>
      </c>
      <c r="B1" t="s">
        <v>1</v>
      </c>
      <c r="C1" s="11" t="s">
        <v>2</v>
      </c>
      <c r="D1" s="8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</v>
      </c>
      <c r="N1" t="s">
        <v>12</v>
      </c>
      <c r="O1" t="s">
        <v>13</v>
      </c>
      <c r="P1" t="s">
        <v>14</v>
      </c>
    </row>
    <row r="2" spans="1:27" ht="15" customHeight="1" x14ac:dyDescent="0.4">
      <c r="A2" t="s">
        <v>15</v>
      </c>
      <c r="B2" t="s">
        <v>16</v>
      </c>
      <c r="C2" s="11">
        <v>45658</v>
      </c>
      <c r="D2" s="8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">
        <v>45908</v>
      </c>
      <c r="M2" t="s">
        <v>3950</v>
      </c>
      <c r="N2" t="s">
        <v>3951</v>
      </c>
      <c r="O2">
        <v>900</v>
      </c>
      <c r="P2" t="s">
        <v>3952</v>
      </c>
      <c r="Z2" s="9"/>
      <c r="AA2" s="9"/>
    </row>
    <row r="3" spans="1:27" ht="15" customHeight="1" x14ac:dyDescent="0.4">
      <c r="A3" t="s">
        <v>15</v>
      </c>
      <c r="B3" t="s">
        <v>16</v>
      </c>
      <c r="C3" s="11">
        <v>45658</v>
      </c>
      <c r="D3" s="8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3953</v>
      </c>
      <c r="L3" s="1">
        <v>45853</v>
      </c>
      <c r="M3" t="s">
        <v>3954</v>
      </c>
      <c r="N3" t="s">
        <v>3955</v>
      </c>
      <c r="O3">
        <v>330</v>
      </c>
      <c r="P3" t="s">
        <v>3947</v>
      </c>
    </row>
    <row r="4" spans="1:27" ht="15" customHeight="1" x14ac:dyDescent="0.4">
      <c r="A4" t="s">
        <v>15</v>
      </c>
      <c r="B4" t="s">
        <v>16</v>
      </c>
      <c r="C4" s="11">
        <v>45658</v>
      </c>
      <c r="D4" s="8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">
        <v>45808</v>
      </c>
      <c r="M4" t="s">
        <v>3956</v>
      </c>
      <c r="N4" t="s">
        <v>3957</v>
      </c>
      <c r="O4">
        <v>1588.8</v>
      </c>
      <c r="P4" t="s">
        <v>3704</v>
      </c>
    </row>
    <row r="5" spans="1:27" ht="15" customHeight="1" x14ac:dyDescent="0.4">
      <c r="A5" t="s">
        <v>15</v>
      </c>
      <c r="B5" t="s">
        <v>16</v>
      </c>
      <c r="C5" s="11">
        <v>45658</v>
      </c>
      <c r="D5" s="8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">
        <v>45835</v>
      </c>
      <c r="M5" t="s">
        <v>3958</v>
      </c>
      <c r="N5" t="s">
        <v>3959</v>
      </c>
      <c r="O5">
        <v>1056</v>
      </c>
      <c r="P5" t="s">
        <v>3704</v>
      </c>
    </row>
    <row r="6" spans="1:27" ht="15" customHeight="1" x14ac:dyDescent="0.4">
      <c r="A6" t="s">
        <v>15</v>
      </c>
      <c r="B6" t="s">
        <v>16</v>
      </c>
      <c r="C6" s="11">
        <v>45658</v>
      </c>
      <c r="D6" s="8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3960</v>
      </c>
      <c r="L6" s="1">
        <v>45847</v>
      </c>
      <c r="M6" t="s">
        <v>3961</v>
      </c>
      <c r="N6" t="s">
        <v>3962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1">
        <v>45658</v>
      </c>
      <c r="D7" s="8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">
        <v>45798</v>
      </c>
      <c r="M7" t="s">
        <v>3963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1">
        <v>45658</v>
      </c>
      <c r="D8" s="8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">
        <v>45813</v>
      </c>
      <c r="M8" t="s">
        <v>3964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1">
        <v>45658</v>
      </c>
      <c r="D9" s="8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">
        <v>45848</v>
      </c>
      <c r="M9" t="s">
        <v>3965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1">
        <v>45658</v>
      </c>
      <c r="D10" s="8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">
        <v>45848</v>
      </c>
      <c r="M10" t="s">
        <v>3966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1">
        <v>45658</v>
      </c>
      <c r="D11" s="8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">
        <v>45870</v>
      </c>
      <c r="M11" t="s">
        <v>3967</v>
      </c>
      <c r="N11" t="s">
        <v>3968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1">
        <v>45658</v>
      </c>
      <c r="D12" s="8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">
        <v>45728</v>
      </c>
      <c r="M12" t="s">
        <v>3581</v>
      </c>
      <c r="N12" t="s">
        <v>3582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1">
        <v>45658</v>
      </c>
      <c r="D13" s="8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">
        <v>45741</v>
      </c>
      <c r="M13" t="s">
        <v>3583</v>
      </c>
      <c r="N13" t="s">
        <v>3584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1">
        <v>45658</v>
      </c>
      <c r="D14" s="8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">
        <v>45675</v>
      </c>
      <c r="M14" t="s">
        <v>3585</v>
      </c>
      <c r="N14" t="s">
        <v>3586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1">
        <v>45658</v>
      </c>
      <c r="D15" s="8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3587</v>
      </c>
      <c r="L15" s="1">
        <v>45677</v>
      </c>
      <c r="M15" t="s">
        <v>3588</v>
      </c>
      <c r="N15" t="s">
        <v>3589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1">
        <v>45658</v>
      </c>
      <c r="D16" s="8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3587</v>
      </c>
      <c r="L16" s="1">
        <v>45709</v>
      </c>
      <c r="M16" t="s">
        <v>76</v>
      </c>
      <c r="N16" t="s">
        <v>3590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1">
        <v>45658</v>
      </c>
      <c r="D17" s="8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3587</v>
      </c>
      <c r="L17" s="1">
        <v>45736</v>
      </c>
      <c r="M17" t="s">
        <v>3969</v>
      </c>
      <c r="N17" t="s">
        <v>3970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1">
        <v>45658</v>
      </c>
      <c r="D18" s="8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3587</v>
      </c>
      <c r="L18" s="1">
        <v>45767</v>
      </c>
      <c r="M18" t="s">
        <v>3971</v>
      </c>
      <c r="N18" t="s">
        <v>3972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1">
        <v>45658</v>
      </c>
      <c r="D19" s="8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3587</v>
      </c>
      <c r="L19" s="1">
        <v>45798</v>
      </c>
      <c r="M19" t="s">
        <v>3973</v>
      </c>
      <c r="N19" t="s">
        <v>3974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1">
        <v>45658</v>
      </c>
      <c r="D20" s="8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3587</v>
      </c>
      <c r="L20" s="1">
        <v>45832</v>
      </c>
      <c r="M20" t="s">
        <v>76</v>
      </c>
      <c r="N20" t="s">
        <v>3975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1">
        <v>45658</v>
      </c>
      <c r="D21" s="8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3587</v>
      </c>
      <c r="L21" s="1">
        <v>45859</v>
      </c>
      <c r="M21" t="s">
        <v>76</v>
      </c>
      <c r="N21" t="s">
        <v>3976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1">
        <v>45658</v>
      </c>
      <c r="D22" s="8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3587</v>
      </c>
      <c r="L22" s="1">
        <v>45891</v>
      </c>
      <c r="M22" t="s">
        <v>76</v>
      </c>
      <c r="N22" t="s">
        <v>3977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1">
        <v>45658</v>
      </c>
      <c r="D23" s="8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3591</v>
      </c>
      <c r="L23" s="1">
        <v>45677</v>
      </c>
      <c r="M23" t="s">
        <v>3588</v>
      </c>
      <c r="N23" t="s">
        <v>3589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1">
        <v>45658</v>
      </c>
      <c r="D24" s="8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3591</v>
      </c>
      <c r="L24" s="1">
        <v>45709</v>
      </c>
      <c r="M24" t="s">
        <v>76</v>
      </c>
      <c r="N24" t="s">
        <v>3590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1">
        <v>45658</v>
      </c>
      <c r="D25" s="8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3591</v>
      </c>
      <c r="L25" s="1">
        <v>45736</v>
      </c>
      <c r="M25" t="s">
        <v>3969</v>
      </c>
      <c r="N25" t="s">
        <v>3970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1">
        <v>45658</v>
      </c>
      <c r="D26" s="8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3591</v>
      </c>
      <c r="L26" s="1">
        <v>45767</v>
      </c>
      <c r="M26" t="s">
        <v>3971</v>
      </c>
      <c r="N26" t="s">
        <v>3972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1">
        <v>45658</v>
      </c>
      <c r="D27" s="8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3591</v>
      </c>
      <c r="L27" s="1">
        <v>45798</v>
      </c>
      <c r="M27" t="s">
        <v>3973</v>
      </c>
      <c r="N27" t="s">
        <v>3974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1">
        <v>45658</v>
      </c>
      <c r="D28" s="8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3591</v>
      </c>
      <c r="L28" s="1">
        <v>45832</v>
      </c>
      <c r="M28" t="s">
        <v>76</v>
      </c>
      <c r="N28" t="s">
        <v>3975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1">
        <v>45658</v>
      </c>
      <c r="D29" s="8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3591</v>
      </c>
      <c r="L29" s="1">
        <v>45859</v>
      </c>
      <c r="M29" t="s">
        <v>76</v>
      </c>
      <c r="N29" t="s">
        <v>3976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1">
        <v>45658</v>
      </c>
      <c r="D30" s="8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3591</v>
      </c>
      <c r="L30" s="1">
        <v>45891</v>
      </c>
      <c r="M30" t="s">
        <v>76</v>
      </c>
      <c r="N30" t="s">
        <v>3977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1">
        <v>45658</v>
      </c>
      <c r="D31" s="8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">
        <v>45713</v>
      </c>
      <c r="M31" t="s">
        <v>1445</v>
      </c>
      <c r="N31" t="s">
        <v>3592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1">
        <v>45658</v>
      </c>
      <c r="D32" s="8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">
        <v>45892</v>
      </c>
      <c r="M32" t="s">
        <v>3978</v>
      </c>
      <c r="N32" t="s">
        <v>3979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1">
        <v>45658</v>
      </c>
      <c r="D33" s="8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">
        <v>45716</v>
      </c>
      <c r="M33" t="s">
        <v>3593</v>
      </c>
      <c r="N33" t="s">
        <v>3594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1">
        <v>45658</v>
      </c>
      <c r="D34" s="8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">
        <v>45673</v>
      </c>
      <c r="M34" t="s">
        <v>3595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1">
        <v>45658</v>
      </c>
      <c r="D35" s="8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">
        <v>45667</v>
      </c>
      <c r="M35" t="s">
        <v>3596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1">
        <v>45658</v>
      </c>
      <c r="D36" s="8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">
        <v>45681</v>
      </c>
      <c r="M36" t="s">
        <v>3597</v>
      </c>
      <c r="N36" t="s">
        <v>3598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1">
        <v>45658</v>
      </c>
      <c r="D37" s="8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">
        <v>45688</v>
      </c>
      <c r="M37" t="s">
        <v>3599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1">
        <v>45658</v>
      </c>
      <c r="D38" s="8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">
        <v>45713</v>
      </c>
      <c r="M38" t="s">
        <v>3600</v>
      </c>
      <c r="N38" t="s">
        <v>3601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1">
        <v>45658</v>
      </c>
      <c r="D39" s="8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">
        <v>45716</v>
      </c>
      <c r="M39" t="s">
        <v>3602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1">
        <v>45658</v>
      </c>
      <c r="D40" s="8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">
        <v>45741</v>
      </c>
      <c r="M40" t="s">
        <v>3603</v>
      </c>
      <c r="N40" t="s">
        <v>3604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1">
        <v>45658</v>
      </c>
      <c r="D41" s="8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">
        <v>45747</v>
      </c>
      <c r="M41" t="s">
        <v>3980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1">
        <v>45658</v>
      </c>
      <c r="D42" s="8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">
        <v>45772</v>
      </c>
      <c r="M42" t="s">
        <v>3981</v>
      </c>
      <c r="N42" t="s">
        <v>3982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1">
        <v>45658</v>
      </c>
      <c r="D43" s="8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">
        <v>45777</v>
      </c>
      <c r="M43" t="s">
        <v>3983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1">
        <v>45658</v>
      </c>
      <c r="D44" s="8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">
        <v>45797</v>
      </c>
      <c r="M44" t="s">
        <v>3984</v>
      </c>
      <c r="N44" t="s">
        <v>3985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1">
        <v>45658</v>
      </c>
      <c r="D45" s="8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">
        <v>45808</v>
      </c>
      <c r="M45" t="s">
        <v>3986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1">
        <v>45658</v>
      </c>
      <c r="D46" s="8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">
        <v>45833</v>
      </c>
      <c r="M46" t="s">
        <v>3987</v>
      </c>
      <c r="N46" t="s">
        <v>3988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1">
        <v>45658</v>
      </c>
      <c r="D47" s="8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">
        <v>45838</v>
      </c>
      <c r="M47" t="s">
        <v>3989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1">
        <v>45658</v>
      </c>
      <c r="D48" s="8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">
        <v>45863</v>
      </c>
      <c r="M48" t="s">
        <v>3990</v>
      </c>
      <c r="N48" t="s">
        <v>3991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1">
        <v>45658</v>
      </c>
      <c r="D49" s="8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">
        <v>45869</v>
      </c>
      <c r="M49" t="s">
        <v>3992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1">
        <v>45658</v>
      </c>
      <c r="D50" s="8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">
        <v>45895</v>
      </c>
      <c r="M50" t="s">
        <v>3993</v>
      </c>
      <c r="N50" t="s">
        <v>3994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1">
        <v>45658</v>
      </c>
      <c r="D51" s="8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">
        <v>45900</v>
      </c>
      <c r="M51" t="s">
        <v>3995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1">
        <v>45658</v>
      </c>
      <c r="D52" s="8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">
        <v>45667</v>
      </c>
      <c r="M52" t="s">
        <v>3605</v>
      </c>
      <c r="N52" t="s">
        <v>3606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1">
        <v>45658</v>
      </c>
      <c r="D53" s="8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">
        <v>45681</v>
      </c>
      <c r="M53" t="s">
        <v>3607</v>
      </c>
      <c r="N53" t="s">
        <v>3598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1">
        <v>45658</v>
      </c>
      <c r="D54" s="8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">
        <v>45688</v>
      </c>
      <c r="M54" t="s">
        <v>3608</v>
      </c>
      <c r="N54" t="s">
        <v>3609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1">
        <v>45658</v>
      </c>
      <c r="D55" s="8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">
        <v>45713</v>
      </c>
      <c r="M55" t="s">
        <v>3610</v>
      </c>
      <c r="N55" t="s">
        <v>3601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1">
        <v>45658</v>
      </c>
      <c r="D56" s="8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">
        <v>45716</v>
      </c>
      <c r="M56" t="s">
        <v>3611</v>
      </c>
      <c r="N56" t="s">
        <v>3612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1">
        <v>45658</v>
      </c>
      <c r="D57" s="8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">
        <v>45741</v>
      </c>
      <c r="M57" t="s">
        <v>3613</v>
      </c>
      <c r="N57" t="s">
        <v>3604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1">
        <v>45658</v>
      </c>
      <c r="D58" s="8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">
        <v>45747</v>
      </c>
      <c r="M58" t="s">
        <v>3996</v>
      </c>
      <c r="N58" t="s">
        <v>3997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1">
        <v>45658</v>
      </c>
      <c r="D59" s="8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">
        <v>45772</v>
      </c>
      <c r="M59" t="s">
        <v>3998</v>
      </c>
      <c r="N59" t="s">
        <v>3982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1">
        <v>45658</v>
      </c>
      <c r="D60" s="8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">
        <v>45777</v>
      </c>
      <c r="M60" t="s">
        <v>3999</v>
      </c>
      <c r="N60" t="s">
        <v>4000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1">
        <v>45658</v>
      </c>
      <c r="D61" s="8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">
        <v>45797</v>
      </c>
      <c r="M61" t="s">
        <v>4001</v>
      </c>
      <c r="N61" t="s">
        <v>3985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1">
        <v>45658</v>
      </c>
      <c r="D62" s="8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">
        <v>45808</v>
      </c>
      <c r="M62" t="s">
        <v>4002</v>
      </c>
      <c r="N62" t="s">
        <v>4003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1">
        <v>45658</v>
      </c>
      <c r="D63" s="8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">
        <v>45833</v>
      </c>
      <c r="M63" t="s">
        <v>4004</v>
      </c>
      <c r="N63" t="s">
        <v>3988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1">
        <v>45658</v>
      </c>
      <c r="D64" s="8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">
        <v>45838</v>
      </c>
      <c r="M64" t="s">
        <v>4005</v>
      </c>
      <c r="N64" t="s">
        <v>4006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1">
        <v>45658</v>
      </c>
      <c r="D65" s="8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">
        <v>45863</v>
      </c>
      <c r="M65" t="s">
        <v>4007</v>
      </c>
      <c r="N65" t="s">
        <v>3991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1">
        <v>45658</v>
      </c>
      <c r="D66" s="8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">
        <v>45869</v>
      </c>
      <c r="M66" t="s">
        <v>4008</v>
      </c>
      <c r="N66" t="s">
        <v>4009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1">
        <v>45658</v>
      </c>
      <c r="D67" s="8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">
        <v>45895</v>
      </c>
      <c r="M67" t="s">
        <v>4010</v>
      </c>
      <c r="N67" t="s">
        <v>3994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1">
        <v>45658</v>
      </c>
      <c r="D68" s="8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">
        <v>45900</v>
      </c>
      <c r="M68" t="s">
        <v>4011</v>
      </c>
      <c r="N68" t="s">
        <v>4012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1">
        <v>45658</v>
      </c>
      <c r="D69" s="8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">
        <v>45681</v>
      </c>
      <c r="M69" t="s">
        <v>3614</v>
      </c>
      <c r="N69" t="s">
        <v>3598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1">
        <v>45658</v>
      </c>
      <c r="D70" s="8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">
        <v>45713</v>
      </c>
      <c r="M70" t="s">
        <v>3615</v>
      </c>
      <c r="N70" t="s">
        <v>3601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1">
        <v>45658</v>
      </c>
      <c r="D71" s="8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">
        <v>45741</v>
      </c>
      <c r="M71" t="s">
        <v>3616</v>
      </c>
      <c r="N71" t="s">
        <v>3604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1">
        <v>45658</v>
      </c>
      <c r="D72" s="8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">
        <v>45772</v>
      </c>
      <c r="M72" t="s">
        <v>4013</v>
      </c>
      <c r="N72" t="s">
        <v>3982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1">
        <v>45658</v>
      </c>
      <c r="D73" s="8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">
        <v>45797</v>
      </c>
      <c r="M73" t="s">
        <v>4014</v>
      </c>
      <c r="N73" t="s">
        <v>3985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1">
        <v>45658</v>
      </c>
      <c r="D74" s="8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">
        <v>45808</v>
      </c>
      <c r="M74" t="s">
        <v>4015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1">
        <v>45658</v>
      </c>
      <c r="D75" s="8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">
        <v>45833</v>
      </c>
      <c r="M75" t="s">
        <v>4016</v>
      </c>
      <c r="N75" t="s">
        <v>3988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1">
        <v>45658</v>
      </c>
      <c r="D76" s="8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">
        <v>45863</v>
      </c>
      <c r="M76" t="s">
        <v>4017</v>
      </c>
      <c r="N76" t="s">
        <v>3991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1">
        <v>45658</v>
      </c>
      <c r="D77" s="8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">
        <v>45869</v>
      </c>
      <c r="M77" t="s">
        <v>4018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1">
        <v>45658</v>
      </c>
      <c r="D78" s="8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">
        <v>45895</v>
      </c>
      <c r="M78" t="s">
        <v>4019</v>
      </c>
      <c r="N78" t="s">
        <v>3994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1">
        <v>45658</v>
      </c>
      <c r="D79" s="8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">
        <v>45900</v>
      </c>
      <c r="M79" t="s">
        <v>4020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1">
        <v>45658</v>
      </c>
      <c r="D80" s="8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">
        <v>45667</v>
      </c>
      <c r="M80" t="s">
        <v>3617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1">
        <v>45658</v>
      </c>
      <c r="D81" s="8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">
        <v>45681</v>
      </c>
      <c r="M81" t="s">
        <v>3619</v>
      </c>
      <c r="N81" t="s">
        <v>3598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1">
        <v>45658</v>
      </c>
      <c r="D82" s="8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">
        <v>45681</v>
      </c>
      <c r="M82" t="s">
        <v>3618</v>
      </c>
      <c r="N82" t="s">
        <v>3598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1">
        <v>45658</v>
      </c>
      <c r="D83" s="8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">
        <v>45688</v>
      </c>
      <c r="M83" t="s">
        <v>3620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1">
        <v>45658</v>
      </c>
      <c r="D84" s="8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">
        <v>45713</v>
      </c>
      <c r="M84" t="s">
        <v>3621</v>
      </c>
      <c r="N84" t="s">
        <v>3601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1">
        <v>45658</v>
      </c>
      <c r="D85" s="8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">
        <v>45713</v>
      </c>
      <c r="M85" t="s">
        <v>3622</v>
      </c>
      <c r="N85" t="s">
        <v>3601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1">
        <v>45658</v>
      </c>
      <c r="D86" s="8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">
        <v>45716</v>
      </c>
      <c r="M86" t="s">
        <v>3623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1">
        <v>45658</v>
      </c>
      <c r="D87" s="8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">
        <v>45741</v>
      </c>
      <c r="M87" t="s">
        <v>3624</v>
      </c>
      <c r="N87" t="s">
        <v>3604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1">
        <v>45658</v>
      </c>
      <c r="D88" s="8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">
        <v>45741</v>
      </c>
      <c r="M88" t="s">
        <v>3625</v>
      </c>
      <c r="N88" t="s">
        <v>3604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1">
        <v>45658</v>
      </c>
      <c r="D89" s="8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">
        <v>45747</v>
      </c>
      <c r="M89" t="s">
        <v>4021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1">
        <v>45658</v>
      </c>
      <c r="D90" s="8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">
        <v>45772</v>
      </c>
      <c r="M90" t="s">
        <v>4022</v>
      </c>
      <c r="N90" t="s">
        <v>3982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1">
        <v>45658</v>
      </c>
      <c r="D91" s="8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">
        <v>45772</v>
      </c>
      <c r="M91" t="s">
        <v>4023</v>
      </c>
      <c r="N91" t="s">
        <v>3982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1">
        <v>45658</v>
      </c>
      <c r="D92" s="8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">
        <v>45797</v>
      </c>
      <c r="M92" t="s">
        <v>4024</v>
      </c>
      <c r="N92" t="s">
        <v>3985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1">
        <v>45658</v>
      </c>
      <c r="D93" s="8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">
        <v>45797</v>
      </c>
      <c r="M93" t="s">
        <v>4025</v>
      </c>
      <c r="N93" t="s">
        <v>3985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1">
        <v>45658</v>
      </c>
      <c r="D94" s="8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">
        <v>45808</v>
      </c>
      <c r="M94" t="s">
        <v>4026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1">
        <v>45658</v>
      </c>
      <c r="D95" s="8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">
        <v>45833</v>
      </c>
      <c r="M95" t="s">
        <v>4027</v>
      </c>
      <c r="N95" t="s">
        <v>3988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1">
        <v>45658</v>
      </c>
      <c r="D96" s="8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">
        <v>45833</v>
      </c>
      <c r="M96" t="s">
        <v>4028</v>
      </c>
      <c r="N96" t="s">
        <v>3988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1">
        <v>45658</v>
      </c>
      <c r="D97" s="8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">
        <v>45863</v>
      </c>
      <c r="M97" t="s">
        <v>4029</v>
      </c>
      <c r="N97" t="s">
        <v>3991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1">
        <v>45658</v>
      </c>
      <c r="D98" s="8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">
        <v>45863</v>
      </c>
      <c r="M98" t="s">
        <v>4030</v>
      </c>
      <c r="N98" t="s">
        <v>3991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1">
        <v>45658</v>
      </c>
      <c r="D99" s="8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">
        <v>45869</v>
      </c>
      <c r="M99" t="s">
        <v>4031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1">
        <v>45658</v>
      </c>
      <c r="D100" s="8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">
        <v>45895</v>
      </c>
      <c r="M100" t="s">
        <v>4032</v>
      </c>
      <c r="N100" t="s">
        <v>3994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1">
        <v>45658</v>
      </c>
      <c r="D101" s="8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">
        <v>45895</v>
      </c>
      <c r="M101" t="s">
        <v>4033</v>
      </c>
      <c r="N101" t="s">
        <v>3994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1">
        <v>45658</v>
      </c>
      <c r="D102" s="8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">
        <v>45900</v>
      </c>
      <c r="M102" t="s">
        <v>4034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1">
        <v>45658</v>
      </c>
      <c r="D103" s="8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1">
        <v>45658</v>
      </c>
      <c r="D104" s="8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">
        <v>45737</v>
      </c>
      <c r="M104" t="s">
        <v>1589</v>
      </c>
      <c r="N104" t="s">
        <v>4035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1">
        <v>45658</v>
      </c>
      <c r="D105" s="8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1">
        <v>45658</v>
      </c>
      <c r="D106" s="8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">
        <v>45860</v>
      </c>
      <c r="M106" t="s">
        <v>1589</v>
      </c>
      <c r="N106" t="s">
        <v>4036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1">
        <v>45658</v>
      </c>
      <c r="D107" s="8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">
        <v>45729</v>
      </c>
      <c r="M107" t="s">
        <v>3452</v>
      </c>
      <c r="N107" t="s">
        <v>3626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1">
        <v>45658</v>
      </c>
      <c r="D108" s="8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">
        <v>45729</v>
      </c>
      <c r="M108" t="s">
        <v>3452</v>
      </c>
      <c r="N108" t="s">
        <v>3627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1">
        <v>45658</v>
      </c>
      <c r="D109" s="8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">
        <v>45740</v>
      </c>
      <c r="M109" t="s">
        <v>3452</v>
      </c>
      <c r="N109" t="s">
        <v>4037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1">
        <v>45658</v>
      </c>
      <c r="D110" s="8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">
        <v>45740</v>
      </c>
      <c r="M110" t="s">
        <v>3452</v>
      </c>
      <c r="N110" t="s">
        <v>4038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1">
        <v>45658</v>
      </c>
      <c r="D111" s="8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">
        <v>45741</v>
      </c>
      <c r="M111" t="s">
        <v>3452</v>
      </c>
      <c r="N111" t="s">
        <v>4039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1">
        <v>45658</v>
      </c>
      <c r="D112" s="8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">
        <v>45742</v>
      </c>
      <c r="M112" t="s">
        <v>3452</v>
      </c>
      <c r="N112" t="s">
        <v>4040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1">
        <v>45658</v>
      </c>
      <c r="D113" s="8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">
        <v>45770</v>
      </c>
      <c r="M113" t="s">
        <v>3452</v>
      </c>
      <c r="N113" t="s">
        <v>4041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1">
        <v>45658</v>
      </c>
      <c r="D114" s="8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">
        <v>45818</v>
      </c>
      <c r="M114" t="s">
        <v>3452</v>
      </c>
      <c r="N114" t="s">
        <v>4042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1">
        <v>45658</v>
      </c>
      <c r="D115" s="8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">
        <v>45821</v>
      </c>
      <c r="M115" t="s">
        <v>4043</v>
      </c>
      <c r="N115" t="s">
        <v>4044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1">
        <v>45658</v>
      </c>
      <c r="D116" s="8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">
        <v>45846</v>
      </c>
      <c r="M116" t="s">
        <v>4045</v>
      </c>
      <c r="N116" t="s">
        <v>4046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1">
        <v>45658</v>
      </c>
      <c r="D117" s="8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">
        <v>45847</v>
      </c>
      <c r="M117" t="s">
        <v>4045</v>
      </c>
      <c r="N117" t="s">
        <v>4047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1">
        <v>45658</v>
      </c>
      <c r="D118" s="8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">
        <v>45854</v>
      </c>
      <c r="M118" t="s">
        <v>3452</v>
      </c>
      <c r="N118" t="s">
        <v>4048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1">
        <v>45658</v>
      </c>
      <c r="D119" s="8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">
        <v>45862</v>
      </c>
      <c r="M119" t="s">
        <v>3452</v>
      </c>
      <c r="N119" t="s">
        <v>4049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1">
        <v>45658</v>
      </c>
      <c r="D120" s="8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">
        <v>45877</v>
      </c>
      <c r="M120" t="s">
        <v>3452</v>
      </c>
      <c r="N120" t="s">
        <v>4050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1">
        <v>45658</v>
      </c>
      <c r="D121" s="8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">
        <v>45750</v>
      </c>
      <c r="M121" t="s">
        <v>4051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1">
        <v>45658</v>
      </c>
      <c r="D122" s="8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1">
        <v>45658</v>
      </c>
      <c r="D123" s="8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">
        <v>45734</v>
      </c>
      <c r="M123" t="s">
        <v>4052</v>
      </c>
      <c r="N123" t="s">
        <v>4053</v>
      </c>
      <c r="O123">
        <v>175.96</v>
      </c>
      <c r="P123" t="s">
        <v>4054</v>
      </c>
    </row>
    <row r="124" spans="1:16" ht="15" customHeight="1" x14ac:dyDescent="0.4">
      <c r="A124" t="s">
        <v>15</v>
      </c>
      <c r="B124" t="s">
        <v>16</v>
      </c>
      <c r="C124" s="11">
        <v>45658</v>
      </c>
      <c r="D124" s="8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3628</v>
      </c>
      <c r="L124" s="1">
        <v>45747</v>
      </c>
      <c r="M124" t="s">
        <v>3458</v>
      </c>
      <c r="N124" t="s">
        <v>3629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1">
        <v>45658</v>
      </c>
      <c r="D125" s="8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3628</v>
      </c>
      <c r="L125" s="1">
        <v>45777</v>
      </c>
      <c r="M125" t="s">
        <v>3460</v>
      </c>
      <c r="N125" t="s">
        <v>4055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1">
        <v>45658</v>
      </c>
      <c r="D126" s="8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3628</v>
      </c>
      <c r="L126" s="1">
        <v>45808</v>
      </c>
      <c r="M126" t="s">
        <v>3462</v>
      </c>
      <c r="N126" t="s">
        <v>4056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1">
        <v>45658</v>
      </c>
      <c r="D127" s="8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3628</v>
      </c>
      <c r="L127" s="1">
        <v>45838</v>
      </c>
      <c r="M127" t="s">
        <v>3464</v>
      </c>
      <c r="N127" t="s">
        <v>4057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1">
        <v>45658</v>
      </c>
      <c r="D128" s="8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3628</v>
      </c>
      <c r="L128" s="1">
        <v>45863</v>
      </c>
      <c r="M128" t="s">
        <v>3861</v>
      </c>
      <c r="N128" t="s">
        <v>4058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1">
        <v>45658</v>
      </c>
      <c r="D129" s="8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3628</v>
      </c>
      <c r="L129" s="1">
        <v>45890</v>
      </c>
      <c r="M129" t="s">
        <v>3155</v>
      </c>
      <c r="N129" t="s">
        <v>4059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1">
        <v>45658</v>
      </c>
      <c r="D130" s="8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3628</v>
      </c>
      <c r="L130" s="1">
        <v>45922</v>
      </c>
      <c r="M130" t="s">
        <v>3157</v>
      </c>
      <c r="N130" t="s">
        <v>4060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1">
        <v>45658</v>
      </c>
      <c r="D131" s="8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">
        <v>45686</v>
      </c>
      <c r="M131" t="s">
        <v>3630</v>
      </c>
      <c r="N131" t="s">
        <v>3631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1">
        <v>45658</v>
      </c>
      <c r="D132" s="8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">
        <v>45736</v>
      </c>
      <c r="M132" t="s">
        <v>3632</v>
      </c>
      <c r="N132" t="s">
        <v>3633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1">
        <v>45658</v>
      </c>
      <c r="D133" s="8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">
        <v>45747</v>
      </c>
      <c r="M133" t="s">
        <v>3634</v>
      </c>
      <c r="N133" t="s">
        <v>3635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1">
        <v>45658</v>
      </c>
      <c r="D134" s="8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">
        <v>45747</v>
      </c>
      <c r="M134" t="s">
        <v>3636</v>
      </c>
      <c r="N134" t="s">
        <v>3637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1">
        <v>45658</v>
      </c>
      <c r="D135" s="8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">
        <v>45762</v>
      </c>
      <c r="M135" t="s">
        <v>4061</v>
      </c>
      <c r="N135" t="s">
        <v>4062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1">
        <v>45658</v>
      </c>
      <c r="D136" s="8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">
        <v>45832</v>
      </c>
      <c r="M136" t="s">
        <v>4063</v>
      </c>
      <c r="N136" t="s">
        <v>4064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1">
        <v>45658</v>
      </c>
      <c r="D137" s="8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">
        <v>45833</v>
      </c>
      <c r="M137" t="s">
        <v>4065</v>
      </c>
      <c r="N137" t="s">
        <v>4066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1">
        <v>45658</v>
      </c>
      <c r="D138" s="8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">
        <v>45845</v>
      </c>
      <c r="M138" t="s">
        <v>4067</v>
      </c>
      <c r="N138" t="s">
        <v>4068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1">
        <v>45658</v>
      </c>
      <c r="D139" s="8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">
        <v>45866</v>
      </c>
      <c r="M139" t="s">
        <v>4069</v>
      </c>
      <c r="N139" t="s">
        <v>4070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1">
        <v>45658</v>
      </c>
      <c r="D140" s="8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">
        <v>45883</v>
      </c>
      <c r="M140" t="s">
        <v>4071</v>
      </c>
      <c r="N140" t="s">
        <v>4072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1">
        <v>45658</v>
      </c>
      <c r="D141" s="8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">
        <v>45887</v>
      </c>
      <c r="M141" t="s">
        <v>4073</v>
      </c>
      <c r="N141" t="s">
        <v>4074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1">
        <v>45658</v>
      </c>
      <c r="D142" s="8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">
        <v>45719</v>
      </c>
      <c r="M142" t="s">
        <v>3638</v>
      </c>
      <c r="N142" t="s">
        <v>3639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1">
        <v>45658</v>
      </c>
      <c r="D143" s="8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">
        <v>45658</v>
      </c>
      <c r="M143" t="s">
        <v>4075</v>
      </c>
      <c r="N143" t="s">
        <v>4076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1">
        <v>45658</v>
      </c>
      <c r="D144" s="8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">
        <v>45658</v>
      </c>
      <c r="M144" t="s">
        <v>4077</v>
      </c>
      <c r="N144" t="s">
        <v>4078</v>
      </c>
      <c r="O144">
        <v>-8021.96</v>
      </c>
      <c r="P144" t="s">
        <v>3642</v>
      </c>
    </row>
    <row r="145" spans="1:16" ht="15" customHeight="1" x14ac:dyDescent="0.4">
      <c r="A145" t="s">
        <v>15</v>
      </c>
      <c r="B145" t="s">
        <v>16</v>
      </c>
      <c r="C145" s="11">
        <v>45658</v>
      </c>
      <c r="D145" s="8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">
        <v>45728</v>
      </c>
      <c r="M145" t="s">
        <v>3640</v>
      </c>
      <c r="N145" t="s">
        <v>3641</v>
      </c>
      <c r="O145">
        <v>8021.96</v>
      </c>
      <c r="P145" t="s">
        <v>3642</v>
      </c>
    </row>
    <row r="146" spans="1:16" ht="15" customHeight="1" x14ac:dyDescent="0.4">
      <c r="A146" t="s">
        <v>15</v>
      </c>
      <c r="B146" t="s">
        <v>16</v>
      </c>
      <c r="C146" s="11">
        <v>45658</v>
      </c>
      <c r="D146" s="8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4079</v>
      </c>
      <c r="L146" s="1">
        <v>45792</v>
      </c>
      <c r="M146" t="s">
        <v>1344</v>
      </c>
      <c r="N146" t="s">
        <v>4080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1">
        <v>45658</v>
      </c>
      <c r="D147" s="8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">
        <v>45874</v>
      </c>
      <c r="M147" t="s">
        <v>4081</v>
      </c>
      <c r="N147" t="s">
        <v>4082</v>
      </c>
      <c r="O147">
        <v>588</v>
      </c>
      <c r="P147" t="s">
        <v>3952</v>
      </c>
    </row>
    <row r="148" spans="1:16" ht="15" customHeight="1" x14ac:dyDescent="0.4">
      <c r="A148" t="s">
        <v>15</v>
      </c>
      <c r="B148" t="s">
        <v>16</v>
      </c>
      <c r="C148" s="11">
        <v>45658</v>
      </c>
      <c r="D148" s="8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4083</v>
      </c>
      <c r="L148" s="1">
        <v>45775</v>
      </c>
      <c r="M148" t="s">
        <v>4084</v>
      </c>
      <c r="N148" t="s">
        <v>4085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1">
        <v>45658</v>
      </c>
      <c r="D149" s="8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4086</v>
      </c>
      <c r="L149" s="1">
        <v>45776</v>
      </c>
      <c r="M149" t="s">
        <v>366</v>
      </c>
      <c r="N149" t="s">
        <v>4087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1">
        <v>45658</v>
      </c>
      <c r="D150" s="8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">
        <v>45776</v>
      </c>
      <c r="M150" t="s">
        <v>4088</v>
      </c>
      <c r="N150" t="s">
        <v>4089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1">
        <v>45658</v>
      </c>
      <c r="D151" s="8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">
        <v>45658</v>
      </c>
      <c r="M151" t="s">
        <v>4090</v>
      </c>
      <c r="N151" t="s">
        <v>4091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1">
        <v>45658</v>
      </c>
      <c r="D152" s="8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">
        <v>45658</v>
      </c>
      <c r="M152" t="s">
        <v>4090</v>
      </c>
      <c r="N152" t="s">
        <v>4092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1">
        <v>45658</v>
      </c>
      <c r="D153" s="8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">
        <v>45667</v>
      </c>
      <c r="M153" t="s">
        <v>3643</v>
      </c>
      <c r="N153" t="s">
        <v>3644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1">
        <v>45658</v>
      </c>
      <c r="D154" s="8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">
        <v>45726</v>
      </c>
      <c r="M154" t="s">
        <v>3645</v>
      </c>
      <c r="N154" t="s">
        <v>3646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1">
        <v>45658</v>
      </c>
      <c r="D155" s="8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">
        <v>45748</v>
      </c>
      <c r="M155" t="s">
        <v>4093</v>
      </c>
      <c r="N155" t="s">
        <v>4094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1">
        <v>45658</v>
      </c>
      <c r="D156" s="8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">
        <v>45748</v>
      </c>
      <c r="M156" t="s">
        <v>4093</v>
      </c>
      <c r="N156" t="s">
        <v>4095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1">
        <v>45658</v>
      </c>
      <c r="D157" s="8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">
        <v>45824</v>
      </c>
      <c r="M157" t="s">
        <v>4096</v>
      </c>
      <c r="N157" t="s">
        <v>4097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1">
        <v>45658</v>
      </c>
      <c r="D158" s="8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">
        <v>45839</v>
      </c>
      <c r="M158" t="s">
        <v>4098</v>
      </c>
      <c r="N158" t="s">
        <v>4099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1">
        <v>45658</v>
      </c>
      <c r="D159" s="8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">
        <v>45839</v>
      </c>
      <c r="M159" t="s">
        <v>4098</v>
      </c>
      <c r="N159" t="s">
        <v>4100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1">
        <v>45658</v>
      </c>
      <c r="D160" s="8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">
        <v>45931</v>
      </c>
      <c r="M160" t="s">
        <v>4101</v>
      </c>
      <c r="N160" t="s">
        <v>4102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1">
        <v>45658</v>
      </c>
      <c r="D161" s="8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">
        <v>45803</v>
      </c>
      <c r="M161" t="s">
        <v>4103</v>
      </c>
      <c r="N161" t="s">
        <v>4104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1">
        <v>45658</v>
      </c>
      <c r="D162" s="8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">
        <v>45888</v>
      </c>
      <c r="M162" t="s">
        <v>4105</v>
      </c>
      <c r="N162" t="s">
        <v>4106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1">
        <v>45658</v>
      </c>
      <c r="D163" s="8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3647</v>
      </c>
      <c r="L163" s="1">
        <v>45658</v>
      </c>
      <c r="M163" t="s">
        <v>3648</v>
      </c>
      <c r="N163" t="s">
        <v>3649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1">
        <v>45658</v>
      </c>
      <c r="D164" s="8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3647</v>
      </c>
      <c r="L164" s="1">
        <v>45733</v>
      </c>
      <c r="M164" t="s">
        <v>3650</v>
      </c>
      <c r="N164" t="s">
        <v>3651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1">
        <v>45658</v>
      </c>
      <c r="D165" s="8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">
        <v>45671</v>
      </c>
      <c r="M165" t="s">
        <v>3652</v>
      </c>
      <c r="N165" t="s">
        <v>3653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1">
        <v>45658</v>
      </c>
      <c r="D166" s="8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">
        <v>45699</v>
      </c>
      <c r="M166" t="s">
        <v>3654</v>
      </c>
      <c r="N166" t="s">
        <v>3655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1">
        <v>45658</v>
      </c>
      <c r="D167" s="8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">
        <v>45742</v>
      </c>
      <c r="M167" t="s">
        <v>3656</v>
      </c>
      <c r="N167" t="s">
        <v>3657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1">
        <v>45658</v>
      </c>
      <c r="D168" s="8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">
        <v>45744</v>
      </c>
      <c r="M168" t="s">
        <v>4107</v>
      </c>
      <c r="N168" t="s">
        <v>3814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1">
        <v>45658</v>
      </c>
      <c r="D169" s="8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">
        <v>45775</v>
      </c>
      <c r="M169" t="s">
        <v>4108</v>
      </c>
      <c r="N169" t="s">
        <v>4109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1">
        <v>45658</v>
      </c>
      <c r="D170" s="8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">
        <v>45797</v>
      </c>
      <c r="M170" t="s">
        <v>4110</v>
      </c>
      <c r="N170" t="s">
        <v>4111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1">
        <v>45658</v>
      </c>
      <c r="D171" s="8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">
        <v>45819</v>
      </c>
      <c r="M171" t="s">
        <v>4110</v>
      </c>
      <c r="N171" t="s">
        <v>4112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1">
        <v>45658</v>
      </c>
      <c r="D172" s="8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">
        <v>45845</v>
      </c>
      <c r="M172" t="s">
        <v>4113</v>
      </c>
      <c r="N172" t="s">
        <v>4114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1">
        <v>45658</v>
      </c>
      <c r="D173" s="8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">
        <v>45849</v>
      </c>
      <c r="M173" t="s">
        <v>4115</v>
      </c>
      <c r="N173" t="s">
        <v>4116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1">
        <v>45658</v>
      </c>
      <c r="D174" s="8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">
        <v>45900</v>
      </c>
      <c r="M174" t="s">
        <v>4117</v>
      </c>
      <c r="N174" t="s">
        <v>4118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1">
        <v>45658</v>
      </c>
      <c r="D175" s="8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">
        <v>45900</v>
      </c>
      <c r="M175" t="s">
        <v>4119</v>
      </c>
      <c r="N175" t="s">
        <v>4120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1">
        <v>45658</v>
      </c>
      <c r="D176" s="8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4121</v>
      </c>
      <c r="L176" s="1">
        <v>45785</v>
      </c>
      <c r="M176" t="s">
        <v>4122</v>
      </c>
      <c r="N176" t="s">
        <v>4123</v>
      </c>
      <c r="O176">
        <v>1200</v>
      </c>
      <c r="P176" t="s">
        <v>4124</v>
      </c>
    </row>
    <row r="177" spans="1:16" ht="15" customHeight="1" x14ac:dyDescent="0.4">
      <c r="A177" t="s">
        <v>15</v>
      </c>
      <c r="B177" t="s">
        <v>16</v>
      </c>
      <c r="C177" s="11">
        <v>45658</v>
      </c>
      <c r="D177" s="8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4125</v>
      </c>
      <c r="L177" s="1">
        <v>45776</v>
      </c>
      <c r="M177" t="s">
        <v>4126</v>
      </c>
      <c r="N177" t="s">
        <v>4127</v>
      </c>
      <c r="O177">
        <v>4140</v>
      </c>
      <c r="P177" t="s">
        <v>3793</v>
      </c>
    </row>
    <row r="178" spans="1:16" ht="15" customHeight="1" x14ac:dyDescent="0.4">
      <c r="A178" t="s">
        <v>15</v>
      </c>
      <c r="B178" t="s">
        <v>16</v>
      </c>
      <c r="C178" s="11">
        <v>45658</v>
      </c>
      <c r="D178" s="8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4125</v>
      </c>
      <c r="L178" s="1">
        <v>45835</v>
      </c>
      <c r="M178" t="s">
        <v>4128</v>
      </c>
      <c r="N178" t="s">
        <v>4129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1">
        <v>45658</v>
      </c>
      <c r="D179" s="8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4130</v>
      </c>
      <c r="L179" s="1">
        <v>45838</v>
      </c>
      <c r="M179" t="s">
        <v>4131</v>
      </c>
      <c r="N179" t="s">
        <v>4132</v>
      </c>
      <c r="O179">
        <v>41.42</v>
      </c>
      <c r="P179" t="s">
        <v>4124</v>
      </c>
    </row>
    <row r="180" spans="1:16" ht="15" customHeight="1" x14ac:dyDescent="0.4">
      <c r="A180" t="s">
        <v>15</v>
      </c>
      <c r="B180" t="s">
        <v>16</v>
      </c>
      <c r="C180" s="11">
        <v>45658</v>
      </c>
      <c r="D180" s="8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4130</v>
      </c>
      <c r="L180" s="1">
        <v>45839</v>
      </c>
      <c r="M180" t="s">
        <v>4133</v>
      </c>
      <c r="N180" t="s">
        <v>4134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1">
        <v>45658</v>
      </c>
      <c r="D181" s="8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4130</v>
      </c>
      <c r="L181" s="1">
        <v>45866</v>
      </c>
      <c r="M181" t="s">
        <v>452</v>
      </c>
      <c r="N181" t="s">
        <v>4135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1">
        <v>45658</v>
      </c>
      <c r="D182" s="8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4130</v>
      </c>
      <c r="L182" s="1">
        <v>45869</v>
      </c>
      <c r="M182" t="s">
        <v>4136</v>
      </c>
      <c r="N182" t="s">
        <v>4137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1">
        <v>45658</v>
      </c>
      <c r="D183" s="8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4130</v>
      </c>
      <c r="L183" s="1">
        <v>45873</v>
      </c>
      <c r="M183" t="s">
        <v>452</v>
      </c>
      <c r="N183" t="s">
        <v>4135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1">
        <v>45658</v>
      </c>
      <c r="D184" s="8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4130</v>
      </c>
      <c r="L184" s="1">
        <v>45880</v>
      </c>
      <c r="M184" t="s">
        <v>452</v>
      </c>
      <c r="N184" t="s">
        <v>4138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1">
        <v>45658</v>
      </c>
      <c r="D185" s="8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">
        <v>45896</v>
      </c>
      <c r="M185" t="s">
        <v>4139</v>
      </c>
      <c r="N185" t="s">
        <v>4140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1">
        <v>45658</v>
      </c>
      <c r="D186" s="8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">
        <v>45658</v>
      </c>
      <c r="M186" t="s">
        <v>4141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1">
        <v>45658</v>
      </c>
      <c r="D187" s="8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3658</v>
      </c>
      <c r="L187" s="1">
        <v>45680</v>
      </c>
      <c r="M187" t="s">
        <v>3659</v>
      </c>
      <c r="N187" t="s">
        <v>3660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1">
        <v>45658</v>
      </c>
      <c r="D188" s="8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3658</v>
      </c>
      <c r="L188" s="1">
        <v>45713</v>
      </c>
      <c r="M188" t="s">
        <v>76</v>
      </c>
      <c r="N188" t="s">
        <v>3661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1">
        <v>45658</v>
      </c>
      <c r="D189" s="8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3658</v>
      </c>
      <c r="L189" s="1">
        <v>45742</v>
      </c>
      <c r="M189" t="s">
        <v>4142</v>
      </c>
      <c r="N189" t="s">
        <v>4143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1">
        <v>45658</v>
      </c>
      <c r="D190" s="8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3658</v>
      </c>
      <c r="L190" s="1">
        <v>45769</v>
      </c>
      <c r="M190" t="s">
        <v>4144</v>
      </c>
      <c r="N190" t="s">
        <v>4145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1">
        <v>45658</v>
      </c>
      <c r="D191" s="8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3658</v>
      </c>
      <c r="L191" s="1">
        <v>45800</v>
      </c>
      <c r="M191" t="s">
        <v>4146</v>
      </c>
      <c r="N191" t="s">
        <v>4147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1">
        <v>45658</v>
      </c>
      <c r="D192" s="8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3658</v>
      </c>
      <c r="L192" s="1">
        <v>45832</v>
      </c>
      <c r="M192" t="s">
        <v>76</v>
      </c>
      <c r="N192" t="s">
        <v>4148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1">
        <v>45658</v>
      </c>
      <c r="D193" s="8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3658</v>
      </c>
      <c r="L193" s="1">
        <v>45861</v>
      </c>
      <c r="M193" t="s">
        <v>76</v>
      </c>
      <c r="N193" t="s">
        <v>4149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1">
        <v>45658</v>
      </c>
      <c r="D194" s="8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3658</v>
      </c>
      <c r="L194" s="1">
        <v>45891</v>
      </c>
      <c r="M194" t="s">
        <v>76</v>
      </c>
      <c r="N194" t="s">
        <v>4150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1">
        <v>45658</v>
      </c>
      <c r="D195" s="8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">
        <v>45658</v>
      </c>
      <c r="M195" t="s">
        <v>3662</v>
      </c>
      <c r="N195" t="s">
        <v>3663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1">
        <v>45658</v>
      </c>
      <c r="D196" s="8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">
        <v>45707</v>
      </c>
      <c r="M196" t="s">
        <v>3664</v>
      </c>
      <c r="N196" t="s">
        <v>3665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1">
        <v>45658</v>
      </c>
      <c r="D197" s="8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">
        <v>45658</v>
      </c>
      <c r="M197" t="s">
        <v>3666</v>
      </c>
      <c r="N197" t="s">
        <v>3667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1">
        <v>45658</v>
      </c>
      <c r="D198" s="8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">
        <v>45660</v>
      </c>
      <c r="M198" t="s">
        <v>3668</v>
      </c>
      <c r="N198" t="s">
        <v>3669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1">
        <v>45658</v>
      </c>
      <c r="D199" s="8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">
        <v>45691</v>
      </c>
      <c r="M199" t="s">
        <v>3452</v>
      </c>
      <c r="N199" t="s">
        <v>3670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1">
        <v>45658</v>
      </c>
      <c r="D200" s="8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">
        <v>45908</v>
      </c>
      <c r="M200" t="s">
        <v>4151</v>
      </c>
      <c r="N200" t="s">
        <v>4152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1">
        <v>45658</v>
      </c>
      <c r="D201" s="8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">
        <v>45688</v>
      </c>
      <c r="M201" t="s">
        <v>3454</v>
      </c>
      <c r="N201" t="s">
        <v>3671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1">
        <v>45658</v>
      </c>
      <c r="D202" s="8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">
        <v>45716</v>
      </c>
      <c r="M202" t="s">
        <v>3456</v>
      </c>
      <c r="N202" t="s">
        <v>3672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1">
        <v>45658</v>
      </c>
      <c r="D203" s="8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">
        <v>45791</v>
      </c>
      <c r="M203" t="s">
        <v>4153</v>
      </c>
      <c r="N203" t="s">
        <v>4154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1">
        <v>45658</v>
      </c>
      <c r="D204" s="8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">
        <v>45809</v>
      </c>
      <c r="M204" t="s">
        <v>4155</v>
      </c>
      <c r="N204" t="s">
        <v>4156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1">
        <v>45658</v>
      </c>
      <c r="D205" s="8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3673</v>
      </c>
      <c r="L205" s="1">
        <v>45677</v>
      </c>
      <c r="M205" t="s">
        <v>3588</v>
      </c>
      <c r="N205" t="s">
        <v>3589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1">
        <v>45658</v>
      </c>
      <c r="D206" s="8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3673</v>
      </c>
      <c r="L206" s="1">
        <v>45709</v>
      </c>
      <c r="M206" t="s">
        <v>76</v>
      </c>
      <c r="N206" t="s">
        <v>3590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1">
        <v>45658</v>
      </c>
      <c r="D207" s="8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3673</v>
      </c>
      <c r="L207" s="1">
        <v>45736</v>
      </c>
      <c r="M207" t="s">
        <v>3969</v>
      </c>
      <c r="N207" t="s">
        <v>3970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1">
        <v>45658</v>
      </c>
      <c r="D208" s="8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3673</v>
      </c>
      <c r="L208" s="1">
        <v>45767</v>
      </c>
      <c r="M208" t="s">
        <v>3971</v>
      </c>
      <c r="N208" t="s">
        <v>3972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1">
        <v>45658</v>
      </c>
      <c r="D209" s="8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3673</v>
      </c>
      <c r="L209" s="1">
        <v>45798</v>
      </c>
      <c r="M209" t="s">
        <v>3973</v>
      </c>
      <c r="N209" t="s">
        <v>3974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1">
        <v>45658</v>
      </c>
      <c r="D210" s="8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3673</v>
      </c>
      <c r="L210" s="1">
        <v>45832</v>
      </c>
      <c r="M210" t="s">
        <v>76</v>
      </c>
      <c r="N210" t="s">
        <v>3975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1">
        <v>45658</v>
      </c>
      <c r="D211" s="8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3673</v>
      </c>
      <c r="L211" s="1">
        <v>45859</v>
      </c>
      <c r="M211" t="s">
        <v>76</v>
      </c>
      <c r="N211" t="s">
        <v>3976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1">
        <v>45658</v>
      </c>
      <c r="D212" s="8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3673</v>
      </c>
      <c r="L212" s="1">
        <v>45891</v>
      </c>
      <c r="M212" t="s">
        <v>76</v>
      </c>
      <c r="N212" t="s">
        <v>3977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1">
        <v>45658</v>
      </c>
      <c r="D213" s="8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">
        <v>45684</v>
      </c>
      <c r="M213" t="s">
        <v>3674</v>
      </c>
      <c r="N213" t="s">
        <v>3675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1">
        <v>45658</v>
      </c>
      <c r="D214" s="8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">
        <v>45797</v>
      </c>
      <c r="M214" t="s">
        <v>4128</v>
      </c>
      <c r="N214" t="s">
        <v>4157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1">
        <v>45658</v>
      </c>
      <c r="D215" s="8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3676</v>
      </c>
      <c r="L215" s="1">
        <v>45677</v>
      </c>
      <c r="M215" t="s">
        <v>3588</v>
      </c>
      <c r="N215" t="s">
        <v>3589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1">
        <v>45658</v>
      </c>
      <c r="D216" s="8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3676</v>
      </c>
      <c r="L216" s="1">
        <v>45709</v>
      </c>
      <c r="M216" t="s">
        <v>76</v>
      </c>
      <c r="N216" t="s">
        <v>3590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1">
        <v>45658</v>
      </c>
      <c r="D217" s="8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3676</v>
      </c>
      <c r="L217" s="1">
        <v>45736</v>
      </c>
      <c r="M217" t="s">
        <v>3969</v>
      </c>
      <c r="N217" t="s">
        <v>3970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1">
        <v>45658</v>
      </c>
      <c r="D218" s="8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3676</v>
      </c>
      <c r="L218" s="1">
        <v>45767</v>
      </c>
      <c r="M218" t="s">
        <v>3971</v>
      </c>
      <c r="N218" t="s">
        <v>3972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1">
        <v>45658</v>
      </c>
      <c r="D219" s="8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3676</v>
      </c>
      <c r="L219" s="1">
        <v>45798</v>
      </c>
      <c r="M219" t="s">
        <v>3973</v>
      </c>
      <c r="N219" t="s">
        <v>3974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1">
        <v>45658</v>
      </c>
      <c r="D220" s="8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3676</v>
      </c>
      <c r="L220" s="1">
        <v>45832</v>
      </c>
      <c r="M220" t="s">
        <v>76</v>
      </c>
      <c r="N220" t="s">
        <v>3975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1">
        <v>45658</v>
      </c>
      <c r="D221" s="8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3676</v>
      </c>
      <c r="L221" s="1">
        <v>45859</v>
      </c>
      <c r="M221" t="s">
        <v>76</v>
      </c>
      <c r="N221" t="s">
        <v>3976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1">
        <v>45658</v>
      </c>
      <c r="D222" s="8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3676</v>
      </c>
      <c r="L222" s="1">
        <v>45891</v>
      </c>
      <c r="M222" t="s">
        <v>76</v>
      </c>
      <c r="N222" t="s">
        <v>3977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1">
        <v>45658</v>
      </c>
      <c r="D223" s="8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">
        <v>45677</v>
      </c>
      <c r="M223" t="s">
        <v>3588</v>
      </c>
      <c r="N223" t="s">
        <v>3589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1">
        <v>45658</v>
      </c>
      <c r="D224" s="8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">
        <v>45709</v>
      </c>
      <c r="M224" t="s">
        <v>76</v>
      </c>
      <c r="N224" t="s">
        <v>3590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1">
        <v>45658</v>
      </c>
      <c r="D225" s="8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">
        <v>45736</v>
      </c>
      <c r="M225" t="s">
        <v>3969</v>
      </c>
      <c r="N225" t="s">
        <v>3970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1">
        <v>45658</v>
      </c>
      <c r="D226" s="8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">
        <v>45767</v>
      </c>
      <c r="M226" t="s">
        <v>3971</v>
      </c>
      <c r="N226" t="s">
        <v>3972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1">
        <v>45658</v>
      </c>
      <c r="D227" s="8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">
        <v>45798</v>
      </c>
      <c r="M227" t="s">
        <v>3973</v>
      </c>
      <c r="N227" t="s">
        <v>3974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1">
        <v>45658</v>
      </c>
      <c r="D228" s="8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">
        <v>45832</v>
      </c>
      <c r="M228" t="s">
        <v>76</v>
      </c>
      <c r="N228" t="s">
        <v>3975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1">
        <v>45658</v>
      </c>
      <c r="D229" s="8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">
        <v>45859</v>
      </c>
      <c r="M229" t="s">
        <v>76</v>
      </c>
      <c r="N229" t="s">
        <v>3976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1">
        <v>45658</v>
      </c>
      <c r="D230" s="8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">
        <v>45891</v>
      </c>
      <c r="M230" t="s">
        <v>76</v>
      </c>
      <c r="N230" t="s">
        <v>3977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1">
        <v>45658</v>
      </c>
      <c r="D231" s="8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">
        <v>45672</v>
      </c>
      <c r="M231" t="s">
        <v>3677</v>
      </c>
      <c r="N231" t="s">
        <v>3678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1">
        <v>45658</v>
      </c>
      <c r="D232" s="8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">
        <v>45678</v>
      </c>
      <c r="M232" t="s">
        <v>3679</v>
      </c>
      <c r="N232" t="s">
        <v>3680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1">
        <v>45658</v>
      </c>
      <c r="D233" s="8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">
        <v>45733</v>
      </c>
      <c r="M233" t="s">
        <v>4158</v>
      </c>
      <c r="N233" t="s">
        <v>4159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1">
        <v>45658</v>
      </c>
      <c r="D234" s="8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">
        <v>45733</v>
      </c>
      <c r="M234" t="s">
        <v>4160</v>
      </c>
      <c r="N234" t="s">
        <v>4161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1">
        <v>45658</v>
      </c>
      <c r="D235" s="8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">
        <v>45775</v>
      </c>
      <c r="M235" t="s">
        <v>4162</v>
      </c>
      <c r="N235" t="s">
        <v>4163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1">
        <v>45658</v>
      </c>
      <c r="D236" s="8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">
        <v>45842</v>
      </c>
      <c r="M236" t="s">
        <v>4164</v>
      </c>
      <c r="N236" t="s">
        <v>4165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1">
        <v>45658</v>
      </c>
      <c r="D237" s="8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">
        <v>45764</v>
      </c>
      <c r="M237" t="s">
        <v>4166</v>
      </c>
      <c r="N237" t="s">
        <v>4167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1">
        <v>45658</v>
      </c>
      <c r="D238" s="8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">
        <v>45720</v>
      </c>
      <c r="M238" t="s">
        <v>3681</v>
      </c>
      <c r="N238" t="s">
        <v>3682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1">
        <v>45658</v>
      </c>
      <c r="D239" s="8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">
        <v>45763</v>
      </c>
      <c r="M239" t="s">
        <v>4168</v>
      </c>
      <c r="N239" t="s">
        <v>4169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1">
        <v>45658</v>
      </c>
      <c r="D240" s="8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">
        <v>45765</v>
      </c>
      <c r="M240" t="s">
        <v>4168</v>
      </c>
      <c r="N240" t="s">
        <v>4170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1">
        <v>45658</v>
      </c>
      <c r="D241" s="8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">
        <v>45909</v>
      </c>
      <c r="M241" t="s">
        <v>4171</v>
      </c>
      <c r="N241" t="s">
        <v>4172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1">
        <v>45658</v>
      </c>
      <c r="D242" s="8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3683</v>
      </c>
      <c r="L242" s="1">
        <v>45680</v>
      </c>
      <c r="M242" t="s">
        <v>3659</v>
      </c>
      <c r="N242" t="s">
        <v>3660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1">
        <v>45658</v>
      </c>
      <c r="D243" s="8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3683</v>
      </c>
      <c r="L243" s="1">
        <v>45713</v>
      </c>
      <c r="M243" t="s">
        <v>76</v>
      </c>
      <c r="N243" t="s">
        <v>3661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1">
        <v>45658</v>
      </c>
      <c r="D244" s="8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3683</v>
      </c>
      <c r="L244" s="1">
        <v>45742</v>
      </c>
      <c r="M244" t="s">
        <v>4142</v>
      </c>
      <c r="N244" t="s">
        <v>4143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1">
        <v>45658</v>
      </c>
      <c r="D245" s="8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3683</v>
      </c>
      <c r="L245" s="1">
        <v>45769</v>
      </c>
      <c r="M245" t="s">
        <v>4144</v>
      </c>
      <c r="N245" t="s">
        <v>4145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1">
        <v>45658</v>
      </c>
      <c r="D246" s="8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3683</v>
      </c>
      <c r="L246" s="1">
        <v>45800</v>
      </c>
      <c r="M246" t="s">
        <v>4146</v>
      </c>
      <c r="N246" t="s">
        <v>4147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1">
        <v>45658</v>
      </c>
      <c r="D247" s="8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3683</v>
      </c>
      <c r="L247" s="1">
        <v>45832</v>
      </c>
      <c r="M247" t="s">
        <v>76</v>
      </c>
      <c r="N247" t="s">
        <v>4148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1">
        <v>45658</v>
      </c>
      <c r="D248" s="8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3683</v>
      </c>
      <c r="L248" s="1">
        <v>45861</v>
      </c>
      <c r="M248" t="s">
        <v>76</v>
      </c>
      <c r="N248" t="s">
        <v>4149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1">
        <v>45658</v>
      </c>
      <c r="D249" s="8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3683</v>
      </c>
      <c r="L249" s="1">
        <v>45891</v>
      </c>
      <c r="M249" t="s">
        <v>76</v>
      </c>
      <c r="N249" t="s">
        <v>4150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1">
        <v>45658</v>
      </c>
      <c r="D250" s="8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">
        <v>45664</v>
      </c>
      <c r="M250" t="s">
        <v>3684</v>
      </c>
      <c r="N250" t="s">
        <v>3685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1">
        <v>45658</v>
      </c>
      <c r="D251" s="8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">
        <v>45733</v>
      </c>
      <c r="M251" t="s">
        <v>4158</v>
      </c>
      <c r="N251" t="s">
        <v>4159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1">
        <v>45658</v>
      </c>
      <c r="D252" s="8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">
        <v>45733</v>
      </c>
      <c r="M252" t="s">
        <v>4160</v>
      </c>
      <c r="N252" t="s">
        <v>4161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1">
        <v>45658</v>
      </c>
      <c r="D253" s="8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">
        <v>45840</v>
      </c>
      <c r="M253" t="s">
        <v>4173</v>
      </c>
      <c r="N253" t="s">
        <v>4174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1">
        <v>45658</v>
      </c>
      <c r="D254" s="8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">
        <v>45919</v>
      </c>
      <c r="M254" t="s">
        <v>4175</v>
      </c>
      <c r="N254" t="s">
        <v>4176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1">
        <v>45658</v>
      </c>
      <c r="D255" s="8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">
        <v>45769</v>
      </c>
      <c r="M255" t="s">
        <v>4177</v>
      </c>
      <c r="N255" t="s">
        <v>4178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1">
        <v>45658</v>
      </c>
      <c r="D256" s="8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3683</v>
      </c>
      <c r="L256" s="1">
        <v>45680</v>
      </c>
      <c r="M256" t="s">
        <v>3659</v>
      </c>
      <c r="N256" t="s">
        <v>3660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1">
        <v>45658</v>
      </c>
      <c r="D257" s="8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3683</v>
      </c>
      <c r="L257" s="1">
        <v>45713</v>
      </c>
      <c r="M257" t="s">
        <v>76</v>
      </c>
      <c r="N257" t="s">
        <v>3661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1">
        <v>45658</v>
      </c>
      <c r="D258" s="8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3683</v>
      </c>
      <c r="L258" s="1">
        <v>45742</v>
      </c>
      <c r="M258" t="s">
        <v>4142</v>
      </c>
      <c r="N258" t="s">
        <v>4143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1">
        <v>45658</v>
      </c>
      <c r="D259" s="8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3683</v>
      </c>
      <c r="L259" s="1">
        <v>45769</v>
      </c>
      <c r="M259" t="s">
        <v>4144</v>
      </c>
      <c r="N259" t="s">
        <v>4145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1">
        <v>45658</v>
      </c>
      <c r="D260" s="8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3683</v>
      </c>
      <c r="L260" s="1">
        <v>45800</v>
      </c>
      <c r="M260" t="s">
        <v>4146</v>
      </c>
      <c r="N260" t="s">
        <v>4147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1">
        <v>45658</v>
      </c>
      <c r="D261" s="8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3683</v>
      </c>
      <c r="L261" s="1">
        <v>45832</v>
      </c>
      <c r="M261" t="s">
        <v>76</v>
      </c>
      <c r="N261" t="s">
        <v>4148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1">
        <v>45658</v>
      </c>
      <c r="D262" s="8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3683</v>
      </c>
      <c r="L262" s="1">
        <v>45861</v>
      </c>
      <c r="M262" t="s">
        <v>76</v>
      </c>
      <c r="N262" t="s">
        <v>4149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1">
        <v>45658</v>
      </c>
      <c r="D263" s="8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3683</v>
      </c>
      <c r="L263" s="1">
        <v>45891</v>
      </c>
      <c r="M263" t="s">
        <v>76</v>
      </c>
      <c r="N263" t="s">
        <v>4150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1">
        <v>45658</v>
      </c>
      <c r="D264" s="8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">
        <v>45664</v>
      </c>
      <c r="M264" t="s">
        <v>3686</v>
      </c>
      <c r="N264" t="s">
        <v>3687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1">
        <v>45658</v>
      </c>
      <c r="D265" s="8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">
        <v>45839</v>
      </c>
      <c r="M265" t="s">
        <v>4179</v>
      </c>
      <c r="N265" t="s">
        <v>4180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1">
        <v>45658</v>
      </c>
      <c r="D266" s="8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">
        <v>45733</v>
      </c>
      <c r="M266" t="s">
        <v>4160</v>
      </c>
      <c r="N266" t="s">
        <v>4161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1">
        <v>45658</v>
      </c>
      <c r="D267" s="8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">
        <v>45733</v>
      </c>
      <c r="M267" t="s">
        <v>4158</v>
      </c>
      <c r="N267" t="s">
        <v>4159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1">
        <v>45658</v>
      </c>
      <c r="D268" s="8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">
        <v>45919</v>
      </c>
      <c r="M268" t="s">
        <v>4181</v>
      </c>
      <c r="N268" t="s">
        <v>4182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1">
        <v>45658</v>
      </c>
      <c r="D269" s="8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">
        <v>45765</v>
      </c>
      <c r="M269" t="s">
        <v>4183</v>
      </c>
      <c r="N269" t="s">
        <v>4184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1">
        <v>45658</v>
      </c>
      <c r="D270" s="8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">
        <v>45672</v>
      </c>
      <c r="M270" t="s">
        <v>3688</v>
      </c>
      <c r="N270" t="s">
        <v>3689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1">
        <v>45658</v>
      </c>
      <c r="D271" s="8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">
        <v>45701</v>
      </c>
      <c r="M271" t="s">
        <v>76</v>
      </c>
      <c r="N271" t="s">
        <v>3690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1">
        <v>45658</v>
      </c>
      <c r="D272" s="8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">
        <v>45734</v>
      </c>
      <c r="M272" t="s">
        <v>3691</v>
      </c>
      <c r="N272" t="s">
        <v>3692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1">
        <v>45658</v>
      </c>
      <c r="D273" s="8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">
        <v>45760</v>
      </c>
      <c r="M273" t="s">
        <v>4185</v>
      </c>
      <c r="N273" t="s">
        <v>4186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1">
        <v>45658</v>
      </c>
      <c r="D274" s="8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">
        <v>45790</v>
      </c>
      <c r="M274" t="s">
        <v>76</v>
      </c>
      <c r="N274" t="s">
        <v>4187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1">
        <v>45658</v>
      </c>
      <c r="D275" s="8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">
        <v>45821</v>
      </c>
      <c r="M275" t="s">
        <v>76</v>
      </c>
      <c r="N275" t="s">
        <v>4188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1">
        <v>45658</v>
      </c>
      <c r="D276" s="8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">
        <v>45855</v>
      </c>
      <c r="M276" t="s">
        <v>76</v>
      </c>
      <c r="N276" t="s">
        <v>4189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1">
        <v>45658</v>
      </c>
      <c r="D277" s="8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">
        <v>45882</v>
      </c>
      <c r="M277" t="s">
        <v>76</v>
      </c>
      <c r="N277" t="s">
        <v>4190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1">
        <v>45658</v>
      </c>
      <c r="D278" s="8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">
        <v>45672</v>
      </c>
      <c r="M278" t="s">
        <v>76</v>
      </c>
      <c r="N278" t="s">
        <v>3693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1">
        <v>45658</v>
      </c>
      <c r="D279" s="8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">
        <v>45707</v>
      </c>
      <c r="M279" t="s">
        <v>76</v>
      </c>
      <c r="N279" t="s">
        <v>3694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1">
        <v>45658</v>
      </c>
      <c r="D280" s="8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">
        <v>45734</v>
      </c>
      <c r="M280" t="s">
        <v>3695</v>
      </c>
      <c r="N280" t="s">
        <v>3696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1">
        <v>45658</v>
      </c>
      <c r="D281" s="8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">
        <v>45763</v>
      </c>
      <c r="M281" t="s">
        <v>4191</v>
      </c>
      <c r="N281" t="s">
        <v>4192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1">
        <v>45658</v>
      </c>
      <c r="D282" s="8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">
        <v>45790</v>
      </c>
      <c r="M282" t="s">
        <v>76</v>
      </c>
      <c r="N282" t="s">
        <v>4193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1">
        <v>45658</v>
      </c>
      <c r="D283" s="8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">
        <v>45804</v>
      </c>
      <c r="M283" t="s">
        <v>76</v>
      </c>
      <c r="N283" t="s">
        <v>4194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1">
        <v>45658</v>
      </c>
      <c r="D284" s="8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">
        <v>45821</v>
      </c>
      <c r="M284" t="s">
        <v>76</v>
      </c>
      <c r="N284" t="s">
        <v>4195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1">
        <v>45658</v>
      </c>
      <c r="D285" s="8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">
        <v>45855</v>
      </c>
      <c r="M285" t="s">
        <v>76</v>
      </c>
      <c r="N285" t="s">
        <v>4196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1">
        <v>45658</v>
      </c>
      <c r="D286" s="8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">
        <v>45882</v>
      </c>
      <c r="M286" t="s">
        <v>76</v>
      </c>
      <c r="N286" t="s">
        <v>4197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1">
        <v>45658</v>
      </c>
      <c r="D287" s="8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">
        <v>45672</v>
      </c>
      <c r="M287" t="s">
        <v>76</v>
      </c>
      <c r="N287" t="s">
        <v>3693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1">
        <v>45658</v>
      </c>
      <c r="D288" s="8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">
        <v>45707</v>
      </c>
      <c r="M288" t="s">
        <v>76</v>
      </c>
      <c r="N288" t="s">
        <v>3694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1">
        <v>45658</v>
      </c>
      <c r="D289" s="8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">
        <v>45734</v>
      </c>
      <c r="M289" t="s">
        <v>3695</v>
      </c>
      <c r="N289" t="s">
        <v>3696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1">
        <v>45658</v>
      </c>
      <c r="D290" s="8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">
        <v>45763</v>
      </c>
      <c r="M290" t="s">
        <v>4191</v>
      </c>
      <c r="N290" t="s">
        <v>4192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1">
        <v>45658</v>
      </c>
      <c r="D291" s="8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">
        <v>45790</v>
      </c>
      <c r="M291" t="s">
        <v>76</v>
      </c>
      <c r="N291" t="s">
        <v>4193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1">
        <v>45658</v>
      </c>
      <c r="D292" s="8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">
        <v>45804</v>
      </c>
      <c r="M292" t="s">
        <v>76</v>
      </c>
      <c r="N292" t="s">
        <v>4194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1">
        <v>45658</v>
      </c>
      <c r="D293" s="8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">
        <v>45821</v>
      </c>
      <c r="M293" t="s">
        <v>76</v>
      </c>
      <c r="N293" t="s">
        <v>4195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1">
        <v>45658</v>
      </c>
      <c r="D294" s="8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">
        <v>45855</v>
      </c>
      <c r="M294" t="s">
        <v>76</v>
      </c>
      <c r="N294" t="s">
        <v>4196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1">
        <v>45658</v>
      </c>
      <c r="D295" s="8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">
        <v>45882</v>
      </c>
      <c r="M295" t="s">
        <v>76</v>
      </c>
      <c r="N295" t="s">
        <v>4197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1">
        <v>45658</v>
      </c>
      <c r="D296" s="8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">
        <v>45849</v>
      </c>
      <c r="M296" t="s">
        <v>4198</v>
      </c>
      <c r="N296" t="s">
        <v>4199</v>
      </c>
      <c r="O296">
        <v>154</v>
      </c>
      <c r="P296" t="s">
        <v>3888</v>
      </c>
    </row>
    <row r="297" spans="1:16" ht="15" customHeight="1" x14ac:dyDescent="0.4">
      <c r="A297" t="s">
        <v>15</v>
      </c>
      <c r="B297" t="s">
        <v>16</v>
      </c>
      <c r="C297" s="11">
        <v>45658</v>
      </c>
      <c r="D297" s="8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">
        <v>45797</v>
      </c>
      <c r="M297" t="s">
        <v>4128</v>
      </c>
      <c r="N297" t="s">
        <v>4200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1">
        <v>45658</v>
      </c>
      <c r="D298" s="8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3697</v>
      </c>
      <c r="L298" s="1">
        <v>45680</v>
      </c>
      <c r="M298" t="s">
        <v>3659</v>
      </c>
      <c r="N298" t="s">
        <v>3660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1">
        <v>45658</v>
      </c>
      <c r="D299" s="8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3697</v>
      </c>
      <c r="L299" s="1">
        <v>45713</v>
      </c>
      <c r="M299" t="s">
        <v>76</v>
      </c>
      <c r="N299" t="s">
        <v>3661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1">
        <v>45658</v>
      </c>
      <c r="D300" s="8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3697</v>
      </c>
      <c r="L300" s="1">
        <v>45742</v>
      </c>
      <c r="M300" t="s">
        <v>4142</v>
      </c>
      <c r="N300" t="s">
        <v>4143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1">
        <v>45658</v>
      </c>
      <c r="D301" s="8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3697</v>
      </c>
      <c r="L301" s="1">
        <v>45769</v>
      </c>
      <c r="M301" t="s">
        <v>4144</v>
      </c>
      <c r="N301" t="s">
        <v>4145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1">
        <v>45658</v>
      </c>
      <c r="D302" s="8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3697</v>
      </c>
      <c r="L302" s="1">
        <v>45800</v>
      </c>
      <c r="M302" t="s">
        <v>4146</v>
      </c>
      <c r="N302" t="s">
        <v>4147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1">
        <v>45658</v>
      </c>
      <c r="D303" s="8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3697</v>
      </c>
      <c r="L303" s="1">
        <v>45832</v>
      </c>
      <c r="M303" t="s">
        <v>76</v>
      </c>
      <c r="N303" t="s">
        <v>4148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1">
        <v>45658</v>
      </c>
      <c r="D304" s="8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3697</v>
      </c>
      <c r="L304" s="1">
        <v>45861</v>
      </c>
      <c r="M304" t="s">
        <v>76</v>
      </c>
      <c r="N304" t="s">
        <v>4149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1">
        <v>45658</v>
      </c>
      <c r="D305" s="8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3697</v>
      </c>
      <c r="L305" s="1">
        <v>45891</v>
      </c>
      <c r="M305" t="s">
        <v>76</v>
      </c>
      <c r="N305" t="s">
        <v>4150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1">
        <v>45658</v>
      </c>
      <c r="D306" s="8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">
        <v>45853</v>
      </c>
      <c r="M306" t="s">
        <v>4201</v>
      </c>
      <c r="N306" t="s">
        <v>4202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1">
        <v>45658</v>
      </c>
      <c r="D307" s="8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3697</v>
      </c>
      <c r="L307" s="1">
        <v>45680</v>
      </c>
      <c r="M307" t="s">
        <v>3659</v>
      </c>
      <c r="N307" t="s">
        <v>3660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1">
        <v>45658</v>
      </c>
      <c r="D308" s="8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3697</v>
      </c>
      <c r="L308" s="1">
        <v>45713</v>
      </c>
      <c r="M308" t="s">
        <v>76</v>
      </c>
      <c r="N308" t="s">
        <v>3661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1">
        <v>45658</v>
      </c>
      <c r="D309" s="8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3697</v>
      </c>
      <c r="L309" s="1">
        <v>45742</v>
      </c>
      <c r="M309" t="s">
        <v>4142</v>
      </c>
      <c r="N309" t="s">
        <v>4143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1">
        <v>45658</v>
      </c>
      <c r="D310" s="8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3697</v>
      </c>
      <c r="L310" s="1">
        <v>45769</v>
      </c>
      <c r="M310" t="s">
        <v>4144</v>
      </c>
      <c r="N310" t="s">
        <v>4145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1">
        <v>45658</v>
      </c>
      <c r="D311" s="8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3697</v>
      </c>
      <c r="L311" s="1">
        <v>45800</v>
      </c>
      <c r="M311" t="s">
        <v>4146</v>
      </c>
      <c r="N311" t="s">
        <v>4147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1">
        <v>45658</v>
      </c>
      <c r="D312" s="8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3697</v>
      </c>
      <c r="L312" s="1">
        <v>45832</v>
      </c>
      <c r="M312" t="s">
        <v>76</v>
      </c>
      <c r="N312" t="s">
        <v>4148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1">
        <v>45658</v>
      </c>
      <c r="D313" s="8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3697</v>
      </c>
      <c r="L313" s="1">
        <v>45861</v>
      </c>
      <c r="M313" t="s">
        <v>76</v>
      </c>
      <c r="N313" t="s">
        <v>4149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1">
        <v>45658</v>
      </c>
      <c r="D314" s="8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3697</v>
      </c>
      <c r="L314" s="1">
        <v>45891</v>
      </c>
      <c r="M314" t="s">
        <v>76</v>
      </c>
      <c r="N314" t="s">
        <v>4150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1">
        <v>45292</v>
      </c>
      <c r="D315" s="8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">
        <v>45292</v>
      </c>
      <c r="M315" t="s">
        <v>3698</v>
      </c>
      <c r="N315" t="s">
        <v>3699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1">
        <v>45292</v>
      </c>
      <c r="D316" s="8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">
        <v>45495</v>
      </c>
      <c r="M316" t="s">
        <v>3700</v>
      </c>
      <c r="N316" t="s">
        <v>3701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1">
        <v>45292</v>
      </c>
      <c r="D317" s="8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">
        <v>45473</v>
      </c>
      <c r="M317" t="s">
        <v>3702</v>
      </c>
      <c r="N317" t="s">
        <v>3703</v>
      </c>
      <c r="O317">
        <v>1346.4</v>
      </c>
      <c r="P317" t="s">
        <v>3704</v>
      </c>
    </row>
    <row r="318" spans="1:16" ht="15" customHeight="1" x14ac:dyDescent="0.4">
      <c r="A318" t="s">
        <v>15</v>
      </c>
      <c r="B318" t="s">
        <v>16</v>
      </c>
      <c r="C318" s="11">
        <v>45292</v>
      </c>
      <c r="D318" s="8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1">
        <v>45292</v>
      </c>
      <c r="D319" s="8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1">
        <v>45292</v>
      </c>
      <c r="D320" s="8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">
        <v>45596</v>
      </c>
      <c r="M320" t="s">
        <v>3705</v>
      </c>
      <c r="N320" t="s">
        <v>3706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1">
        <v>45292</v>
      </c>
      <c r="D321" s="8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">
        <v>45657</v>
      </c>
      <c r="M321" t="s">
        <v>3707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1">
        <v>45292</v>
      </c>
      <c r="D322" s="8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1">
        <v>45292</v>
      </c>
      <c r="D323" s="8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1">
        <v>45292</v>
      </c>
      <c r="D324" s="8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1">
        <v>45292</v>
      </c>
      <c r="D325" s="8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1">
        <v>45292</v>
      </c>
      <c r="D326" s="8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3587</v>
      </c>
      <c r="L326" s="1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1">
        <v>45292</v>
      </c>
      <c r="D327" s="8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3587</v>
      </c>
      <c r="L327" s="1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1">
        <v>45292</v>
      </c>
      <c r="D328" s="8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3587</v>
      </c>
      <c r="L328" s="1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1">
        <v>45292</v>
      </c>
      <c r="D329" s="8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3587</v>
      </c>
      <c r="L329" s="1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1">
        <v>45292</v>
      </c>
      <c r="D330" s="8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3587</v>
      </c>
      <c r="L330" s="1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1">
        <v>45292</v>
      </c>
      <c r="D331" s="8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3587</v>
      </c>
      <c r="L331" s="1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1">
        <v>45292</v>
      </c>
      <c r="D332" s="8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3587</v>
      </c>
      <c r="L332" s="1">
        <v>45493</v>
      </c>
      <c r="M332" t="s">
        <v>76</v>
      </c>
      <c r="N332" t="s">
        <v>3708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1">
        <v>45292</v>
      </c>
      <c r="D333" s="8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3587</v>
      </c>
      <c r="L333" s="1">
        <v>45532</v>
      </c>
      <c r="M333" t="s">
        <v>76</v>
      </c>
      <c r="N333" t="s">
        <v>3709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1">
        <v>45292</v>
      </c>
      <c r="D334" s="8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3587</v>
      </c>
      <c r="L334" s="1">
        <v>45555</v>
      </c>
      <c r="M334" t="s">
        <v>76</v>
      </c>
      <c r="N334" t="s">
        <v>3710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1">
        <v>45292</v>
      </c>
      <c r="D335" s="8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3587</v>
      </c>
      <c r="L335" s="1">
        <v>45585</v>
      </c>
      <c r="M335" t="s">
        <v>76</v>
      </c>
      <c r="N335" t="s">
        <v>3711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1">
        <v>45292</v>
      </c>
      <c r="D336" s="8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3587</v>
      </c>
      <c r="L336" s="1">
        <v>45618</v>
      </c>
      <c r="M336" t="s">
        <v>76</v>
      </c>
      <c r="N336" t="s">
        <v>3712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1">
        <v>45292</v>
      </c>
      <c r="D337" s="8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3587</v>
      </c>
      <c r="L337" s="1">
        <v>45647</v>
      </c>
      <c r="M337" t="s">
        <v>76</v>
      </c>
      <c r="N337" t="s">
        <v>3713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1">
        <v>45292</v>
      </c>
      <c r="D338" s="8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3591</v>
      </c>
      <c r="L338" s="1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1">
        <v>45292</v>
      </c>
      <c r="D339" s="8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3591</v>
      </c>
      <c r="L339" s="1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1">
        <v>45292</v>
      </c>
      <c r="D340" s="8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3591</v>
      </c>
      <c r="L340" s="1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1">
        <v>45292</v>
      </c>
      <c r="D341" s="8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3591</v>
      </c>
      <c r="L341" s="1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1">
        <v>45292</v>
      </c>
      <c r="D342" s="8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3591</v>
      </c>
      <c r="L342" s="1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1">
        <v>45292</v>
      </c>
      <c r="D343" s="8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3591</v>
      </c>
      <c r="L343" s="1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1">
        <v>45292</v>
      </c>
      <c r="D344" s="8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3591</v>
      </c>
      <c r="L344" s="1">
        <v>45493</v>
      </c>
      <c r="M344" t="s">
        <v>76</v>
      </c>
      <c r="N344" t="s">
        <v>3708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1">
        <v>45292</v>
      </c>
      <c r="D345" s="8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3591</v>
      </c>
      <c r="L345" s="1">
        <v>45532</v>
      </c>
      <c r="M345" t="s">
        <v>76</v>
      </c>
      <c r="N345" t="s">
        <v>3709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1">
        <v>45292</v>
      </c>
      <c r="D346" s="8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3591</v>
      </c>
      <c r="L346" s="1">
        <v>45555</v>
      </c>
      <c r="M346" t="s">
        <v>76</v>
      </c>
      <c r="N346" t="s">
        <v>3710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1">
        <v>45292</v>
      </c>
      <c r="D347" s="8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3591</v>
      </c>
      <c r="L347" s="1">
        <v>45585</v>
      </c>
      <c r="M347" t="s">
        <v>76</v>
      </c>
      <c r="N347" t="s">
        <v>3711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1">
        <v>45292</v>
      </c>
      <c r="D348" s="8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3591</v>
      </c>
      <c r="L348" s="1">
        <v>45618</v>
      </c>
      <c r="M348" t="s">
        <v>3714</v>
      </c>
      <c r="N348" t="s">
        <v>3712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1">
        <v>45292</v>
      </c>
      <c r="D349" s="8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3591</v>
      </c>
      <c r="L349" s="1">
        <v>45647</v>
      </c>
      <c r="M349" t="s">
        <v>76</v>
      </c>
      <c r="N349" t="s">
        <v>3713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1">
        <v>45292</v>
      </c>
      <c r="D350" s="8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3591</v>
      </c>
      <c r="L350" s="1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1">
        <v>45292</v>
      </c>
      <c r="D351" s="8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1">
        <v>45292</v>
      </c>
      <c r="D352" s="8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">
        <v>45527</v>
      </c>
      <c r="M352" t="s">
        <v>3715</v>
      </c>
      <c r="N352" t="s">
        <v>3716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1">
        <v>45292</v>
      </c>
      <c r="D353" s="8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1">
        <v>45292</v>
      </c>
      <c r="D354" s="8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1">
        <v>45292</v>
      </c>
      <c r="D355" s="8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1">
        <v>45292</v>
      </c>
      <c r="D356" s="8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1">
        <v>45292</v>
      </c>
      <c r="D357" s="8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1">
        <v>45292</v>
      </c>
      <c r="D358" s="8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">
        <v>45657</v>
      </c>
      <c r="M358" t="s">
        <v>3717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1">
        <v>45292</v>
      </c>
      <c r="D359" s="8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1">
        <v>45292</v>
      </c>
      <c r="D360" s="8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">
        <v>45527</v>
      </c>
      <c r="M360" t="s">
        <v>3718</v>
      </c>
      <c r="N360" t="s">
        <v>3719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1">
        <v>45292</v>
      </c>
      <c r="D361" s="8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">
        <v>45657</v>
      </c>
      <c r="M361" t="s">
        <v>3721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1">
        <v>45292</v>
      </c>
      <c r="D362" s="8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">
        <v>45657</v>
      </c>
      <c r="M362" t="s">
        <v>3720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1">
        <v>45292</v>
      </c>
      <c r="D363" s="8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1">
        <v>45292</v>
      </c>
      <c r="D364" s="8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1">
        <v>45292</v>
      </c>
      <c r="D365" s="8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1">
        <v>45292</v>
      </c>
      <c r="D366" s="8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1">
        <v>45292</v>
      </c>
      <c r="D367" s="8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1">
        <v>45292</v>
      </c>
      <c r="D368" s="8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1">
        <v>45292</v>
      </c>
      <c r="D369" s="8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1">
        <v>45292</v>
      </c>
      <c r="D370" s="8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1">
        <v>45292</v>
      </c>
      <c r="D371" s="8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1">
        <v>45292</v>
      </c>
      <c r="D372" s="8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1">
        <v>45292</v>
      </c>
      <c r="D373" s="8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1">
        <v>45292</v>
      </c>
      <c r="D374" s="8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1">
        <v>45292</v>
      </c>
      <c r="D375" s="8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1">
        <v>45292</v>
      </c>
      <c r="D376" s="8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">
        <v>45499</v>
      </c>
      <c r="M376" t="s">
        <v>3722</v>
      </c>
      <c r="N376" t="s">
        <v>3723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1">
        <v>45292</v>
      </c>
      <c r="D377" s="8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">
        <v>45504</v>
      </c>
      <c r="M377" t="s">
        <v>3724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1">
        <v>45292</v>
      </c>
      <c r="D378" s="8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">
        <v>45527</v>
      </c>
      <c r="M378" t="s">
        <v>3725</v>
      </c>
      <c r="N378" t="s">
        <v>3726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1">
        <v>45292</v>
      </c>
      <c r="D379" s="8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">
        <v>45534</v>
      </c>
      <c r="M379" t="s">
        <v>3727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1">
        <v>45292</v>
      </c>
      <c r="D380" s="8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">
        <v>45565</v>
      </c>
      <c r="M380" t="s">
        <v>3728</v>
      </c>
      <c r="N380" t="s">
        <v>3729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1">
        <v>45292</v>
      </c>
      <c r="D381" s="8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">
        <v>45565</v>
      </c>
      <c r="M381" t="s">
        <v>3730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1">
        <v>45292</v>
      </c>
      <c r="D382" s="8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">
        <v>45590</v>
      </c>
      <c r="M382" t="s">
        <v>3731</v>
      </c>
      <c r="N382" t="s">
        <v>3732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1">
        <v>45292</v>
      </c>
      <c r="D383" s="8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">
        <v>45604</v>
      </c>
      <c r="M383" t="s">
        <v>3733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1">
        <v>45292</v>
      </c>
      <c r="D384" s="8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">
        <v>45624</v>
      </c>
      <c r="M384" t="s">
        <v>3734</v>
      </c>
      <c r="N384" t="s">
        <v>3735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1">
        <v>45292</v>
      </c>
      <c r="D385" s="8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">
        <v>45626</v>
      </c>
      <c r="M385" t="s">
        <v>3736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1">
        <v>45292</v>
      </c>
      <c r="D386" s="8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">
        <v>45649</v>
      </c>
      <c r="M386" t="s">
        <v>3737</v>
      </c>
      <c r="N386" t="s">
        <v>3738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1">
        <v>45292</v>
      </c>
      <c r="D387" s="8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1">
        <v>45292</v>
      </c>
      <c r="D388" s="8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1">
        <v>45292</v>
      </c>
      <c r="D389" s="8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1">
        <v>45292</v>
      </c>
      <c r="D390" s="8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1">
        <v>45292</v>
      </c>
      <c r="D391" s="8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1">
        <v>45292</v>
      </c>
      <c r="D392" s="8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1">
        <v>45292</v>
      </c>
      <c r="D393" s="8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1">
        <v>45292</v>
      </c>
      <c r="D394" s="8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1">
        <v>45292</v>
      </c>
      <c r="D395" s="8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1">
        <v>45292</v>
      </c>
      <c r="D396" s="8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1">
        <v>45292</v>
      </c>
      <c r="D397" s="8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1">
        <v>45292</v>
      </c>
      <c r="D398" s="8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1">
        <v>45292</v>
      </c>
      <c r="D399" s="8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">
        <v>45499</v>
      </c>
      <c r="M399" t="s">
        <v>3739</v>
      </c>
      <c r="N399" t="s">
        <v>3723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1">
        <v>45292</v>
      </c>
      <c r="D400" s="8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">
        <v>45504</v>
      </c>
      <c r="M400" t="s">
        <v>3740</v>
      </c>
      <c r="N400" t="s">
        <v>3741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1">
        <v>45292</v>
      </c>
      <c r="D401" s="8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">
        <v>45527</v>
      </c>
      <c r="M401" t="s">
        <v>3742</v>
      </c>
      <c r="N401" t="s">
        <v>3726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1">
        <v>45292</v>
      </c>
      <c r="D402" s="8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">
        <v>45534</v>
      </c>
      <c r="M402" t="s">
        <v>3743</v>
      </c>
      <c r="N402" t="s">
        <v>3744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1">
        <v>45292</v>
      </c>
      <c r="D403" s="8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">
        <v>45565</v>
      </c>
      <c r="M403" t="s">
        <v>3746</v>
      </c>
      <c r="N403" t="s">
        <v>3747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1">
        <v>45292</v>
      </c>
      <c r="D404" s="8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">
        <v>45565</v>
      </c>
      <c r="M404" t="s">
        <v>3745</v>
      </c>
      <c r="N404" t="s">
        <v>3729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1">
        <v>45292</v>
      </c>
      <c r="D405" s="8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">
        <v>45590</v>
      </c>
      <c r="M405" t="s">
        <v>3748</v>
      </c>
      <c r="N405" t="s">
        <v>3732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1">
        <v>45292</v>
      </c>
      <c r="D406" s="8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">
        <v>45604</v>
      </c>
      <c r="M406" t="s">
        <v>3749</v>
      </c>
      <c r="N406" t="s">
        <v>3750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1">
        <v>45292</v>
      </c>
      <c r="D407" s="8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">
        <v>45624</v>
      </c>
      <c r="M407" t="s">
        <v>3751</v>
      </c>
      <c r="N407" t="s">
        <v>3735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1">
        <v>45292</v>
      </c>
      <c r="D408" s="8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">
        <v>45626</v>
      </c>
      <c r="M408" t="s">
        <v>3752</v>
      </c>
      <c r="N408" t="s">
        <v>3753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1">
        <v>45292</v>
      </c>
      <c r="D409" s="8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">
        <v>45649</v>
      </c>
      <c r="M409" t="s">
        <v>3754</v>
      </c>
      <c r="N409" t="s">
        <v>3738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1">
        <v>45292</v>
      </c>
      <c r="D410" s="8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1">
        <v>45292</v>
      </c>
      <c r="D411" s="8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1">
        <v>45292</v>
      </c>
      <c r="D412" s="8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1">
        <v>45292</v>
      </c>
      <c r="D413" s="8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1">
        <v>45292</v>
      </c>
      <c r="D414" s="8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1">
        <v>45292</v>
      </c>
      <c r="D415" s="8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1">
        <v>45292</v>
      </c>
      <c r="D416" s="8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">
        <v>45499</v>
      </c>
      <c r="M416" t="s">
        <v>3755</v>
      </c>
      <c r="N416" t="s">
        <v>3723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1">
        <v>45292</v>
      </c>
      <c r="D417" s="8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">
        <v>45527</v>
      </c>
      <c r="M417" t="s">
        <v>3756</v>
      </c>
      <c r="N417" t="s">
        <v>3726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1">
        <v>45292</v>
      </c>
      <c r="D418" s="8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">
        <v>45565</v>
      </c>
      <c r="M418" t="s">
        <v>3757</v>
      </c>
      <c r="N418" t="s">
        <v>3729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1">
        <v>45292</v>
      </c>
      <c r="D419" s="8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">
        <v>45590</v>
      </c>
      <c r="M419" t="s">
        <v>3758</v>
      </c>
      <c r="N419" t="s">
        <v>3732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1">
        <v>45292</v>
      </c>
      <c r="D420" s="8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">
        <v>45624</v>
      </c>
      <c r="M420" t="s">
        <v>3759</v>
      </c>
      <c r="N420" t="s">
        <v>3735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1">
        <v>45292</v>
      </c>
      <c r="D421" s="8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">
        <v>45649</v>
      </c>
      <c r="M421" t="s">
        <v>3760</v>
      </c>
      <c r="N421" t="s">
        <v>3738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1">
        <v>45292</v>
      </c>
      <c r="D422" s="8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">
        <v>45657</v>
      </c>
      <c r="M422" t="s">
        <v>3761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1">
        <v>45292</v>
      </c>
      <c r="D423" s="8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1">
        <v>45292</v>
      </c>
      <c r="D424" s="8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">
        <v>45657</v>
      </c>
      <c r="M424" t="s">
        <v>3762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1">
        <v>45292</v>
      </c>
      <c r="D425" s="8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">
        <v>45617</v>
      </c>
      <c r="M425" t="s">
        <v>3763</v>
      </c>
      <c r="N425" t="s">
        <v>3764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1">
        <v>45292</v>
      </c>
      <c r="D426" s="8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1">
        <v>45292</v>
      </c>
      <c r="D427" s="8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1">
        <v>45292</v>
      </c>
      <c r="D428" s="8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1">
        <v>45292</v>
      </c>
      <c r="D429" s="8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1">
        <v>45292</v>
      </c>
      <c r="D430" s="8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1">
        <v>45292</v>
      </c>
      <c r="D431" s="8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1">
        <v>45292</v>
      </c>
      <c r="D432" s="8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1">
        <v>45292</v>
      </c>
      <c r="D433" s="8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1">
        <v>45292</v>
      </c>
      <c r="D434" s="8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1">
        <v>45292</v>
      </c>
      <c r="D435" s="8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1">
        <v>45292</v>
      </c>
      <c r="D436" s="8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1">
        <v>45292</v>
      </c>
      <c r="D437" s="8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1">
        <v>45292</v>
      </c>
      <c r="D438" s="8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1">
        <v>45292</v>
      </c>
      <c r="D439" s="8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1">
        <v>45292</v>
      </c>
      <c r="D440" s="8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1">
        <v>45292</v>
      </c>
      <c r="D441" s="8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1">
        <v>45292</v>
      </c>
      <c r="D442" s="8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1">
        <v>45292</v>
      </c>
      <c r="D443" s="8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1">
        <v>45292</v>
      </c>
      <c r="D444" s="8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1">
        <v>45292</v>
      </c>
      <c r="D445" s="8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1">
        <v>45292</v>
      </c>
      <c r="D446" s="8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1">
        <v>45292</v>
      </c>
      <c r="D447" s="8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1">
        <v>45292</v>
      </c>
      <c r="D448" s="8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">
        <v>45499</v>
      </c>
      <c r="M448" t="s">
        <v>3766</v>
      </c>
      <c r="N448" t="s">
        <v>3723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1">
        <v>45292</v>
      </c>
      <c r="D449" s="8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">
        <v>45499</v>
      </c>
      <c r="M449" t="s">
        <v>3765</v>
      </c>
      <c r="N449" t="s">
        <v>3723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1">
        <v>45292</v>
      </c>
      <c r="D450" s="8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">
        <v>45504</v>
      </c>
      <c r="M450" t="s">
        <v>3767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1">
        <v>45292</v>
      </c>
      <c r="D451" s="8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">
        <v>45527</v>
      </c>
      <c r="M451" t="s">
        <v>3769</v>
      </c>
      <c r="N451" t="s">
        <v>3726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1">
        <v>45292</v>
      </c>
      <c r="D452" s="8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">
        <v>45527</v>
      </c>
      <c r="M452" t="s">
        <v>3768</v>
      </c>
      <c r="N452" t="s">
        <v>3726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1">
        <v>45292</v>
      </c>
      <c r="D453" s="8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">
        <v>45534</v>
      </c>
      <c r="M453" t="s">
        <v>3771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1">
        <v>45292</v>
      </c>
      <c r="D454" s="8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">
        <v>45534</v>
      </c>
      <c r="M454" t="s">
        <v>3770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1">
        <v>45292</v>
      </c>
      <c r="D455" s="8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">
        <v>45565</v>
      </c>
      <c r="M455" t="s">
        <v>3772</v>
      </c>
      <c r="N455" t="s">
        <v>3729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1">
        <v>45292</v>
      </c>
      <c r="D456" s="8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">
        <v>45565</v>
      </c>
      <c r="M456" t="s">
        <v>3774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1">
        <v>45292</v>
      </c>
      <c r="D457" s="8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">
        <v>45565</v>
      </c>
      <c r="M457" t="s">
        <v>3775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1">
        <v>45292</v>
      </c>
      <c r="D458" s="8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">
        <v>45565</v>
      </c>
      <c r="M458" t="s">
        <v>3773</v>
      </c>
      <c r="N458" t="s">
        <v>3729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1">
        <v>45292</v>
      </c>
      <c r="D459" s="8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">
        <v>45590</v>
      </c>
      <c r="M459" t="s">
        <v>3777</v>
      </c>
      <c r="N459" t="s">
        <v>3732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1">
        <v>45292</v>
      </c>
      <c r="D460" s="8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">
        <v>45590</v>
      </c>
      <c r="M460" t="s">
        <v>3776</v>
      </c>
      <c r="N460" t="s">
        <v>3732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1">
        <v>45292</v>
      </c>
      <c r="D461" s="8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">
        <v>45604</v>
      </c>
      <c r="M461" t="s">
        <v>3778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1">
        <v>45292</v>
      </c>
      <c r="D462" s="8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">
        <v>45604</v>
      </c>
      <c r="M462" t="s">
        <v>3779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1">
        <v>45292</v>
      </c>
      <c r="D463" s="8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">
        <v>45624</v>
      </c>
      <c r="M463" t="s">
        <v>3780</v>
      </c>
      <c r="N463" t="s">
        <v>3735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1">
        <v>45292</v>
      </c>
      <c r="D464" s="8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">
        <v>45624</v>
      </c>
      <c r="M464" t="s">
        <v>3781</v>
      </c>
      <c r="N464" t="s">
        <v>3735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1">
        <v>45292</v>
      </c>
      <c r="D465" s="8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">
        <v>45626</v>
      </c>
      <c r="M465" t="s">
        <v>3783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1">
        <v>45292</v>
      </c>
      <c r="D466" s="8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">
        <v>45626</v>
      </c>
      <c r="M466" t="s">
        <v>3782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1">
        <v>45292</v>
      </c>
      <c r="D467" s="8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">
        <v>45649</v>
      </c>
      <c r="M467" t="s">
        <v>3785</v>
      </c>
      <c r="N467" t="s">
        <v>3738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1">
        <v>45292</v>
      </c>
      <c r="D468" s="8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">
        <v>45649</v>
      </c>
      <c r="M468" t="s">
        <v>3784</v>
      </c>
      <c r="N468" t="s">
        <v>3738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1">
        <v>45292</v>
      </c>
      <c r="D469" s="8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1">
        <v>45292</v>
      </c>
      <c r="D470" s="8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1">
        <v>45292</v>
      </c>
      <c r="D471" s="8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1">
        <v>45292</v>
      </c>
      <c r="D472" s="8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">
        <v>45495</v>
      </c>
      <c r="M472" t="s">
        <v>1589</v>
      </c>
      <c r="N472" t="s">
        <v>3786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1">
        <v>45292</v>
      </c>
      <c r="D473" s="8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">
        <v>45573</v>
      </c>
      <c r="M473" t="s">
        <v>1589</v>
      </c>
      <c r="N473" t="s">
        <v>3787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1">
        <v>45292</v>
      </c>
      <c r="D474" s="8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">
        <v>45618</v>
      </c>
      <c r="M474" t="s">
        <v>1589</v>
      </c>
      <c r="N474" t="s">
        <v>3788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1">
        <v>45292</v>
      </c>
      <c r="D475" s="8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1">
        <v>45292</v>
      </c>
      <c r="D476" s="8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1">
        <v>45292</v>
      </c>
      <c r="D477" s="8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1">
        <v>45292</v>
      </c>
      <c r="D478" s="8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">
        <v>45657</v>
      </c>
      <c r="M478" t="s">
        <v>251</v>
      </c>
      <c r="N478" t="s">
        <v>3789</v>
      </c>
      <c r="O478">
        <v>28.8</v>
      </c>
      <c r="P478" t="s">
        <v>3790</v>
      </c>
    </row>
    <row r="479" spans="1:16" ht="15" customHeight="1" x14ac:dyDescent="0.4">
      <c r="A479" t="s">
        <v>15</v>
      </c>
      <c r="B479" t="s">
        <v>16</v>
      </c>
      <c r="C479" s="11">
        <v>45292</v>
      </c>
      <c r="D479" s="8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1">
        <v>45292</v>
      </c>
      <c r="D480" s="8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">
        <v>45638</v>
      </c>
      <c r="M480" t="s">
        <v>3791</v>
      </c>
      <c r="N480" t="s">
        <v>3792</v>
      </c>
      <c r="O480">
        <v>1380</v>
      </c>
      <c r="P480" t="s">
        <v>3793</v>
      </c>
    </row>
    <row r="481" spans="1:16" ht="15" customHeight="1" x14ac:dyDescent="0.4">
      <c r="A481" t="s">
        <v>15</v>
      </c>
      <c r="B481" t="s">
        <v>16</v>
      </c>
      <c r="C481" s="11">
        <v>45292</v>
      </c>
      <c r="D481" s="8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1">
        <v>45292</v>
      </c>
      <c r="D482" s="8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1">
        <v>45292</v>
      </c>
      <c r="D483" s="8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1">
        <v>45292</v>
      </c>
      <c r="D484" s="8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1">
        <v>45292</v>
      </c>
      <c r="D485" s="8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">
        <v>45565</v>
      </c>
      <c r="M485" t="s">
        <v>3794</v>
      </c>
      <c r="N485" t="s">
        <v>3795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1">
        <v>45292</v>
      </c>
      <c r="D486" s="8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">
        <v>45596</v>
      </c>
      <c r="M486" t="s">
        <v>3796</v>
      </c>
      <c r="N486" t="s">
        <v>3797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1">
        <v>45292</v>
      </c>
      <c r="D487" s="8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">
        <v>45628</v>
      </c>
      <c r="M487" t="s">
        <v>3798</v>
      </c>
      <c r="N487" t="s">
        <v>3799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1">
        <v>45292</v>
      </c>
      <c r="D488" s="8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">
        <v>45641</v>
      </c>
      <c r="M488" t="s">
        <v>3801</v>
      </c>
      <c r="N488" t="s">
        <v>3800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1">
        <v>45292</v>
      </c>
      <c r="D489" s="8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">
        <v>45641</v>
      </c>
      <c r="M489" t="s">
        <v>3794</v>
      </c>
      <c r="N489" t="s">
        <v>3800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1">
        <v>45292</v>
      </c>
      <c r="D490" s="8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1">
        <v>45292</v>
      </c>
      <c r="D491" s="8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">
        <v>45399</v>
      </c>
      <c r="M491" t="s">
        <v>3802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1">
        <v>45292</v>
      </c>
      <c r="D492" s="8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">
        <v>45657</v>
      </c>
      <c r="M492" t="s">
        <v>3803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1">
        <v>45292</v>
      </c>
      <c r="D493" s="8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">
        <v>45320</v>
      </c>
      <c r="M493" t="s">
        <v>3804</v>
      </c>
      <c r="N493" t="s">
        <v>3805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1">
        <v>45292</v>
      </c>
      <c r="D494" s="8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">
        <v>45292</v>
      </c>
      <c r="M494" t="s">
        <v>3806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1">
        <v>45292</v>
      </c>
      <c r="D495" s="8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1">
        <v>45292</v>
      </c>
      <c r="D496" s="8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">
        <v>45468</v>
      </c>
      <c r="M496" t="s">
        <v>3807</v>
      </c>
      <c r="N496" t="s">
        <v>3808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1">
        <v>45292</v>
      </c>
      <c r="D497" s="8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">
        <v>45653</v>
      </c>
      <c r="M497" t="s">
        <v>3809</v>
      </c>
      <c r="N497" t="s">
        <v>3810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1">
        <v>45292</v>
      </c>
      <c r="D498" s="8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1">
        <v>45292</v>
      </c>
      <c r="D499" s="8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">
        <v>45485</v>
      </c>
      <c r="M499" t="s">
        <v>3811</v>
      </c>
      <c r="N499" t="s">
        <v>3812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1">
        <v>45292</v>
      </c>
      <c r="D500" s="8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">
        <v>45322</v>
      </c>
      <c r="M500" t="s">
        <v>3813</v>
      </c>
      <c r="N500" t="s">
        <v>3814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1">
        <v>45292</v>
      </c>
      <c r="D501" s="8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1">
        <v>45292</v>
      </c>
      <c r="D502" s="8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1">
        <v>45292</v>
      </c>
      <c r="D503" s="8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">
        <v>45412</v>
      </c>
      <c r="M503" t="s">
        <v>3815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1">
        <v>45292</v>
      </c>
      <c r="D504" s="8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">
        <v>45423</v>
      </c>
      <c r="M504" t="s">
        <v>3816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1">
        <v>45292</v>
      </c>
      <c r="D505" s="8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">
        <v>45454</v>
      </c>
      <c r="M505" t="s">
        <v>3817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1">
        <v>45292</v>
      </c>
      <c r="D506" s="8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">
        <v>45504</v>
      </c>
      <c r="M506" t="s">
        <v>3818</v>
      </c>
      <c r="N506" t="s">
        <v>3819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1">
        <v>45292</v>
      </c>
      <c r="D507" s="8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">
        <v>45535</v>
      </c>
      <c r="M507" t="s">
        <v>3820</v>
      </c>
      <c r="N507" t="s">
        <v>3821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1">
        <v>45292</v>
      </c>
      <c r="D508" s="8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">
        <v>45565</v>
      </c>
      <c r="M508" t="s">
        <v>3822</v>
      </c>
      <c r="N508" t="s">
        <v>3823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1">
        <v>45292</v>
      </c>
      <c r="D509" s="8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">
        <v>45596</v>
      </c>
      <c r="M509" t="s">
        <v>3824</v>
      </c>
      <c r="N509" t="s">
        <v>3825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1">
        <v>45292</v>
      </c>
      <c r="D510" s="8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">
        <v>45618</v>
      </c>
      <c r="M510" t="s">
        <v>3826</v>
      </c>
      <c r="N510" t="s">
        <v>3827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1">
        <v>45292</v>
      </c>
      <c r="D511" s="8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">
        <v>45637</v>
      </c>
      <c r="M511" t="s">
        <v>3828</v>
      </c>
      <c r="N511" t="s">
        <v>3829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1">
        <v>45292</v>
      </c>
      <c r="D512" s="8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1">
        <v>45292</v>
      </c>
      <c r="D513" s="8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1">
        <v>45292</v>
      </c>
      <c r="D514" s="8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1">
        <v>45292</v>
      </c>
      <c r="D515" s="8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">
        <v>45657</v>
      </c>
      <c r="M515" t="s">
        <v>3830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1">
        <v>45292</v>
      </c>
      <c r="D516" s="8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">
        <v>45294</v>
      </c>
      <c r="M516" t="s">
        <v>3831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1">
        <v>45292</v>
      </c>
      <c r="D517" s="8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">
        <v>45541</v>
      </c>
      <c r="M517" t="s">
        <v>3831</v>
      </c>
      <c r="N517" t="s">
        <v>3832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1">
        <v>45292</v>
      </c>
      <c r="D518" s="8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">
        <v>45292</v>
      </c>
      <c r="M518" t="s">
        <v>3833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1">
        <v>45292</v>
      </c>
      <c r="D519" s="8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">
        <v>45657</v>
      </c>
      <c r="M519" t="s">
        <v>4203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1">
        <v>45292</v>
      </c>
      <c r="D520" s="8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">
        <v>45464</v>
      </c>
      <c r="M520" t="s">
        <v>3834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1">
        <v>45292</v>
      </c>
      <c r="D521" s="8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">
        <v>45657</v>
      </c>
      <c r="M521" t="s">
        <v>3835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1">
        <v>45292</v>
      </c>
      <c r="D522" s="8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3658</v>
      </c>
      <c r="L522" s="1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1">
        <v>45292</v>
      </c>
      <c r="D523" s="8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3658</v>
      </c>
      <c r="L523" s="1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1">
        <v>45292</v>
      </c>
      <c r="D524" s="8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3658</v>
      </c>
      <c r="L524" s="1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1">
        <v>45292</v>
      </c>
      <c r="D525" s="8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3658</v>
      </c>
      <c r="L525" s="1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1">
        <v>45292</v>
      </c>
      <c r="D526" s="8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3658</v>
      </c>
      <c r="L526" s="1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1">
        <v>45292</v>
      </c>
      <c r="D527" s="8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3658</v>
      </c>
      <c r="L527" s="1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1">
        <v>45292</v>
      </c>
      <c r="D528" s="8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3658</v>
      </c>
      <c r="L528" s="1">
        <v>45495</v>
      </c>
      <c r="M528" t="s">
        <v>76</v>
      </c>
      <c r="N528" t="s">
        <v>3836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1">
        <v>45292</v>
      </c>
      <c r="D529" s="8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3658</v>
      </c>
      <c r="L529" s="1">
        <v>45530</v>
      </c>
      <c r="M529" t="s">
        <v>76</v>
      </c>
      <c r="N529" t="s">
        <v>3837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1">
        <v>45292</v>
      </c>
      <c r="D530" s="8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3658</v>
      </c>
      <c r="L530" s="1">
        <v>45587</v>
      </c>
      <c r="M530" t="s">
        <v>76</v>
      </c>
      <c r="N530" t="s">
        <v>3838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1">
        <v>45292</v>
      </c>
      <c r="D531" s="8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3658</v>
      </c>
      <c r="L531" s="1">
        <v>45610</v>
      </c>
      <c r="M531" t="s">
        <v>76</v>
      </c>
      <c r="N531" t="s">
        <v>3839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1">
        <v>45292</v>
      </c>
      <c r="D532" s="8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3658</v>
      </c>
      <c r="L532" s="1">
        <v>45618</v>
      </c>
      <c r="M532" t="s">
        <v>76</v>
      </c>
      <c r="N532" t="s">
        <v>3840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1">
        <v>45292</v>
      </c>
      <c r="D533" s="8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3658</v>
      </c>
      <c r="L533" s="1">
        <v>45648</v>
      </c>
      <c r="M533" t="s">
        <v>76</v>
      </c>
      <c r="N533" t="s">
        <v>3841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1">
        <v>45292</v>
      </c>
      <c r="D534" s="8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">
        <v>45657</v>
      </c>
      <c r="M534" t="s">
        <v>3803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1">
        <v>45292</v>
      </c>
      <c r="D535" s="8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">
        <v>45393</v>
      </c>
      <c r="M535" t="s">
        <v>3842</v>
      </c>
      <c r="N535" t="s">
        <v>3843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1">
        <v>45292</v>
      </c>
      <c r="D536" s="8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1">
        <v>45292</v>
      </c>
      <c r="D537" s="8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">
        <v>45534</v>
      </c>
      <c r="M537" t="s">
        <v>3844</v>
      </c>
      <c r="N537" t="s">
        <v>3845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1">
        <v>45292</v>
      </c>
      <c r="D538" s="8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1">
        <v>45292</v>
      </c>
      <c r="D539" s="8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">
        <v>45657</v>
      </c>
      <c r="M539" t="s">
        <v>3846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1">
        <v>45292</v>
      </c>
      <c r="D540" s="8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1">
        <v>45292</v>
      </c>
      <c r="D541" s="8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">
        <v>45583</v>
      </c>
      <c r="M541" t="s">
        <v>3847</v>
      </c>
      <c r="N541" t="s">
        <v>3848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1">
        <v>45292</v>
      </c>
      <c r="D542" s="8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1">
        <v>45292</v>
      </c>
      <c r="D543" s="8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1">
        <v>45292</v>
      </c>
      <c r="D544" s="8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">
        <v>45477</v>
      </c>
      <c r="M544" t="s">
        <v>3849</v>
      </c>
      <c r="N544" t="s">
        <v>3850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1">
        <v>45292</v>
      </c>
      <c r="D545" s="8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1">
        <v>45292</v>
      </c>
      <c r="D546" s="8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">
        <v>45558</v>
      </c>
      <c r="M546" t="s">
        <v>3452</v>
      </c>
      <c r="N546" t="s">
        <v>3851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1">
        <v>45292</v>
      </c>
      <c r="D547" s="8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">
        <v>45576</v>
      </c>
      <c r="M547" t="s">
        <v>3852</v>
      </c>
      <c r="N547" t="s">
        <v>3853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1">
        <v>45292</v>
      </c>
      <c r="D548" s="8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">
        <v>45609</v>
      </c>
      <c r="M548" t="s">
        <v>3854</v>
      </c>
      <c r="N548" t="s">
        <v>3855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1">
        <v>45292</v>
      </c>
      <c r="D549" s="8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">
        <v>45653</v>
      </c>
      <c r="M549" t="s">
        <v>3452</v>
      </c>
      <c r="N549" t="s">
        <v>3856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1">
        <v>45292</v>
      </c>
      <c r="D550" s="8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">
        <v>45657</v>
      </c>
      <c r="M550" t="s">
        <v>3857</v>
      </c>
      <c r="N550" t="s">
        <v>3858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1">
        <v>45292</v>
      </c>
      <c r="D551" s="8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">
        <v>45631</v>
      </c>
      <c r="M551" t="s">
        <v>3859</v>
      </c>
      <c r="N551" t="s">
        <v>3860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1">
        <v>45292</v>
      </c>
      <c r="D552" s="8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1">
        <v>45292</v>
      </c>
      <c r="D553" s="8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">
        <v>45657</v>
      </c>
      <c r="M553" t="s">
        <v>3717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1">
        <v>45292</v>
      </c>
      <c r="D554" s="8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1">
        <v>45292</v>
      </c>
      <c r="D555" s="8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1">
        <v>45292</v>
      </c>
      <c r="D556" s="8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1">
        <v>45292</v>
      </c>
      <c r="D557" s="8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1">
        <v>45292</v>
      </c>
      <c r="D558" s="8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1">
        <v>45292</v>
      </c>
      <c r="D559" s="8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1">
        <v>45292</v>
      </c>
      <c r="D560" s="8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">
        <v>45504</v>
      </c>
      <c r="M560" t="s">
        <v>3861</v>
      </c>
      <c r="N560" t="s">
        <v>3862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1">
        <v>45292</v>
      </c>
      <c r="D561" s="8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">
        <v>45535</v>
      </c>
      <c r="M561" t="s">
        <v>3155</v>
      </c>
      <c r="N561" t="s">
        <v>3863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1">
        <v>45292</v>
      </c>
      <c r="D562" s="8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">
        <v>45565</v>
      </c>
      <c r="M562" t="s">
        <v>3157</v>
      </c>
      <c r="N562" t="s">
        <v>3864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1">
        <v>45292</v>
      </c>
      <c r="D563" s="8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">
        <v>45596</v>
      </c>
      <c r="M563" t="s">
        <v>3159</v>
      </c>
      <c r="N563" t="s">
        <v>3865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1">
        <v>45292</v>
      </c>
      <c r="D564" s="8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">
        <v>45626</v>
      </c>
      <c r="M564" t="s">
        <v>3161</v>
      </c>
      <c r="N564" t="s">
        <v>3866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1">
        <v>45292</v>
      </c>
      <c r="D565" s="8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">
        <v>45657</v>
      </c>
      <c r="M565" t="s">
        <v>3163</v>
      </c>
      <c r="N565" t="s">
        <v>3867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1">
        <v>45292</v>
      </c>
      <c r="D566" s="8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">
        <v>45516</v>
      </c>
      <c r="M566" t="s">
        <v>3868</v>
      </c>
      <c r="N566" t="s">
        <v>3869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1">
        <v>45292</v>
      </c>
      <c r="D567" s="8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">
        <v>45657</v>
      </c>
      <c r="M567" t="s">
        <v>3803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1">
        <v>45292</v>
      </c>
      <c r="D568" s="8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">
        <v>45380</v>
      </c>
      <c r="M568" t="s">
        <v>3870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1">
        <v>45292</v>
      </c>
      <c r="D569" s="8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1">
        <v>45292</v>
      </c>
      <c r="D570" s="8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1">
        <v>45292</v>
      </c>
      <c r="D571" s="8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">
        <v>45504</v>
      </c>
      <c r="M571" t="s">
        <v>452</v>
      </c>
      <c r="N571" t="s">
        <v>3871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1">
        <v>45292</v>
      </c>
      <c r="D572" s="8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">
        <v>45504</v>
      </c>
      <c r="M572" t="s">
        <v>3872</v>
      </c>
      <c r="N572" t="s">
        <v>3873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1">
        <v>45292</v>
      </c>
      <c r="D573" s="8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">
        <v>45566</v>
      </c>
      <c r="M573" t="s">
        <v>452</v>
      </c>
      <c r="N573" t="s">
        <v>3871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1">
        <v>45292</v>
      </c>
      <c r="D574" s="8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">
        <v>45615</v>
      </c>
      <c r="M574" t="s">
        <v>452</v>
      </c>
      <c r="N574" t="s">
        <v>3874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1">
        <v>45292</v>
      </c>
      <c r="D575" s="8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">
        <v>45492</v>
      </c>
      <c r="M575" t="s">
        <v>3875</v>
      </c>
      <c r="N575" t="s">
        <v>3876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1">
        <v>45292</v>
      </c>
      <c r="D576" s="8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">
        <v>45517</v>
      </c>
      <c r="M576" t="s">
        <v>3875</v>
      </c>
      <c r="N576" t="s">
        <v>3877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1">
        <v>45292</v>
      </c>
      <c r="D577" s="8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1">
        <v>45292</v>
      </c>
      <c r="D578" s="8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">
        <v>45657</v>
      </c>
      <c r="M578" t="s">
        <v>3830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1">
        <v>45292</v>
      </c>
      <c r="D579" s="8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">
        <v>45657</v>
      </c>
      <c r="M579" t="s">
        <v>3878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1">
        <v>45292</v>
      </c>
      <c r="D580" s="8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">
        <v>45485</v>
      </c>
      <c r="M580" t="s">
        <v>3879</v>
      </c>
      <c r="N580" t="s">
        <v>3880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1">
        <v>45292</v>
      </c>
      <c r="D581" s="8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1">
        <v>45292</v>
      </c>
      <c r="D582" s="8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">
        <v>45657</v>
      </c>
      <c r="M582" t="s">
        <v>3881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1">
        <v>45292</v>
      </c>
      <c r="D583" s="8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">
        <v>45530</v>
      </c>
      <c r="M583" t="s">
        <v>3882</v>
      </c>
      <c r="N583" t="s">
        <v>3883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1">
        <v>45292</v>
      </c>
      <c r="D584" s="8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1">
        <v>45292</v>
      </c>
      <c r="D585" s="8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1">
        <v>45292</v>
      </c>
      <c r="D586" s="8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">
        <v>45552</v>
      </c>
      <c r="M586" t="s">
        <v>3884</v>
      </c>
      <c r="N586" t="s">
        <v>3885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1">
        <v>45292</v>
      </c>
      <c r="D587" s="8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">
        <v>45657</v>
      </c>
      <c r="M587" t="s">
        <v>3835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1">
        <v>45292</v>
      </c>
      <c r="D588" s="8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3673</v>
      </c>
      <c r="L588" s="1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1">
        <v>45292</v>
      </c>
      <c r="D589" s="8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3673</v>
      </c>
      <c r="L589" s="1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1">
        <v>45292</v>
      </c>
      <c r="D590" s="8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3673</v>
      </c>
      <c r="L590" s="1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1">
        <v>45292</v>
      </c>
      <c r="D591" s="8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3673</v>
      </c>
      <c r="L591" s="1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1">
        <v>45292</v>
      </c>
      <c r="D592" s="8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3673</v>
      </c>
      <c r="L592" s="1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1">
        <v>45292</v>
      </c>
      <c r="D593" s="8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3673</v>
      </c>
      <c r="L593" s="1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1">
        <v>45292</v>
      </c>
      <c r="D594" s="8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3673</v>
      </c>
      <c r="L594" s="1">
        <v>45493</v>
      </c>
      <c r="M594" t="s">
        <v>76</v>
      </c>
      <c r="N594" t="s">
        <v>3708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1">
        <v>45292</v>
      </c>
      <c r="D595" s="8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3673</v>
      </c>
      <c r="L595" s="1">
        <v>45532</v>
      </c>
      <c r="M595" t="s">
        <v>76</v>
      </c>
      <c r="N595" t="s">
        <v>3709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1">
        <v>45292</v>
      </c>
      <c r="D596" s="8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3673</v>
      </c>
      <c r="L596" s="1">
        <v>45555</v>
      </c>
      <c r="M596" t="s">
        <v>76</v>
      </c>
      <c r="N596" t="s">
        <v>3710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1">
        <v>45292</v>
      </c>
      <c r="D597" s="8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3673</v>
      </c>
      <c r="L597" s="1">
        <v>45585</v>
      </c>
      <c r="M597" t="s">
        <v>76</v>
      </c>
      <c r="N597" t="s">
        <v>3711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1">
        <v>45292</v>
      </c>
      <c r="D598" s="8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3673</v>
      </c>
      <c r="L598" s="1">
        <v>45618</v>
      </c>
      <c r="M598" t="s">
        <v>76</v>
      </c>
      <c r="N598" t="s">
        <v>3712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1">
        <v>45292</v>
      </c>
      <c r="D599" s="8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3673</v>
      </c>
      <c r="L599" s="1">
        <v>45647</v>
      </c>
      <c r="M599" t="s">
        <v>76</v>
      </c>
      <c r="N599" t="s">
        <v>3713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1">
        <v>45292</v>
      </c>
      <c r="D600" s="8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1">
        <v>45292</v>
      </c>
      <c r="D601" s="8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">
        <v>45657</v>
      </c>
      <c r="M601" t="s">
        <v>3803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1">
        <v>45292</v>
      </c>
      <c r="D602" s="8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">
        <v>45657</v>
      </c>
      <c r="M602" t="s">
        <v>3846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1">
        <v>45292</v>
      </c>
      <c r="D603" s="8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1">
        <v>45292</v>
      </c>
      <c r="D604" s="8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1">
        <v>45292</v>
      </c>
      <c r="D605" s="8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">
        <v>45488</v>
      </c>
      <c r="M605" t="s">
        <v>3886</v>
      </c>
      <c r="N605" t="s">
        <v>3887</v>
      </c>
      <c r="O605">
        <v>676.16</v>
      </c>
      <c r="P605" t="s">
        <v>3888</v>
      </c>
    </row>
    <row r="606" spans="1:16" ht="15" customHeight="1" x14ac:dyDescent="0.4">
      <c r="A606" t="s">
        <v>15</v>
      </c>
      <c r="B606" t="s">
        <v>16</v>
      </c>
      <c r="C606" s="11">
        <v>45292</v>
      </c>
      <c r="D606" s="8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">
        <v>45560</v>
      </c>
      <c r="M606" t="s">
        <v>3889</v>
      </c>
      <c r="N606" t="s">
        <v>3890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1">
        <v>45292</v>
      </c>
      <c r="D607" s="8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">
        <v>45603</v>
      </c>
      <c r="M607" t="s">
        <v>3891</v>
      </c>
      <c r="N607" t="s">
        <v>3892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1">
        <v>45292</v>
      </c>
      <c r="D608" s="8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">
        <v>45636</v>
      </c>
      <c r="M608" t="s">
        <v>3893</v>
      </c>
      <c r="N608" t="s">
        <v>3894</v>
      </c>
      <c r="O608">
        <v>4059</v>
      </c>
      <c r="P608" t="s">
        <v>3895</v>
      </c>
    </row>
    <row r="609" spans="1:16" ht="15" customHeight="1" x14ac:dyDescent="0.4">
      <c r="A609" t="s">
        <v>15</v>
      </c>
      <c r="B609" t="s">
        <v>16</v>
      </c>
      <c r="C609" s="11">
        <v>45292</v>
      </c>
      <c r="D609" s="8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">
        <v>45657</v>
      </c>
      <c r="M609" t="s">
        <v>3835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1">
        <v>45292</v>
      </c>
      <c r="D610" s="8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3676</v>
      </c>
      <c r="L610" s="1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1">
        <v>45292</v>
      </c>
      <c r="D611" s="8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3676</v>
      </c>
      <c r="L611" s="1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1">
        <v>45292</v>
      </c>
      <c r="D612" s="8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3676</v>
      </c>
      <c r="L612" s="1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1">
        <v>45292</v>
      </c>
      <c r="D613" s="8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3676</v>
      </c>
      <c r="L613" s="1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1">
        <v>45292</v>
      </c>
      <c r="D614" s="8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3676</v>
      </c>
      <c r="L614" s="1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1">
        <v>45292</v>
      </c>
      <c r="D615" s="8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3676</v>
      </c>
      <c r="L615" s="1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1">
        <v>45292</v>
      </c>
      <c r="D616" s="8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3676</v>
      </c>
      <c r="L616" s="1">
        <v>45493</v>
      </c>
      <c r="M616" t="s">
        <v>76</v>
      </c>
      <c r="N616" t="s">
        <v>3708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1">
        <v>45292</v>
      </c>
      <c r="D617" s="8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3676</v>
      </c>
      <c r="L617" s="1">
        <v>45532</v>
      </c>
      <c r="M617" t="s">
        <v>76</v>
      </c>
      <c r="N617" t="s">
        <v>3709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1">
        <v>45292</v>
      </c>
      <c r="D618" s="8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3676</v>
      </c>
      <c r="L618" s="1">
        <v>45555</v>
      </c>
      <c r="M618" t="s">
        <v>76</v>
      </c>
      <c r="N618" t="s">
        <v>3710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1">
        <v>45292</v>
      </c>
      <c r="D619" s="8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3676</v>
      </c>
      <c r="L619" s="1">
        <v>45585</v>
      </c>
      <c r="M619" t="s">
        <v>76</v>
      </c>
      <c r="N619" t="s">
        <v>3711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1">
        <v>45292</v>
      </c>
      <c r="D620" s="8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3676</v>
      </c>
      <c r="L620" s="1">
        <v>45618</v>
      </c>
      <c r="M620" t="s">
        <v>76</v>
      </c>
      <c r="N620" t="s">
        <v>3712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1">
        <v>45292</v>
      </c>
      <c r="D621" s="8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3676</v>
      </c>
      <c r="L621" s="1">
        <v>45647</v>
      </c>
      <c r="M621" t="s">
        <v>76</v>
      </c>
      <c r="N621" t="s">
        <v>3713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1">
        <v>45292</v>
      </c>
      <c r="D622" s="8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1">
        <v>45292</v>
      </c>
      <c r="D623" s="8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">
        <v>45657</v>
      </c>
      <c r="M623" t="s">
        <v>3803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1">
        <v>45292</v>
      </c>
      <c r="D624" s="8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">
        <v>45657</v>
      </c>
      <c r="M624" t="s">
        <v>3896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1">
        <v>45292</v>
      </c>
      <c r="D625" s="8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">
        <v>45657</v>
      </c>
      <c r="M625" t="s">
        <v>3846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1">
        <v>45292</v>
      </c>
      <c r="D626" s="8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1">
        <v>45292</v>
      </c>
      <c r="D627" s="8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1">
        <v>45292</v>
      </c>
      <c r="D628" s="8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1">
        <v>45292</v>
      </c>
      <c r="D629" s="8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1">
        <v>45292</v>
      </c>
      <c r="D630" s="8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1">
        <v>45292</v>
      </c>
      <c r="D631" s="8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1">
        <v>45292</v>
      </c>
      <c r="D632" s="8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">
        <v>45493</v>
      </c>
      <c r="M632" t="s">
        <v>76</v>
      </c>
      <c r="N632" t="s">
        <v>3708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1">
        <v>45292</v>
      </c>
      <c r="D633" s="8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">
        <v>45532</v>
      </c>
      <c r="M633" t="s">
        <v>76</v>
      </c>
      <c r="N633" t="s">
        <v>3709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1">
        <v>45292</v>
      </c>
      <c r="D634" s="8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">
        <v>45555</v>
      </c>
      <c r="M634" t="s">
        <v>76</v>
      </c>
      <c r="N634" t="s">
        <v>3710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1">
        <v>45292</v>
      </c>
      <c r="D635" s="8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">
        <v>45585</v>
      </c>
      <c r="M635" t="s">
        <v>76</v>
      </c>
      <c r="N635" t="s">
        <v>3711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1">
        <v>45292</v>
      </c>
      <c r="D636" s="8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">
        <v>45618</v>
      </c>
      <c r="M636" t="s">
        <v>76</v>
      </c>
      <c r="N636" t="s">
        <v>3712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1">
        <v>45292</v>
      </c>
      <c r="D637" s="8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">
        <v>45647</v>
      </c>
      <c r="M637" t="s">
        <v>76</v>
      </c>
      <c r="N637" t="s">
        <v>3713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1">
        <v>45292</v>
      </c>
      <c r="D638" s="8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">
        <v>45481</v>
      </c>
      <c r="M638" t="s">
        <v>3897</v>
      </c>
      <c r="N638" t="s">
        <v>3898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1">
        <v>45292</v>
      </c>
      <c r="D639" s="8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">
        <v>45526</v>
      </c>
      <c r="M639" t="s">
        <v>3897</v>
      </c>
      <c r="N639" t="s">
        <v>3899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1">
        <v>45292</v>
      </c>
      <c r="D640" s="8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">
        <v>45526</v>
      </c>
      <c r="M640" t="s">
        <v>3900</v>
      </c>
      <c r="N640" t="s">
        <v>3901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1">
        <v>45292</v>
      </c>
      <c r="D641" s="8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1">
        <v>45292</v>
      </c>
      <c r="D642" s="8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1">
        <v>45292</v>
      </c>
      <c r="D643" s="8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">
        <v>45526</v>
      </c>
      <c r="M643" t="s">
        <v>3902</v>
      </c>
      <c r="N643" t="s">
        <v>3903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1">
        <v>45292</v>
      </c>
      <c r="D644" s="8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">
        <v>45615</v>
      </c>
      <c r="M644" t="s">
        <v>3904</v>
      </c>
      <c r="N644" t="s">
        <v>3905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1">
        <v>45292</v>
      </c>
      <c r="D645" s="8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">
        <v>45352</v>
      </c>
      <c r="M645" t="s">
        <v>3906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1">
        <v>45292</v>
      </c>
      <c r="D646" s="8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">
        <v>45554</v>
      </c>
      <c r="M646" t="s">
        <v>3907</v>
      </c>
      <c r="N646" t="s">
        <v>3908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1">
        <v>45292</v>
      </c>
      <c r="D647" s="8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">
        <v>45657</v>
      </c>
      <c r="M647" t="s">
        <v>3909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1">
        <v>45292</v>
      </c>
      <c r="D648" s="8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">
        <v>45429</v>
      </c>
      <c r="M648" t="s">
        <v>3910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1">
        <v>45292</v>
      </c>
      <c r="D649" s="8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">
        <v>45468</v>
      </c>
      <c r="M649" t="s">
        <v>3910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1">
        <v>45292</v>
      </c>
      <c r="D650" s="8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">
        <v>45468</v>
      </c>
      <c r="M650" t="s">
        <v>3910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1">
        <v>45292</v>
      </c>
      <c r="D651" s="8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">
        <v>45469</v>
      </c>
      <c r="M651" t="s">
        <v>3911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1">
        <v>45292</v>
      </c>
      <c r="D652" s="8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">
        <v>45657</v>
      </c>
      <c r="M652" t="s">
        <v>3912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1">
        <v>45292</v>
      </c>
      <c r="D653" s="8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3683</v>
      </c>
      <c r="L653" s="1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1">
        <v>45292</v>
      </c>
      <c r="D654" s="8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3683</v>
      </c>
      <c r="L654" s="1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1">
        <v>45292</v>
      </c>
      <c r="D655" s="8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3683</v>
      </c>
      <c r="L655" s="1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1">
        <v>45292</v>
      </c>
      <c r="D656" s="8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3683</v>
      </c>
      <c r="L656" s="1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1">
        <v>45292</v>
      </c>
      <c r="D657" s="8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3683</v>
      </c>
      <c r="L657" s="1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1">
        <v>45292</v>
      </c>
      <c r="D658" s="8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3683</v>
      </c>
      <c r="L658" s="1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1">
        <v>45292</v>
      </c>
      <c r="D659" s="8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3683</v>
      </c>
      <c r="L659" s="1">
        <v>45495</v>
      </c>
      <c r="M659" t="s">
        <v>76</v>
      </c>
      <c r="N659" t="s">
        <v>3836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1">
        <v>45292</v>
      </c>
      <c r="D660" s="8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3683</v>
      </c>
      <c r="L660" s="1">
        <v>45530</v>
      </c>
      <c r="M660" t="s">
        <v>76</v>
      </c>
      <c r="N660" t="s">
        <v>3837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1">
        <v>45292</v>
      </c>
      <c r="D661" s="8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3683</v>
      </c>
      <c r="L661" s="1">
        <v>45587</v>
      </c>
      <c r="M661" t="s">
        <v>76</v>
      </c>
      <c r="N661" t="s">
        <v>3838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1">
        <v>45292</v>
      </c>
      <c r="D662" s="8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3683</v>
      </c>
      <c r="L662" s="1">
        <v>45610</v>
      </c>
      <c r="M662" t="s">
        <v>76</v>
      </c>
      <c r="N662" t="s">
        <v>3839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1">
        <v>45292</v>
      </c>
      <c r="D663" s="8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3683</v>
      </c>
      <c r="L663" s="1">
        <v>45618</v>
      </c>
      <c r="M663" t="s">
        <v>76</v>
      </c>
      <c r="N663" t="s">
        <v>3840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1">
        <v>45292</v>
      </c>
      <c r="D664" s="8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3683</v>
      </c>
      <c r="L664" s="1">
        <v>45648</v>
      </c>
      <c r="M664" t="s">
        <v>76</v>
      </c>
      <c r="N664" t="s">
        <v>3841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1">
        <v>45292</v>
      </c>
      <c r="D665" s="8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">
        <v>45526</v>
      </c>
      <c r="M665" t="s">
        <v>3913</v>
      </c>
      <c r="N665" t="s">
        <v>3914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1">
        <v>45292</v>
      </c>
      <c r="D666" s="8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">
        <v>45292</v>
      </c>
      <c r="M666" t="s">
        <v>3915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1">
        <v>45292</v>
      </c>
      <c r="D667" s="8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1">
        <v>45292</v>
      </c>
      <c r="D668" s="8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">
        <v>45446</v>
      </c>
      <c r="M668" t="s">
        <v>3916</v>
      </c>
      <c r="N668" t="s">
        <v>3917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1">
        <v>45292</v>
      </c>
      <c r="D669" s="8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">
        <v>45566</v>
      </c>
      <c r="M669" t="s">
        <v>3918</v>
      </c>
      <c r="N669" t="s">
        <v>3919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1">
        <v>45292</v>
      </c>
      <c r="D670" s="8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">
        <v>45657</v>
      </c>
      <c r="M670" t="s">
        <v>3920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1">
        <v>45292</v>
      </c>
      <c r="D671" s="8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">
        <v>45657</v>
      </c>
      <c r="M671" t="s">
        <v>3921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1">
        <v>45292</v>
      </c>
      <c r="D672" s="8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3683</v>
      </c>
      <c r="L672" s="1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1">
        <v>45292</v>
      </c>
      <c r="D673" s="8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3683</v>
      </c>
      <c r="L673" s="1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1">
        <v>45292</v>
      </c>
      <c r="D674" s="8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3683</v>
      </c>
      <c r="L674" s="1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1">
        <v>45292</v>
      </c>
      <c r="D675" s="8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3683</v>
      </c>
      <c r="L675" s="1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1">
        <v>45292</v>
      </c>
      <c r="D676" s="8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3683</v>
      </c>
      <c r="L676" s="1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1">
        <v>45292</v>
      </c>
      <c r="D677" s="8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3683</v>
      </c>
      <c r="L677" s="1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1">
        <v>45292</v>
      </c>
      <c r="D678" s="8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3683</v>
      </c>
      <c r="L678" s="1">
        <v>45495</v>
      </c>
      <c r="M678" t="s">
        <v>76</v>
      </c>
      <c r="N678" t="s">
        <v>3836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1">
        <v>45292</v>
      </c>
      <c r="D679" s="8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3683</v>
      </c>
      <c r="L679" s="1">
        <v>45530</v>
      </c>
      <c r="M679" t="s">
        <v>76</v>
      </c>
      <c r="N679" t="s">
        <v>3837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1">
        <v>45292</v>
      </c>
      <c r="D680" s="8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3683</v>
      </c>
      <c r="L680" s="1">
        <v>45587</v>
      </c>
      <c r="M680" t="s">
        <v>76</v>
      </c>
      <c r="N680" t="s">
        <v>3838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1">
        <v>45292</v>
      </c>
      <c r="D681" s="8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3683</v>
      </c>
      <c r="L681" s="1">
        <v>45610</v>
      </c>
      <c r="M681" t="s">
        <v>76</v>
      </c>
      <c r="N681" t="s">
        <v>3839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1">
        <v>45292</v>
      </c>
      <c r="D682" s="8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3683</v>
      </c>
      <c r="L682" s="1">
        <v>45618</v>
      </c>
      <c r="M682" t="s">
        <v>76</v>
      </c>
      <c r="N682" t="s">
        <v>3840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1">
        <v>45292</v>
      </c>
      <c r="D683" s="8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3683</v>
      </c>
      <c r="L683" s="1">
        <v>45648</v>
      </c>
      <c r="M683" t="s">
        <v>76</v>
      </c>
      <c r="N683" t="s">
        <v>3841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1">
        <v>45292</v>
      </c>
      <c r="D684" s="8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">
        <v>45526</v>
      </c>
      <c r="M684" t="s">
        <v>3922</v>
      </c>
      <c r="N684" t="s">
        <v>3923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1">
        <v>45292</v>
      </c>
      <c r="D685" s="8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">
        <v>45292</v>
      </c>
      <c r="M685" t="s">
        <v>3915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1">
        <v>45292</v>
      </c>
      <c r="D686" s="8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1">
        <v>45292</v>
      </c>
      <c r="D687" s="8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">
        <v>45474</v>
      </c>
      <c r="M687" t="s">
        <v>3916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1">
        <v>45292</v>
      </c>
      <c r="D688" s="8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">
        <v>45566</v>
      </c>
      <c r="M688" t="s">
        <v>3924</v>
      </c>
      <c r="N688" t="s">
        <v>3925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1">
        <v>45292</v>
      </c>
      <c r="D689" s="8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">
        <v>45657</v>
      </c>
      <c r="M689" t="s">
        <v>3926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1">
        <v>45292</v>
      </c>
      <c r="D690" s="8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1">
        <v>45292</v>
      </c>
      <c r="D691" s="8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1">
        <v>45292</v>
      </c>
      <c r="D692" s="8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">
        <v>45657</v>
      </c>
      <c r="M692" t="s">
        <v>3921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1">
        <v>45292</v>
      </c>
      <c r="D693" s="8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1">
        <v>45292</v>
      </c>
      <c r="D694" s="8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1">
        <v>45292</v>
      </c>
      <c r="D695" s="8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1">
        <v>45292</v>
      </c>
      <c r="D696" s="8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1">
        <v>45292</v>
      </c>
      <c r="D697" s="8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1">
        <v>45292</v>
      </c>
      <c r="D698" s="8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1">
        <v>45292</v>
      </c>
      <c r="D699" s="8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">
        <v>45486</v>
      </c>
      <c r="M699" t="s">
        <v>76</v>
      </c>
      <c r="N699" t="s">
        <v>3927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1">
        <v>45292</v>
      </c>
      <c r="D700" s="8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">
        <v>45517</v>
      </c>
      <c r="M700" t="s">
        <v>76</v>
      </c>
      <c r="N700" t="s">
        <v>3928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1">
        <v>45292</v>
      </c>
      <c r="D701" s="8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">
        <v>45548</v>
      </c>
      <c r="M701" t="s">
        <v>76</v>
      </c>
      <c r="N701" t="s">
        <v>3929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1">
        <v>45292</v>
      </c>
      <c r="D702" s="8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">
        <v>45578</v>
      </c>
      <c r="M702" t="s">
        <v>76</v>
      </c>
      <c r="N702" t="s">
        <v>3930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1">
        <v>45292</v>
      </c>
      <c r="D703" s="8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">
        <v>45618</v>
      </c>
      <c r="M703" t="s">
        <v>76</v>
      </c>
      <c r="N703" t="s">
        <v>3931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1">
        <v>45292</v>
      </c>
      <c r="D704" s="8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">
        <v>45639</v>
      </c>
      <c r="M704" t="s">
        <v>76</v>
      </c>
      <c r="N704" t="s">
        <v>3932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1">
        <v>45292</v>
      </c>
      <c r="D705" s="8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">
        <v>45657</v>
      </c>
      <c r="M705" t="s">
        <v>3933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1">
        <v>45292</v>
      </c>
      <c r="D706" s="8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1">
        <v>45292</v>
      </c>
      <c r="D707" s="8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1">
        <v>45292</v>
      </c>
      <c r="D708" s="8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1">
        <v>45292</v>
      </c>
      <c r="D709" s="8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1">
        <v>45292</v>
      </c>
      <c r="D710" s="8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1">
        <v>45292</v>
      </c>
      <c r="D711" s="8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1">
        <v>45292</v>
      </c>
      <c r="D712" s="8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1">
        <v>45292</v>
      </c>
      <c r="D713" s="8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">
        <v>45486</v>
      </c>
      <c r="M713" t="s">
        <v>76</v>
      </c>
      <c r="N713" t="s">
        <v>3934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1">
        <v>45292</v>
      </c>
      <c r="D714" s="8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">
        <v>45504</v>
      </c>
      <c r="M714" t="s">
        <v>76</v>
      </c>
      <c r="N714" t="s">
        <v>3935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1">
        <v>45292</v>
      </c>
      <c r="D715" s="8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">
        <v>45517</v>
      </c>
      <c r="M715" t="s">
        <v>76</v>
      </c>
      <c r="N715" t="s">
        <v>3936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1">
        <v>45292</v>
      </c>
      <c r="D716" s="8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">
        <v>45518</v>
      </c>
      <c r="M716" t="s">
        <v>76</v>
      </c>
      <c r="N716" t="s">
        <v>3937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1">
        <v>45292</v>
      </c>
      <c r="D717" s="8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">
        <v>45548</v>
      </c>
      <c r="M717" t="s">
        <v>76</v>
      </c>
      <c r="N717" t="s">
        <v>3938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1">
        <v>45292</v>
      </c>
      <c r="D718" s="8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">
        <v>45610</v>
      </c>
      <c r="M718" t="s">
        <v>76</v>
      </c>
      <c r="N718" t="s">
        <v>3939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1">
        <v>45292</v>
      </c>
      <c r="D719" s="8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">
        <v>45624</v>
      </c>
      <c r="M719" t="s">
        <v>76</v>
      </c>
      <c r="N719" t="s">
        <v>3940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1">
        <v>45292</v>
      </c>
      <c r="D720" s="8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">
        <v>45639</v>
      </c>
      <c r="M720" t="s">
        <v>76</v>
      </c>
      <c r="N720" t="s">
        <v>3941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1">
        <v>45292</v>
      </c>
      <c r="D721" s="8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">
        <v>45657</v>
      </c>
      <c r="M721" t="s">
        <v>3942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1">
        <v>45292</v>
      </c>
      <c r="D722" s="8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1">
        <v>45292</v>
      </c>
      <c r="D723" s="8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1">
        <v>45292</v>
      </c>
      <c r="D724" s="8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1">
        <v>45292</v>
      </c>
      <c r="D725" s="8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1">
        <v>45292</v>
      </c>
      <c r="D726" s="8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1">
        <v>45292</v>
      </c>
      <c r="D727" s="8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1">
        <v>45292</v>
      </c>
      <c r="D728" s="8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1">
        <v>45292</v>
      </c>
      <c r="D729" s="8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">
        <v>45486</v>
      </c>
      <c r="M729" t="s">
        <v>76</v>
      </c>
      <c r="N729" t="s">
        <v>3934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1">
        <v>45292</v>
      </c>
      <c r="D730" s="8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">
        <v>45504</v>
      </c>
      <c r="M730" t="s">
        <v>76</v>
      </c>
      <c r="N730" t="s">
        <v>3935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1">
        <v>45292</v>
      </c>
      <c r="D731" s="8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">
        <v>45517</v>
      </c>
      <c r="M731" t="s">
        <v>76</v>
      </c>
      <c r="N731" t="s">
        <v>3936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1">
        <v>45292</v>
      </c>
      <c r="D732" s="8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">
        <v>45518</v>
      </c>
      <c r="M732" t="s">
        <v>76</v>
      </c>
      <c r="N732" t="s">
        <v>3937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1">
        <v>45292</v>
      </c>
      <c r="D733" s="8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">
        <v>45548</v>
      </c>
      <c r="M733" t="s">
        <v>76</v>
      </c>
      <c r="N733" t="s">
        <v>3938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1">
        <v>45292</v>
      </c>
      <c r="D734" s="8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">
        <v>45610</v>
      </c>
      <c r="M734" t="s">
        <v>76</v>
      </c>
      <c r="N734" t="s">
        <v>3939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1">
        <v>45292</v>
      </c>
      <c r="D735" s="8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">
        <v>45624</v>
      </c>
      <c r="M735" t="s">
        <v>76</v>
      </c>
      <c r="N735" t="s">
        <v>3940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1">
        <v>45292</v>
      </c>
      <c r="D736" s="8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">
        <v>45639</v>
      </c>
      <c r="M736" t="s">
        <v>76</v>
      </c>
      <c r="N736" t="s">
        <v>3941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1">
        <v>45292</v>
      </c>
      <c r="D737" s="8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">
        <v>45657</v>
      </c>
      <c r="M737" t="s">
        <v>3943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1">
        <v>45292</v>
      </c>
      <c r="D738" s="8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1">
        <v>45292</v>
      </c>
      <c r="D739" s="8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">
        <v>45637</v>
      </c>
      <c r="M739" t="s">
        <v>3944</v>
      </c>
      <c r="N739" t="s">
        <v>3945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1">
        <v>45292</v>
      </c>
      <c r="D740" s="8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3697</v>
      </c>
      <c r="L740" s="1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1">
        <v>45292</v>
      </c>
      <c r="D741" s="8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3697</v>
      </c>
      <c r="L741" s="1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1">
        <v>45292</v>
      </c>
      <c r="D742" s="8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3697</v>
      </c>
      <c r="L742" s="1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1">
        <v>45292</v>
      </c>
      <c r="D743" s="8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3697</v>
      </c>
      <c r="L743" s="1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1">
        <v>45292</v>
      </c>
      <c r="D744" s="8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3697</v>
      </c>
      <c r="L744" s="1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1">
        <v>45292</v>
      </c>
      <c r="D745" s="8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3697</v>
      </c>
      <c r="L745" s="1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1">
        <v>45292</v>
      </c>
      <c r="D746" s="8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3697</v>
      </c>
      <c r="L746" s="1">
        <v>45495</v>
      </c>
      <c r="M746" t="s">
        <v>76</v>
      </c>
      <c r="N746" t="s">
        <v>3836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1">
        <v>45292</v>
      </c>
      <c r="D747" s="8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3697</v>
      </c>
      <c r="L747" s="1">
        <v>45530</v>
      </c>
      <c r="M747" t="s">
        <v>76</v>
      </c>
      <c r="N747" t="s">
        <v>3837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1">
        <v>45292</v>
      </c>
      <c r="D748" s="8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3697</v>
      </c>
      <c r="L748" s="1">
        <v>45587</v>
      </c>
      <c r="M748" t="s">
        <v>76</v>
      </c>
      <c r="N748" t="s">
        <v>3838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1">
        <v>45292</v>
      </c>
      <c r="D749" s="8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3697</v>
      </c>
      <c r="L749" s="1">
        <v>45610</v>
      </c>
      <c r="M749" t="s">
        <v>76</v>
      </c>
      <c r="N749" t="s">
        <v>3839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1">
        <v>45292</v>
      </c>
      <c r="D750" s="8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3697</v>
      </c>
      <c r="L750" s="1">
        <v>45618</v>
      </c>
      <c r="M750" t="s">
        <v>76</v>
      </c>
      <c r="N750" t="s">
        <v>3840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1">
        <v>45292</v>
      </c>
      <c r="D751" s="8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3697</v>
      </c>
      <c r="L751" s="1">
        <v>45648</v>
      </c>
      <c r="M751" t="s">
        <v>76</v>
      </c>
      <c r="N751" t="s">
        <v>3841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1">
        <v>45292</v>
      </c>
      <c r="D752" s="8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1">
        <v>45292</v>
      </c>
      <c r="D753" s="8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3697</v>
      </c>
      <c r="L753" s="1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1">
        <v>45292</v>
      </c>
      <c r="D754" s="8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3697</v>
      </c>
      <c r="L754" s="1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1">
        <v>45292</v>
      </c>
      <c r="D755" s="8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3697</v>
      </c>
      <c r="L755" s="1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1">
        <v>45292</v>
      </c>
      <c r="D756" s="8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3697</v>
      </c>
      <c r="L756" s="1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1">
        <v>45292</v>
      </c>
      <c r="D757" s="8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3697</v>
      </c>
      <c r="L757" s="1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1">
        <v>45292</v>
      </c>
      <c r="D758" s="8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3697</v>
      </c>
      <c r="L758" s="1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1">
        <v>45292</v>
      </c>
      <c r="D759" s="8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3697</v>
      </c>
      <c r="L759" s="1">
        <v>45495</v>
      </c>
      <c r="M759" t="s">
        <v>76</v>
      </c>
      <c r="N759" t="s">
        <v>3836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1">
        <v>45292</v>
      </c>
      <c r="D760" s="8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3697</v>
      </c>
      <c r="L760" s="1">
        <v>45530</v>
      </c>
      <c r="M760" t="s">
        <v>76</v>
      </c>
      <c r="N760" t="s">
        <v>3837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1">
        <v>45292</v>
      </c>
      <c r="D761" s="8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3697</v>
      </c>
      <c r="L761" s="1">
        <v>45587</v>
      </c>
      <c r="M761" t="s">
        <v>76</v>
      </c>
      <c r="N761" t="s">
        <v>3838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1">
        <v>45292</v>
      </c>
      <c r="D762" s="8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3697</v>
      </c>
      <c r="L762" s="1">
        <v>45610</v>
      </c>
      <c r="M762" t="s">
        <v>76</v>
      </c>
      <c r="N762" t="s">
        <v>3839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1">
        <v>45292</v>
      </c>
      <c r="D763" s="8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3697</v>
      </c>
      <c r="L763" s="1">
        <v>45618</v>
      </c>
      <c r="M763" t="s">
        <v>76</v>
      </c>
      <c r="N763" t="s">
        <v>3840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1">
        <v>45292</v>
      </c>
      <c r="D764" s="8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3697</v>
      </c>
      <c r="L764" s="1">
        <v>45648</v>
      </c>
      <c r="M764" t="s">
        <v>76</v>
      </c>
      <c r="N764" t="s">
        <v>3841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1">
        <v>45292</v>
      </c>
      <c r="D765" s="8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3697</v>
      </c>
      <c r="L765" s="1">
        <v>45657</v>
      </c>
      <c r="M765" t="s">
        <v>3946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1">
        <v>44927</v>
      </c>
      <c r="D766" s="8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1">
        <v>44927</v>
      </c>
      <c r="D767" s="8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1">
        <v>44927</v>
      </c>
      <c r="D768" s="8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1">
        <v>44927</v>
      </c>
      <c r="D769" s="8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1">
        <v>44927</v>
      </c>
      <c r="D770" s="8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1">
        <v>44927</v>
      </c>
      <c r="D771" s="8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1">
        <v>44927</v>
      </c>
      <c r="D772" s="8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1">
        <v>44927</v>
      </c>
      <c r="D773" s="8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1">
        <v>44927</v>
      </c>
      <c r="D774" s="8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1">
        <v>44927</v>
      </c>
      <c r="D775" s="8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1">
        <v>44927</v>
      </c>
      <c r="D776" s="8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1">
        <v>44927</v>
      </c>
      <c r="D777" s="8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1">
        <v>44927</v>
      </c>
      <c r="D778" s="8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1">
        <v>44927</v>
      </c>
      <c r="D779" s="8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1">
        <v>44927</v>
      </c>
      <c r="D780" s="8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1">
        <v>44927</v>
      </c>
      <c r="D781" s="8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3587</v>
      </c>
      <c r="L781" s="1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1">
        <v>44927</v>
      </c>
      <c r="D782" s="8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3587</v>
      </c>
      <c r="L782" s="1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1">
        <v>44927</v>
      </c>
      <c r="D783" s="8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3587</v>
      </c>
      <c r="L783" s="1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1">
        <v>44927</v>
      </c>
      <c r="D784" s="8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3587</v>
      </c>
      <c r="L784" s="1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1">
        <v>44927</v>
      </c>
      <c r="D785" s="8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3587</v>
      </c>
      <c r="L785" s="1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1">
        <v>44927</v>
      </c>
      <c r="D786" s="8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3587</v>
      </c>
      <c r="L786" s="1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1">
        <v>44927</v>
      </c>
      <c r="D787" s="8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3587</v>
      </c>
      <c r="L787" s="1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1">
        <v>44927</v>
      </c>
      <c r="D788" s="8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3587</v>
      </c>
      <c r="L788" s="1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1">
        <v>44927</v>
      </c>
      <c r="D789" s="8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3587</v>
      </c>
      <c r="L789" s="1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1">
        <v>44927</v>
      </c>
      <c r="D790" s="8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3587</v>
      </c>
      <c r="L790" s="1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1">
        <v>44927</v>
      </c>
      <c r="D791" s="8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3587</v>
      </c>
      <c r="L791" s="1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1">
        <v>44927</v>
      </c>
      <c r="D792" s="8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3587</v>
      </c>
      <c r="L792" s="1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1">
        <v>44927</v>
      </c>
      <c r="D793" s="8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3591</v>
      </c>
      <c r="L793" s="1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1">
        <v>44927</v>
      </c>
      <c r="D794" s="8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3591</v>
      </c>
      <c r="L794" s="1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1">
        <v>44927</v>
      </c>
      <c r="D795" s="8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3591</v>
      </c>
      <c r="L795" s="1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1">
        <v>44927</v>
      </c>
      <c r="D796" s="8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3591</v>
      </c>
      <c r="L796" s="1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1">
        <v>44927</v>
      </c>
      <c r="D797" s="8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3591</v>
      </c>
      <c r="L797" s="1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1">
        <v>44927</v>
      </c>
      <c r="D798" s="8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3591</v>
      </c>
      <c r="L798" s="1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1">
        <v>44927</v>
      </c>
      <c r="D799" s="8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3591</v>
      </c>
      <c r="L799" s="1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1">
        <v>44927</v>
      </c>
      <c r="D800" s="8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3591</v>
      </c>
      <c r="L800" s="1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1">
        <v>44927</v>
      </c>
      <c r="D801" s="8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3591</v>
      </c>
      <c r="L801" s="1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1">
        <v>44927</v>
      </c>
      <c r="D802" s="8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3591</v>
      </c>
      <c r="L802" s="1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1">
        <v>44927</v>
      </c>
      <c r="D803" s="8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3591</v>
      </c>
      <c r="L803" s="1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1">
        <v>44927</v>
      </c>
      <c r="D804" s="8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3591</v>
      </c>
      <c r="L804" s="1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1">
        <v>44927</v>
      </c>
      <c r="D805" s="8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3591</v>
      </c>
      <c r="L805" s="1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1">
        <v>44927</v>
      </c>
      <c r="D806" s="8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1">
        <v>44927</v>
      </c>
      <c r="D807" s="8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1">
        <v>44927</v>
      </c>
      <c r="D808" s="8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1">
        <v>44927</v>
      </c>
      <c r="D809" s="8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1">
        <v>44927</v>
      </c>
      <c r="D810" s="8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1">
        <v>44927</v>
      </c>
      <c r="D811" s="8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1">
        <v>44927</v>
      </c>
      <c r="D812" s="8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1">
        <v>44927</v>
      </c>
      <c r="D813" s="8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1">
        <v>44927</v>
      </c>
      <c r="D814" s="8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1">
        <v>44927</v>
      </c>
      <c r="D815" s="8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1">
        <v>44927</v>
      </c>
      <c r="D816" s="8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1">
        <v>44927</v>
      </c>
      <c r="D817" s="8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1">
        <v>44927</v>
      </c>
      <c r="D818" s="8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1">
        <v>44927</v>
      </c>
      <c r="D819" s="8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1">
        <v>44927</v>
      </c>
      <c r="D820" s="8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1">
        <v>44927</v>
      </c>
      <c r="D821" s="8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1">
        <v>44927</v>
      </c>
      <c r="D822" s="8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1">
        <v>44927</v>
      </c>
      <c r="D823" s="8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1">
        <v>44927</v>
      </c>
      <c r="D824" s="8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1">
        <v>44927</v>
      </c>
      <c r="D825" s="8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1">
        <v>44927</v>
      </c>
      <c r="D826" s="8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1">
        <v>44927</v>
      </c>
      <c r="D827" s="8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1">
        <v>44927</v>
      </c>
      <c r="D828" s="8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1">
        <v>44927</v>
      </c>
      <c r="D829" s="8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1">
        <v>44927</v>
      </c>
      <c r="D830" s="8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1">
        <v>44927</v>
      </c>
      <c r="D831" s="8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1">
        <v>44927</v>
      </c>
      <c r="D832" s="8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1">
        <v>44927</v>
      </c>
      <c r="D833" s="8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1">
        <v>44927</v>
      </c>
      <c r="D834" s="8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1">
        <v>44927</v>
      </c>
      <c r="D835" s="8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1">
        <v>44927</v>
      </c>
      <c r="D836" s="8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1">
        <v>44927</v>
      </c>
      <c r="D837" s="8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1">
        <v>44927</v>
      </c>
      <c r="D838" s="8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1">
        <v>44927</v>
      </c>
      <c r="D839" s="8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1">
        <v>44927</v>
      </c>
      <c r="D840" s="8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1">
        <v>44927</v>
      </c>
      <c r="D841" s="8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1">
        <v>44927</v>
      </c>
      <c r="D842" s="8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1">
        <v>44927</v>
      </c>
      <c r="D843" s="8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1">
        <v>44927</v>
      </c>
      <c r="D844" s="8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1">
        <v>44927</v>
      </c>
      <c r="D845" s="8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1">
        <v>44927</v>
      </c>
      <c r="D846" s="8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1">
        <v>44927</v>
      </c>
      <c r="D847" s="8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1">
        <v>44927</v>
      </c>
      <c r="D848" s="8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1">
        <v>44927</v>
      </c>
      <c r="D849" s="8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1">
        <v>44927</v>
      </c>
      <c r="D850" s="8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1">
        <v>44927</v>
      </c>
      <c r="D851" s="8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1">
        <v>44927</v>
      </c>
      <c r="D852" s="8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1">
        <v>44927</v>
      </c>
      <c r="D853" s="8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1">
        <v>44927</v>
      </c>
      <c r="D854" s="8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1">
        <v>44927</v>
      </c>
      <c r="D855" s="8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1">
        <v>44927</v>
      </c>
      <c r="D856" s="8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1">
        <v>44927</v>
      </c>
      <c r="D857" s="8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1">
        <v>44927</v>
      </c>
      <c r="D858" s="8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1">
        <v>44927</v>
      </c>
      <c r="D859" s="8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1">
        <v>44927</v>
      </c>
      <c r="D860" s="8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1">
        <v>44927</v>
      </c>
      <c r="D861" s="8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1">
        <v>44927</v>
      </c>
      <c r="D862" s="8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1">
        <v>44927</v>
      </c>
      <c r="D863" s="8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1">
        <v>44927</v>
      </c>
      <c r="D864" s="8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1">
        <v>44927</v>
      </c>
      <c r="D865" s="8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1">
        <v>44927</v>
      </c>
      <c r="D866" s="8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1">
        <v>44927</v>
      </c>
      <c r="D867" s="8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1">
        <v>44927</v>
      </c>
      <c r="D868" s="8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1">
        <v>44927</v>
      </c>
      <c r="D869" s="8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1">
        <v>44927</v>
      </c>
      <c r="D870" s="8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1">
        <v>44927</v>
      </c>
      <c r="D871" s="8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1">
        <v>44927</v>
      </c>
      <c r="D872" s="8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1">
        <v>44927</v>
      </c>
      <c r="D873" s="8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1">
        <v>44927</v>
      </c>
      <c r="D874" s="8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1">
        <v>44927</v>
      </c>
      <c r="D875" s="8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1">
        <v>44927</v>
      </c>
      <c r="D876" s="8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1">
        <v>44927</v>
      </c>
      <c r="D877" s="8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1">
        <v>44927</v>
      </c>
      <c r="D878" s="8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1">
        <v>44927</v>
      </c>
      <c r="D879" s="8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1">
        <v>44927</v>
      </c>
      <c r="D880" s="8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1">
        <v>44927</v>
      </c>
      <c r="D881" s="8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1">
        <v>44927</v>
      </c>
      <c r="D882" s="8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1">
        <v>44927</v>
      </c>
      <c r="D883" s="8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1">
        <v>44927</v>
      </c>
      <c r="D884" s="8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1">
        <v>44927</v>
      </c>
      <c r="D885" s="8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1">
        <v>44927</v>
      </c>
      <c r="D886" s="8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1">
        <v>44927</v>
      </c>
      <c r="D887" s="8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1">
        <v>44927</v>
      </c>
      <c r="D888" s="8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1">
        <v>44927</v>
      </c>
      <c r="D889" s="8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1">
        <v>44927</v>
      </c>
      <c r="D890" s="8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1">
        <v>44927</v>
      </c>
      <c r="D891" s="8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1">
        <v>44927</v>
      </c>
      <c r="D892" s="8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1">
        <v>44927</v>
      </c>
      <c r="D893" s="8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1">
        <v>44927</v>
      </c>
      <c r="D894" s="8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1">
        <v>44927</v>
      </c>
      <c r="D895" s="8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1">
        <v>44927</v>
      </c>
      <c r="D896" s="8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1">
        <v>44927</v>
      </c>
      <c r="D897" s="8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1">
        <v>44927</v>
      </c>
      <c r="D898" s="8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1">
        <v>44927</v>
      </c>
      <c r="D899" s="8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1">
        <v>44927</v>
      </c>
      <c r="D900" s="8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1">
        <v>44927</v>
      </c>
      <c r="D901" s="8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1">
        <v>44927</v>
      </c>
      <c r="D902" s="8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1">
        <v>44927</v>
      </c>
      <c r="D903" s="8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1">
        <v>44927</v>
      </c>
      <c r="D904" s="8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1">
        <v>44927</v>
      </c>
      <c r="D905" s="8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1">
        <v>44927</v>
      </c>
      <c r="D906" s="8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1">
        <v>44927</v>
      </c>
      <c r="D907" s="8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1">
        <v>44927</v>
      </c>
      <c r="D908" s="8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1">
        <v>44927</v>
      </c>
      <c r="D909" s="8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1">
        <v>44927</v>
      </c>
      <c r="D910" s="8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1">
        <v>44927</v>
      </c>
      <c r="D911" s="8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1">
        <v>44927</v>
      </c>
      <c r="D912" s="8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1">
        <v>44927</v>
      </c>
      <c r="D913" s="8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1">
        <v>44927</v>
      </c>
      <c r="D914" s="8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1">
        <v>44927</v>
      </c>
      <c r="D915" s="8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1">
        <v>44927</v>
      </c>
      <c r="D916" s="8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1">
        <v>44927</v>
      </c>
      <c r="D917" s="8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1">
        <v>44927</v>
      </c>
      <c r="D918" s="8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1">
        <v>44927</v>
      </c>
      <c r="D919" s="8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1">
        <v>44927</v>
      </c>
      <c r="D920" s="8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1">
        <v>44927</v>
      </c>
      <c r="D921" s="8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1">
        <v>44927</v>
      </c>
      <c r="D922" s="8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1">
        <v>44927</v>
      </c>
      <c r="D923" s="8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1">
        <v>44927</v>
      </c>
      <c r="D924" s="8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1">
        <v>44927</v>
      </c>
      <c r="D925" s="8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1">
        <v>44927</v>
      </c>
      <c r="D926" s="8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1">
        <v>44927</v>
      </c>
      <c r="D927" s="8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1">
        <v>44927</v>
      </c>
      <c r="D928" s="8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1">
        <v>44927</v>
      </c>
      <c r="D929" s="8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1">
        <v>44927</v>
      </c>
      <c r="D930" s="8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1">
        <v>44927</v>
      </c>
      <c r="D931" s="8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1">
        <v>44927</v>
      </c>
      <c r="D932" s="8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1">
        <v>44927</v>
      </c>
      <c r="D933" s="8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1">
        <v>44927</v>
      </c>
      <c r="D934" s="8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1">
        <v>44927</v>
      </c>
      <c r="D935" s="8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1">
        <v>44927</v>
      </c>
      <c r="D936" s="8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1">
        <v>44927</v>
      </c>
      <c r="D937" s="8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1">
        <v>44927</v>
      </c>
      <c r="D938" s="8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1">
        <v>44927</v>
      </c>
      <c r="D939" s="8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1">
        <v>44927</v>
      </c>
      <c r="D940" s="8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1">
        <v>44927</v>
      </c>
      <c r="D941" s="8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1">
        <v>44927</v>
      </c>
      <c r="D942" s="8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1">
        <v>44927</v>
      </c>
      <c r="D943" s="8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1">
        <v>44927</v>
      </c>
      <c r="D944" s="8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1">
        <v>44927</v>
      </c>
      <c r="D945" s="8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1">
        <v>44927</v>
      </c>
      <c r="D946" s="8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1">
        <v>44927</v>
      </c>
      <c r="D947" s="8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1">
        <v>44927</v>
      </c>
      <c r="D948" s="8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1">
        <v>44927</v>
      </c>
      <c r="D949" s="8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1">
        <v>44927</v>
      </c>
      <c r="D950" s="8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1">
        <v>44927</v>
      </c>
      <c r="D951" s="8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1">
        <v>44927</v>
      </c>
      <c r="D952" s="8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1">
        <v>44927</v>
      </c>
      <c r="D953" s="8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1">
        <v>44927</v>
      </c>
      <c r="D954" s="8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1">
        <v>44927</v>
      </c>
      <c r="D955" s="8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1">
        <v>44927</v>
      </c>
      <c r="D956" s="8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1">
        <v>44927</v>
      </c>
      <c r="D957" s="8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1">
        <v>44927</v>
      </c>
      <c r="D958" s="8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1">
        <v>44927</v>
      </c>
      <c r="D959" s="8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1">
        <v>44927</v>
      </c>
      <c r="D960" s="8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1">
        <v>44927</v>
      </c>
      <c r="D961" s="8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1">
        <v>44927</v>
      </c>
      <c r="D962" s="8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1">
        <v>44927</v>
      </c>
      <c r="D963" s="8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1">
        <v>44927</v>
      </c>
      <c r="D964" s="8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1">
        <v>44927</v>
      </c>
      <c r="D965" s="8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1">
        <v>44927</v>
      </c>
      <c r="D966" s="8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1">
        <v>44927</v>
      </c>
      <c r="D967" s="8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1">
        <v>44927</v>
      </c>
      <c r="D968" s="8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1">
        <v>44927</v>
      </c>
      <c r="D969" s="8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1">
        <v>44927</v>
      </c>
      <c r="D970" s="8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1">
        <v>44927</v>
      </c>
      <c r="D971" s="8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1">
        <v>44927</v>
      </c>
      <c r="D972" s="8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1">
        <v>44927</v>
      </c>
      <c r="D973" s="8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1">
        <v>44927</v>
      </c>
      <c r="D974" s="8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1">
        <v>44927</v>
      </c>
      <c r="D975" s="8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1">
        <v>44927</v>
      </c>
      <c r="D976" s="8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1">
        <v>44927</v>
      </c>
      <c r="D977" s="8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1">
        <v>44927</v>
      </c>
      <c r="D978" s="8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1">
        <v>44927</v>
      </c>
      <c r="D979" s="8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1">
        <v>44927</v>
      </c>
      <c r="D980" s="8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1">
        <v>44927</v>
      </c>
      <c r="D981" s="8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1">
        <v>44927</v>
      </c>
      <c r="D982" s="8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1">
        <v>44927</v>
      </c>
      <c r="D983" s="8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1">
        <v>44927</v>
      </c>
      <c r="D984" s="8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1">
        <v>44927</v>
      </c>
      <c r="D985" s="8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1">
        <v>44927</v>
      </c>
      <c r="D986" s="8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1">
        <v>44927</v>
      </c>
      <c r="D987" s="8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1">
        <v>44927</v>
      </c>
      <c r="D988" s="8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1">
        <v>44927</v>
      </c>
      <c r="D989" s="8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3658</v>
      </c>
      <c r="L989" s="1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1">
        <v>44927</v>
      </c>
      <c r="D990" s="8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3658</v>
      </c>
      <c r="L990" s="1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1">
        <v>44927</v>
      </c>
      <c r="D991" s="8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3658</v>
      </c>
      <c r="L991" s="1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1">
        <v>44927</v>
      </c>
      <c r="D992" s="8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3658</v>
      </c>
      <c r="L992" s="1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1">
        <v>44927</v>
      </c>
      <c r="D993" s="8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3658</v>
      </c>
      <c r="L993" s="1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1">
        <v>44927</v>
      </c>
      <c r="D994" s="8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3658</v>
      </c>
      <c r="L994" s="1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1">
        <v>44927</v>
      </c>
      <c r="D995" s="8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3658</v>
      </c>
      <c r="L995" s="1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1">
        <v>44927</v>
      </c>
      <c r="D996" s="8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3658</v>
      </c>
      <c r="L996" s="1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1">
        <v>44927</v>
      </c>
      <c r="D997" s="8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3658</v>
      </c>
      <c r="L997" s="1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1">
        <v>44927</v>
      </c>
      <c r="D998" s="8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3658</v>
      </c>
      <c r="L998" s="1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1">
        <v>44927</v>
      </c>
      <c r="D999" s="8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3658</v>
      </c>
      <c r="L999" s="1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1">
        <v>44927</v>
      </c>
      <c r="D1000" s="8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3658</v>
      </c>
      <c r="L1000" s="1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1">
        <v>44927</v>
      </c>
      <c r="D1001" s="8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1">
        <v>44927</v>
      </c>
      <c r="D1002" s="8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1">
        <v>44927</v>
      </c>
      <c r="D1003" s="8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1">
        <v>44927</v>
      </c>
      <c r="D1004" s="8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1">
        <v>44927</v>
      </c>
      <c r="D1005" s="8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1">
        <v>44927</v>
      </c>
      <c r="D1006" s="8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1">
        <v>44927</v>
      </c>
      <c r="D1007" s="8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1">
        <v>44927</v>
      </c>
      <c r="D1008" s="8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1">
        <v>44927</v>
      </c>
      <c r="D1009" s="8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1">
        <v>44927</v>
      </c>
      <c r="D1010" s="8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1">
        <v>44927</v>
      </c>
      <c r="D1011" s="8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1">
        <v>44927</v>
      </c>
      <c r="D1012" s="8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1">
        <v>44927</v>
      </c>
      <c r="D1013" s="8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1">
        <v>44927</v>
      </c>
      <c r="D1014" s="8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1">
        <v>44927</v>
      </c>
      <c r="D1015" s="8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1">
        <v>44927</v>
      </c>
      <c r="D1016" s="8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1">
        <v>44927</v>
      </c>
      <c r="D1017" s="8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1">
        <v>44927</v>
      </c>
      <c r="D1018" s="8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1">
        <v>44927</v>
      </c>
      <c r="D1019" s="8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1">
        <v>44927</v>
      </c>
      <c r="D1020" s="8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1">
        <v>44927</v>
      </c>
      <c r="D1021" s="8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1">
        <v>44927</v>
      </c>
      <c r="D1022" s="8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1">
        <v>44927</v>
      </c>
      <c r="D1023" s="8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1">
        <v>44927</v>
      </c>
      <c r="D1024" s="8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1">
        <v>44927</v>
      </c>
      <c r="D1025" s="8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1">
        <v>44927</v>
      </c>
      <c r="D1026" s="8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1">
        <v>44927</v>
      </c>
      <c r="D1027" s="8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1">
        <v>44927</v>
      </c>
      <c r="D1028" s="8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1">
        <v>44927</v>
      </c>
      <c r="D1029" s="8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1">
        <v>44927</v>
      </c>
      <c r="D1030" s="8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1">
        <v>44927</v>
      </c>
      <c r="D1031" s="8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1">
        <v>44927</v>
      </c>
      <c r="D1032" s="8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1">
        <v>44927</v>
      </c>
      <c r="D1033" s="8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1">
        <v>44927</v>
      </c>
      <c r="D1034" s="8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1">
        <v>44927</v>
      </c>
      <c r="D1035" s="8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1">
        <v>44927</v>
      </c>
      <c r="D1036" s="8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1">
        <v>44927</v>
      </c>
      <c r="D1037" s="8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1">
        <v>44927</v>
      </c>
      <c r="D1038" s="8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1">
        <v>44927</v>
      </c>
      <c r="D1039" s="8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1">
        <v>44927</v>
      </c>
      <c r="D1040" s="8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1">
        <v>44927</v>
      </c>
      <c r="D1041" s="8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1">
        <v>44927</v>
      </c>
      <c r="D1042" s="8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1">
        <v>44927</v>
      </c>
      <c r="D1043" s="8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1">
        <v>44927</v>
      </c>
      <c r="D1044" s="8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1">
        <v>44927</v>
      </c>
      <c r="D1045" s="8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1">
        <v>44927</v>
      </c>
      <c r="D1046" s="8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1">
        <v>44927</v>
      </c>
      <c r="D1047" s="8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1">
        <v>44927</v>
      </c>
      <c r="D1048" s="8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1">
        <v>44927</v>
      </c>
      <c r="D1049" s="8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1">
        <v>44927</v>
      </c>
      <c r="D1050" s="8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1">
        <v>44927</v>
      </c>
      <c r="D1051" s="8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1">
        <v>44927</v>
      </c>
      <c r="D1052" s="8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1">
        <v>44927</v>
      </c>
      <c r="D1053" s="8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3673</v>
      </c>
      <c r="L1053" s="1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1">
        <v>44927</v>
      </c>
      <c r="D1054" s="8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3673</v>
      </c>
      <c r="L1054" s="1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1">
        <v>44927</v>
      </c>
      <c r="D1055" s="8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3673</v>
      </c>
      <c r="L1055" s="1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1">
        <v>44927</v>
      </c>
      <c r="D1056" s="8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3673</v>
      </c>
      <c r="L1056" s="1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1">
        <v>44927</v>
      </c>
      <c r="D1057" s="8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3673</v>
      </c>
      <c r="L1057" s="1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1">
        <v>44927</v>
      </c>
      <c r="D1058" s="8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3673</v>
      </c>
      <c r="L1058" s="1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1">
        <v>44927</v>
      </c>
      <c r="D1059" s="8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3673</v>
      </c>
      <c r="L1059" s="1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1">
        <v>44927</v>
      </c>
      <c r="D1060" s="8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3673</v>
      </c>
      <c r="L1060" s="1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1">
        <v>44927</v>
      </c>
      <c r="D1061" s="8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3673</v>
      </c>
      <c r="L1061" s="1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1">
        <v>44927</v>
      </c>
      <c r="D1062" s="8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3673</v>
      </c>
      <c r="L1062" s="1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1">
        <v>44927</v>
      </c>
      <c r="D1063" s="8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3673</v>
      </c>
      <c r="L1063" s="1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1">
        <v>44927</v>
      </c>
      <c r="D1064" s="8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3673</v>
      </c>
      <c r="L1064" s="1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1">
        <v>44927</v>
      </c>
      <c r="D1065" s="8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1">
        <v>44927</v>
      </c>
      <c r="D1066" s="8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1">
        <v>44927</v>
      </c>
      <c r="D1067" s="8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1">
        <v>44927</v>
      </c>
      <c r="D1068" s="8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1">
        <v>44927</v>
      </c>
      <c r="D1069" s="8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1">
        <v>44927</v>
      </c>
      <c r="D1070" s="8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1">
        <v>44927</v>
      </c>
      <c r="D1071" s="8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3676</v>
      </c>
      <c r="L1071" s="1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1">
        <v>44927</v>
      </c>
      <c r="D1072" s="8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3676</v>
      </c>
      <c r="L1072" s="1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1">
        <v>44927</v>
      </c>
      <c r="D1073" s="8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3676</v>
      </c>
      <c r="L1073" s="1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1">
        <v>44927</v>
      </c>
      <c r="D1074" s="8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3676</v>
      </c>
      <c r="L1074" s="1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1">
        <v>44927</v>
      </c>
      <c r="D1075" s="8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3676</v>
      </c>
      <c r="L1075" s="1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1">
        <v>44927</v>
      </c>
      <c r="D1076" s="8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3676</v>
      </c>
      <c r="L1076" s="1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1">
        <v>44927</v>
      </c>
      <c r="D1077" s="8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3676</v>
      </c>
      <c r="L1077" s="1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1">
        <v>44927</v>
      </c>
      <c r="D1078" s="8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3676</v>
      </c>
      <c r="L1078" s="1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1">
        <v>44927</v>
      </c>
      <c r="D1079" s="8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3676</v>
      </c>
      <c r="L1079" s="1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1">
        <v>44927</v>
      </c>
      <c r="D1080" s="8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3676</v>
      </c>
      <c r="L1080" s="1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1">
        <v>44927</v>
      </c>
      <c r="D1081" s="8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3676</v>
      </c>
      <c r="L1081" s="1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1">
        <v>44927</v>
      </c>
      <c r="D1082" s="8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3676</v>
      </c>
      <c r="L1082" s="1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1">
        <v>44927</v>
      </c>
      <c r="D1083" s="8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1">
        <v>44927</v>
      </c>
      <c r="D1084" s="8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1">
        <v>44927</v>
      </c>
      <c r="D1085" s="8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1">
        <v>44927</v>
      </c>
      <c r="D1086" s="8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1">
        <v>44927</v>
      </c>
      <c r="D1087" s="8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1">
        <v>44927</v>
      </c>
      <c r="D1088" s="8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1">
        <v>44927</v>
      </c>
      <c r="D1089" s="8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1">
        <v>44927</v>
      </c>
      <c r="D1090" s="8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1">
        <v>44927</v>
      </c>
      <c r="D1091" s="8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1">
        <v>44927</v>
      </c>
      <c r="D1092" s="8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1">
        <v>44927</v>
      </c>
      <c r="D1093" s="8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1">
        <v>44927</v>
      </c>
      <c r="D1094" s="8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1">
        <v>44927</v>
      </c>
      <c r="D1095" s="8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1">
        <v>44927</v>
      </c>
      <c r="D1096" s="8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1">
        <v>44927</v>
      </c>
      <c r="D1097" s="8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1">
        <v>44927</v>
      </c>
      <c r="D1098" s="8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1">
        <v>44927</v>
      </c>
      <c r="D1099" s="8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1">
        <v>44927</v>
      </c>
      <c r="D1100" s="8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1">
        <v>44927</v>
      </c>
      <c r="D1101" s="8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1">
        <v>44927</v>
      </c>
      <c r="D1102" s="8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1">
        <v>44927</v>
      </c>
      <c r="D1103" s="8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1">
        <v>44927</v>
      </c>
      <c r="D1104" s="8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1">
        <v>44927</v>
      </c>
      <c r="D1105" s="8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1">
        <v>44927</v>
      </c>
      <c r="D1106" s="8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1">
        <v>44927</v>
      </c>
      <c r="D1107" s="8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1">
        <v>44927</v>
      </c>
      <c r="D1108" s="8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1">
        <v>44927</v>
      </c>
      <c r="D1109" s="8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1">
        <v>44927</v>
      </c>
      <c r="D1110" s="8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1">
        <v>44927</v>
      </c>
      <c r="D1111" s="8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1">
        <v>44927</v>
      </c>
      <c r="D1112" s="8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1">
        <v>44927</v>
      </c>
      <c r="D1113" s="8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1">
        <v>44927</v>
      </c>
      <c r="D1114" s="8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1">
        <v>44927</v>
      </c>
      <c r="D1115" s="8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1">
        <v>44927</v>
      </c>
      <c r="D1116" s="8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3683</v>
      </c>
      <c r="L1116" s="1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1">
        <v>44927</v>
      </c>
      <c r="D1117" s="8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3683</v>
      </c>
      <c r="L1117" s="1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1">
        <v>44927</v>
      </c>
      <c r="D1118" s="8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3683</v>
      </c>
      <c r="L1118" s="1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1">
        <v>44927</v>
      </c>
      <c r="D1119" s="8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3683</v>
      </c>
      <c r="L1119" s="1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1">
        <v>44927</v>
      </c>
      <c r="D1120" s="8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3683</v>
      </c>
      <c r="L1120" s="1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1">
        <v>44927</v>
      </c>
      <c r="D1121" s="8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3683</v>
      </c>
      <c r="L1121" s="1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1">
        <v>44927</v>
      </c>
      <c r="D1122" s="8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3683</v>
      </c>
      <c r="L1122" s="1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1">
        <v>44927</v>
      </c>
      <c r="D1123" s="8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3683</v>
      </c>
      <c r="L1123" s="1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1">
        <v>44927</v>
      </c>
      <c r="D1124" s="8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3683</v>
      </c>
      <c r="L1124" s="1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1">
        <v>44927</v>
      </c>
      <c r="D1125" s="8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3683</v>
      </c>
      <c r="L1125" s="1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1">
        <v>44927</v>
      </c>
      <c r="D1126" s="8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3683</v>
      </c>
      <c r="L1126" s="1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1">
        <v>44927</v>
      </c>
      <c r="D1127" s="8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3683</v>
      </c>
      <c r="L1127" s="1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1">
        <v>44927</v>
      </c>
      <c r="D1128" s="8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1">
        <v>44927</v>
      </c>
      <c r="D1129" s="8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1">
        <v>44927</v>
      </c>
      <c r="D1130" s="8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1">
        <v>44927</v>
      </c>
      <c r="D1131" s="8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1">
        <v>44927</v>
      </c>
      <c r="D1132" s="8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1">
        <v>44927</v>
      </c>
      <c r="D1133" s="8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1">
        <v>44927</v>
      </c>
      <c r="D1134" s="8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1">
        <v>44927</v>
      </c>
      <c r="D1135" s="8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3683</v>
      </c>
      <c r="L1135" s="1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1">
        <v>44927</v>
      </c>
      <c r="D1136" s="8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3683</v>
      </c>
      <c r="L1136" s="1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1">
        <v>44927</v>
      </c>
      <c r="D1137" s="8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3683</v>
      </c>
      <c r="L1137" s="1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1">
        <v>44927</v>
      </c>
      <c r="D1138" s="8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3683</v>
      </c>
      <c r="L1138" s="1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1">
        <v>44927</v>
      </c>
      <c r="D1139" s="8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3683</v>
      </c>
      <c r="L1139" s="1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1">
        <v>44927</v>
      </c>
      <c r="D1140" s="8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3683</v>
      </c>
      <c r="L1140" s="1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1">
        <v>44927</v>
      </c>
      <c r="D1141" s="8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3683</v>
      </c>
      <c r="L1141" s="1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1">
        <v>44927</v>
      </c>
      <c r="D1142" s="8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3683</v>
      </c>
      <c r="L1142" s="1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1">
        <v>44927</v>
      </c>
      <c r="D1143" s="8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3683</v>
      </c>
      <c r="L1143" s="1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1">
        <v>44927</v>
      </c>
      <c r="D1144" s="8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3683</v>
      </c>
      <c r="L1144" s="1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1">
        <v>44927</v>
      </c>
      <c r="D1145" s="8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3683</v>
      </c>
      <c r="L1145" s="1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1">
        <v>44927</v>
      </c>
      <c r="D1146" s="8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3683</v>
      </c>
      <c r="L1146" s="1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1">
        <v>44927</v>
      </c>
      <c r="D1147" s="8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1">
        <v>44927</v>
      </c>
      <c r="D1148" s="8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1">
        <v>44927</v>
      </c>
      <c r="D1149" s="8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1">
        <v>44927</v>
      </c>
      <c r="D1150" s="8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1">
        <v>44927</v>
      </c>
      <c r="D1151" s="8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1">
        <v>44927</v>
      </c>
      <c r="D1152" s="8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1">
        <v>44927</v>
      </c>
      <c r="D1153" s="8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1">
        <v>44927</v>
      </c>
      <c r="D1154" s="8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1">
        <v>44927</v>
      </c>
      <c r="D1155" s="8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1">
        <v>44927</v>
      </c>
      <c r="D1156" s="8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1">
        <v>44927</v>
      </c>
      <c r="D1157" s="8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1">
        <v>44927</v>
      </c>
      <c r="D1158" s="8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1">
        <v>44927</v>
      </c>
      <c r="D1159" s="8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1">
        <v>44927</v>
      </c>
      <c r="D1160" s="8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1">
        <v>44927</v>
      </c>
      <c r="D1161" s="8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1">
        <v>44927</v>
      </c>
      <c r="D1162" s="8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1">
        <v>44927</v>
      </c>
      <c r="D1163" s="8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1">
        <v>44927</v>
      </c>
      <c r="D1164" s="8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1">
        <v>44927</v>
      </c>
      <c r="D1165" s="8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1">
        <v>44927</v>
      </c>
      <c r="D1166" s="8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1">
        <v>44927</v>
      </c>
      <c r="D1167" s="8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1">
        <v>44927</v>
      </c>
      <c r="D1168" s="8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1">
        <v>44927</v>
      </c>
      <c r="D1169" s="8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1">
        <v>44927</v>
      </c>
      <c r="D1170" s="8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1">
        <v>44927</v>
      </c>
      <c r="D1171" s="8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1">
        <v>44927</v>
      </c>
      <c r="D1172" s="8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1">
        <v>44927</v>
      </c>
      <c r="D1173" s="8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1">
        <v>44927</v>
      </c>
      <c r="D1174" s="8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1">
        <v>44927</v>
      </c>
      <c r="D1175" s="8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1">
        <v>44927</v>
      </c>
      <c r="D1176" s="8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1">
        <v>44927</v>
      </c>
      <c r="D1177" s="8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1">
        <v>44927</v>
      </c>
      <c r="D1178" s="8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1">
        <v>44927</v>
      </c>
      <c r="D1179" s="8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1">
        <v>44927</v>
      </c>
      <c r="D1180" s="8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1">
        <v>44927</v>
      </c>
      <c r="D1181" s="8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1">
        <v>44927</v>
      </c>
      <c r="D1182" s="8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1">
        <v>44927</v>
      </c>
      <c r="D1183" s="8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1">
        <v>44927</v>
      </c>
      <c r="D1184" s="8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1">
        <v>44927</v>
      </c>
      <c r="D1185" s="8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1">
        <v>44927</v>
      </c>
      <c r="D1186" s="8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1">
        <v>44927</v>
      </c>
      <c r="D1187" s="8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1">
        <v>44927</v>
      </c>
      <c r="D1188" s="8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1">
        <v>44927</v>
      </c>
      <c r="D1189" s="8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1">
        <v>44927</v>
      </c>
      <c r="D1190" s="8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1">
        <v>44927</v>
      </c>
      <c r="D1191" s="8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1">
        <v>44927</v>
      </c>
      <c r="D1192" s="8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1">
        <v>44927</v>
      </c>
      <c r="D1193" s="8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1">
        <v>44927</v>
      </c>
      <c r="D1194" s="8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1">
        <v>44927</v>
      </c>
      <c r="D1195" s="8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1">
        <v>44927</v>
      </c>
      <c r="D1196" s="8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3697</v>
      </c>
      <c r="L1196" s="1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1">
        <v>44927</v>
      </c>
      <c r="D1197" s="8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3697</v>
      </c>
      <c r="L1197" s="1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1">
        <v>44927</v>
      </c>
      <c r="D1198" s="8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3697</v>
      </c>
      <c r="L1198" s="1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1">
        <v>44927</v>
      </c>
      <c r="D1199" s="8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3697</v>
      </c>
      <c r="L1199" s="1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1">
        <v>44927</v>
      </c>
      <c r="D1200" s="8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3697</v>
      </c>
      <c r="L1200" s="1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1">
        <v>44927</v>
      </c>
      <c r="D1201" s="8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3697</v>
      </c>
      <c r="L1201" s="1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1">
        <v>44927</v>
      </c>
      <c r="D1202" s="8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3697</v>
      </c>
      <c r="L1202" s="1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1">
        <v>44927</v>
      </c>
      <c r="D1203" s="8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3697</v>
      </c>
      <c r="L1203" s="1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1">
        <v>44927</v>
      </c>
      <c r="D1204" s="8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3697</v>
      </c>
      <c r="L1204" s="1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1">
        <v>44927</v>
      </c>
      <c r="D1205" s="8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3697</v>
      </c>
      <c r="L1205" s="1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1">
        <v>44927</v>
      </c>
      <c r="D1206" s="8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3697</v>
      </c>
      <c r="L1206" s="1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1">
        <v>44927</v>
      </c>
      <c r="D1207" s="8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3697</v>
      </c>
      <c r="L1207" s="1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1">
        <v>44927</v>
      </c>
      <c r="D1208" s="8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1">
        <v>44927</v>
      </c>
      <c r="D1209" s="8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1">
        <v>44927</v>
      </c>
      <c r="D1210" s="8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3697</v>
      </c>
      <c r="L1210" s="1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1">
        <v>44927</v>
      </c>
      <c r="D1211" s="8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3697</v>
      </c>
      <c r="L1211" s="1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1">
        <v>44927</v>
      </c>
      <c r="D1212" s="8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3697</v>
      </c>
      <c r="L1212" s="1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1">
        <v>44927</v>
      </c>
      <c r="D1213" s="8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3697</v>
      </c>
      <c r="L1213" s="1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1">
        <v>44927</v>
      </c>
      <c r="D1214" s="8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3697</v>
      </c>
      <c r="L1214" s="1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1">
        <v>44927</v>
      </c>
      <c r="D1215" s="8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3697</v>
      </c>
      <c r="L1215" s="1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1">
        <v>44927</v>
      </c>
      <c r="D1216" s="8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3697</v>
      </c>
      <c r="L1216" s="1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1">
        <v>44927</v>
      </c>
      <c r="D1217" s="8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3697</v>
      </c>
      <c r="L1217" s="1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1">
        <v>44927</v>
      </c>
      <c r="D1218" s="8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3697</v>
      </c>
      <c r="L1218" s="1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1">
        <v>44927</v>
      </c>
      <c r="D1219" s="8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3697</v>
      </c>
      <c r="L1219" s="1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1">
        <v>44927</v>
      </c>
      <c r="D1220" s="8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3697</v>
      </c>
      <c r="L1220" s="1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1">
        <v>44927</v>
      </c>
      <c r="D1221" s="8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3697</v>
      </c>
      <c r="L1221" s="1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1">
        <v>44562</v>
      </c>
      <c r="D1222" s="8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1">
        <v>44562</v>
      </c>
      <c r="D1223" s="8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1">
        <v>44562</v>
      </c>
      <c r="D1224" s="8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1">
        <v>44562</v>
      </c>
      <c r="D1225" s="8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1">
        <v>44562</v>
      </c>
      <c r="D1226" s="8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1">
        <v>44562</v>
      </c>
      <c r="D1227" s="8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1">
        <v>44562</v>
      </c>
      <c r="D1228" s="8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1">
        <v>44562</v>
      </c>
      <c r="D1229" s="8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1">
        <v>44562</v>
      </c>
      <c r="D1230" s="8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1">
        <v>44562</v>
      </c>
      <c r="D1231" s="8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1">
        <v>44562</v>
      </c>
      <c r="D1232" s="8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1">
        <v>44562</v>
      </c>
      <c r="D1233" s="8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1">
        <v>44562</v>
      </c>
      <c r="D1234" s="8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3587</v>
      </c>
      <c r="L1234" s="1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1">
        <v>44562</v>
      </c>
      <c r="D1235" s="8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3587</v>
      </c>
      <c r="L1235" s="1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1">
        <v>44562</v>
      </c>
      <c r="D1236" s="8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3587</v>
      </c>
      <c r="L1236" s="1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1">
        <v>44562</v>
      </c>
      <c r="D1237" s="8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3587</v>
      </c>
      <c r="L1237" s="1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1">
        <v>44562</v>
      </c>
      <c r="D1238" s="8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3587</v>
      </c>
      <c r="L1238" s="1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1">
        <v>44562</v>
      </c>
      <c r="D1239" s="8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3587</v>
      </c>
      <c r="L1239" s="1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1">
        <v>44562</v>
      </c>
      <c r="D1240" s="8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3587</v>
      </c>
      <c r="L1240" s="1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1">
        <v>44562</v>
      </c>
      <c r="D1241" s="8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3587</v>
      </c>
      <c r="L1241" s="1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1">
        <v>44562</v>
      </c>
      <c r="D1242" s="8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3587</v>
      </c>
      <c r="L1242" s="1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1">
        <v>44562</v>
      </c>
      <c r="D1243" s="8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3587</v>
      </c>
      <c r="L1243" s="1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1">
        <v>44562</v>
      </c>
      <c r="D1244" s="8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3587</v>
      </c>
      <c r="L1244" s="1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1">
        <v>44562</v>
      </c>
      <c r="D1245" s="8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3587</v>
      </c>
      <c r="L1245" s="1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1">
        <v>44562</v>
      </c>
      <c r="D1246" s="8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3591</v>
      </c>
      <c r="L1246" s="1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1">
        <v>44562</v>
      </c>
      <c r="D1247" s="8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3591</v>
      </c>
      <c r="L1247" s="1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1">
        <v>44562</v>
      </c>
      <c r="D1248" s="8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3591</v>
      </c>
      <c r="L1248" s="1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1">
        <v>44562</v>
      </c>
      <c r="D1249" s="8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3591</v>
      </c>
      <c r="L1249" s="1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1">
        <v>44562</v>
      </c>
      <c r="D1250" s="8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3591</v>
      </c>
      <c r="L1250" s="1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1">
        <v>44562</v>
      </c>
      <c r="D1251" s="8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3591</v>
      </c>
      <c r="L1251" s="1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1">
        <v>44562</v>
      </c>
      <c r="D1252" s="8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3591</v>
      </c>
      <c r="L1252" s="1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1">
        <v>44562</v>
      </c>
      <c r="D1253" s="8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3591</v>
      </c>
      <c r="L1253" s="1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1">
        <v>44562</v>
      </c>
      <c r="D1254" s="8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3591</v>
      </c>
      <c r="L1254" s="1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1">
        <v>44562</v>
      </c>
      <c r="D1255" s="8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3591</v>
      </c>
      <c r="L1255" s="1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1">
        <v>44562</v>
      </c>
      <c r="D1256" s="8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3591</v>
      </c>
      <c r="L1256" s="1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1">
        <v>44562</v>
      </c>
      <c r="D1257" s="8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3591</v>
      </c>
      <c r="L1257" s="1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1">
        <v>44562</v>
      </c>
      <c r="D1258" s="8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3591</v>
      </c>
      <c r="L1258" s="1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1">
        <v>44562</v>
      </c>
      <c r="D1259" s="8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1">
        <v>44562</v>
      </c>
      <c r="D1260" s="8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1">
        <v>44562</v>
      </c>
      <c r="D1261" s="8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1">
        <v>44562</v>
      </c>
      <c r="D1262" s="8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1">
        <v>44562</v>
      </c>
      <c r="D1263" s="8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1">
        <v>44562</v>
      </c>
      <c r="D1264" s="8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1">
        <v>44562</v>
      </c>
      <c r="D1265" s="8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1">
        <v>44562</v>
      </c>
      <c r="D1266" s="8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1">
        <v>44562</v>
      </c>
      <c r="D1267" s="8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1">
        <v>44562</v>
      </c>
      <c r="D1268" s="8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1">
        <v>44562</v>
      </c>
      <c r="D1269" s="8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1">
        <v>44562</v>
      </c>
      <c r="D1270" s="8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1">
        <v>44562</v>
      </c>
      <c r="D1271" s="8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1">
        <v>44562</v>
      </c>
      <c r="D1272" s="8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1">
        <v>44562</v>
      </c>
      <c r="D1273" s="8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1">
        <v>44562</v>
      </c>
      <c r="D1274" s="8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1">
        <v>44562</v>
      </c>
      <c r="D1275" s="8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1">
        <v>44562</v>
      </c>
      <c r="D1276" s="8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1">
        <v>44562</v>
      </c>
      <c r="D1277" s="8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1">
        <v>44562</v>
      </c>
      <c r="D1278" s="8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1">
        <v>44562</v>
      </c>
      <c r="D1279" s="8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1">
        <v>44562</v>
      </c>
      <c r="D1280" s="8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1">
        <v>44562</v>
      </c>
      <c r="D1281" s="8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1">
        <v>44562</v>
      </c>
      <c r="D1282" s="8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1">
        <v>44562</v>
      </c>
      <c r="D1283" s="8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1">
        <v>44562</v>
      </c>
      <c r="D1284" s="8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1">
        <v>44562</v>
      </c>
      <c r="D1285" s="8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1">
        <v>44562</v>
      </c>
      <c r="D1286" s="8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1">
        <v>44562</v>
      </c>
      <c r="D1287" s="8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1">
        <v>44562</v>
      </c>
      <c r="D1288" s="8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1">
        <v>44562</v>
      </c>
      <c r="D1289" s="8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1">
        <v>44562</v>
      </c>
      <c r="D1290" s="8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1">
        <v>44562</v>
      </c>
      <c r="D1291" s="8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1">
        <v>44562</v>
      </c>
      <c r="D1292" s="8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1">
        <v>44562</v>
      </c>
      <c r="D1293" s="8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1">
        <v>44562</v>
      </c>
      <c r="D1294" s="8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1">
        <v>44562</v>
      </c>
      <c r="D1295" s="8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1">
        <v>44562</v>
      </c>
      <c r="D1296" s="8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1">
        <v>44562</v>
      </c>
      <c r="D1297" s="8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1">
        <v>44562</v>
      </c>
      <c r="D1298" s="8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1">
        <v>44562</v>
      </c>
      <c r="D1299" s="8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1">
        <v>44562</v>
      </c>
      <c r="D1300" s="8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1">
        <v>44562</v>
      </c>
      <c r="D1301" s="8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1">
        <v>44562</v>
      </c>
      <c r="D1302" s="8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1">
        <v>44562</v>
      </c>
      <c r="D1303" s="8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1">
        <v>44562</v>
      </c>
      <c r="D1304" s="8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1">
        <v>44562</v>
      </c>
      <c r="D1305" s="8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1">
        <v>44562</v>
      </c>
      <c r="D1306" s="8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1">
        <v>44562</v>
      </c>
      <c r="D1307" s="8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1">
        <v>44562</v>
      </c>
      <c r="D1308" s="8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1">
        <v>44562</v>
      </c>
      <c r="D1309" s="8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1">
        <v>44562</v>
      </c>
      <c r="D1310" s="8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1">
        <v>44562</v>
      </c>
      <c r="D1311" s="8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1">
        <v>44562</v>
      </c>
      <c r="D1312" s="8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1">
        <v>44562</v>
      </c>
      <c r="D1313" s="8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1">
        <v>44562</v>
      </c>
      <c r="D1314" s="8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1">
        <v>44562</v>
      </c>
      <c r="D1315" s="8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1">
        <v>44562</v>
      </c>
      <c r="D1316" s="8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1">
        <v>44562</v>
      </c>
      <c r="D1317" s="8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1">
        <v>44562</v>
      </c>
      <c r="D1318" s="8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1">
        <v>44562</v>
      </c>
      <c r="D1319" s="8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1">
        <v>44562</v>
      </c>
      <c r="D1320" s="8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1">
        <v>44562</v>
      </c>
      <c r="D1321" s="8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1">
        <v>44562</v>
      </c>
      <c r="D1322" s="8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1">
        <v>44562</v>
      </c>
      <c r="D1323" s="8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1">
        <v>44562</v>
      </c>
      <c r="D1324" s="8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1">
        <v>44562</v>
      </c>
      <c r="D1325" s="8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1">
        <v>44562</v>
      </c>
      <c r="D1326" s="8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1">
        <v>44562</v>
      </c>
      <c r="D1327" s="8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1">
        <v>44562</v>
      </c>
      <c r="D1328" s="8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1">
        <v>44562</v>
      </c>
      <c r="D1329" s="8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1">
        <v>44562</v>
      </c>
      <c r="D1330" s="8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1">
        <v>44562</v>
      </c>
      <c r="D1331" s="8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1">
        <v>44562</v>
      </c>
      <c r="D1332" s="8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1">
        <v>44562</v>
      </c>
      <c r="D1333" s="8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1">
        <v>44562</v>
      </c>
      <c r="D1334" s="8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1">
        <v>44562</v>
      </c>
      <c r="D1335" s="8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1">
        <v>44562</v>
      </c>
      <c r="D1336" s="8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1">
        <v>44562</v>
      </c>
      <c r="D1337" s="8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1">
        <v>44562</v>
      </c>
      <c r="D1338" s="8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1">
        <v>44562</v>
      </c>
      <c r="D1339" s="8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1">
        <v>44562</v>
      </c>
      <c r="D1340" s="8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1">
        <v>44562</v>
      </c>
      <c r="D1341" s="8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1">
        <v>44562</v>
      </c>
      <c r="D1342" s="8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1">
        <v>44562</v>
      </c>
      <c r="D1343" s="8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1">
        <v>44562</v>
      </c>
      <c r="D1344" s="8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1">
        <v>44562</v>
      </c>
      <c r="D1345" s="8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1">
        <v>44562</v>
      </c>
      <c r="D1346" s="8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1">
        <v>44562</v>
      </c>
      <c r="D1347" s="8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1">
        <v>44562</v>
      </c>
      <c r="D1348" s="8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1">
        <v>44562</v>
      </c>
      <c r="D1349" s="8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1">
        <v>44562</v>
      </c>
      <c r="D1350" s="8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1">
        <v>44562</v>
      </c>
      <c r="D1351" s="8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1">
        <v>44562</v>
      </c>
      <c r="D1352" s="8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1">
        <v>44562</v>
      </c>
      <c r="D1353" s="8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1">
        <v>44562</v>
      </c>
      <c r="D1354" s="8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1">
        <v>44562</v>
      </c>
      <c r="D1355" s="8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1">
        <v>44562</v>
      </c>
      <c r="D1356" s="8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1">
        <v>44562</v>
      </c>
      <c r="D1357" s="8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1">
        <v>44562</v>
      </c>
      <c r="D1358" s="8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1">
        <v>44562</v>
      </c>
      <c r="D1359" s="8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1">
        <v>44562</v>
      </c>
      <c r="D1360" s="8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1">
        <v>44562</v>
      </c>
      <c r="D1361" s="8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1">
        <v>44562</v>
      </c>
      <c r="D1362" s="8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1">
        <v>44562</v>
      </c>
      <c r="D1363" s="8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1">
        <v>44562</v>
      </c>
      <c r="D1364" s="8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1">
        <v>44562</v>
      </c>
      <c r="D1365" s="8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1">
        <v>44562</v>
      </c>
      <c r="D1366" s="8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1">
        <v>44562</v>
      </c>
      <c r="D1367" s="8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1">
        <v>44562</v>
      </c>
      <c r="D1368" s="8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1">
        <v>44562</v>
      </c>
      <c r="D1369" s="8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1">
        <v>44562</v>
      </c>
      <c r="D1370" s="8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1">
        <v>44562</v>
      </c>
      <c r="D1371" s="8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1">
        <v>44562</v>
      </c>
      <c r="D1372" s="8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1">
        <v>44562</v>
      </c>
      <c r="D1373" s="8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1">
        <v>44562</v>
      </c>
      <c r="D1374" s="8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1">
        <v>44562</v>
      </c>
      <c r="D1375" s="8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1">
        <v>44562</v>
      </c>
      <c r="D1376" s="8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1">
        <v>44562</v>
      </c>
      <c r="D1377" s="8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1">
        <v>44562</v>
      </c>
      <c r="D1378" s="8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1">
        <v>44562</v>
      </c>
      <c r="D1379" s="8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1">
        <v>44562</v>
      </c>
      <c r="D1380" s="8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1">
        <v>44562</v>
      </c>
      <c r="D1381" s="8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1">
        <v>44562</v>
      </c>
      <c r="D1382" s="8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1">
        <v>44562</v>
      </c>
      <c r="D1383" s="8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1">
        <v>44562</v>
      </c>
      <c r="D1384" s="8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1">
        <v>44562</v>
      </c>
      <c r="D1385" s="8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1">
        <v>44562</v>
      </c>
      <c r="D1386" s="8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1">
        <v>44562</v>
      </c>
      <c r="D1387" s="8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1">
        <v>44562</v>
      </c>
      <c r="D1388" s="8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1">
        <v>44562</v>
      </c>
      <c r="D1389" s="8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1">
        <v>44562</v>
      </c>
      <c r="D1390" s="8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1">
        <v>44562</v>
      </c>
      <c r="D1391" s="8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1">
        <v>44562</v>
      </c>
      <c r="D1392" s="8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1">
        <v>44562</v>
      </c>
      <c r="D1393" s="8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1">
        <v>44562</v>
      </c>
      <c r="D1394" s="8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1">
        <v>44562</v>
      </c>
      <c r="D1395" s="8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1">
        <v>44562</v>
      </c>
      <c r="D1396" s="8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1">
        <v>44562</v>
      </c>
      <c r="D1397" s="8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1">
        <v>44562</v>
      </c>
      <c r="D1398" s="8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1">
        <v>44562</v>
      </c>
      <c r="D1399" s="8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1">
        <v>44562</v>
      </c>
      <c r="D1400" s="8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1">
        <v>44562</v>
      </c>
      <c r="D1401" s="8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1">
        <v>44562</v>
      </c>
      <c r="D1402" s="8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1">
        <v>44562</v>
      </c>
      <c r="D1403" s="8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1">
        <v>44562</v>
      </c>
      <c r="D1404" s="8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1">
        <v>44562</v>
      </c>
      <c r="D1405" s="8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1">
        <v>44562</v>
      </c>
      <c r="D1406" s="8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1">
        <v>44562</v>
      </c>
      <c r="D1407" s="8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1">
        <v>44562</v>
      </c>
      <c r="D1408" s="8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1">
        <v>44562</v>
      </c>
      <c r="D1409" s="8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1">
        <v>44562</v>
      </c>
      <c r="D1410" s="8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1">
        <v>44562</v>
      </c>
      <c r="D1411" s="8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1">
        <v>44562</v>
      </c>
      <c r="D1412" s="8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1">
        <v>44562</v>
      </c>
      <c r="D1413" s="8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1">
        <v>44562</v>
      </c>
      <c r="D1414" s="8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1">
        <v>44562</v>
      </c>
      <c r="D1415" s="8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1">
        <v>44562</v>
      </c>
      <c r="D1416" s="8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3658</v>
      </c>
      <c r="L1416" s="1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1">
        <v>44562</v>
      </c>
      <c r="D1417" s="8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3658</v>
      </c>
      <c r="L1417" s="1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1">
        <v>44562</v>
      </c>
      <c r="D1418" s="8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3658</v>
      </c>
      <c r="L1418" s="1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1">
        <v>44562</v>
      </c>
      <c r="D1419" s="8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3658</v>
      </c>
      <c r="L1419" s="1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1">
        <v>44562</v>
      </c>
      <c r="D1420" s="8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3658</v>
      </c>
      <c r="L1420" s="1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1">
        <v>44562</v>
      </c>
      <c r="D1421" s="8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3658</v>
      </c>
      <c r="L1421" s="1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1">
        <v>44562</v>
      </c>
      <c r="D1422" s="8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3658</v>
      </c>
      <c r="L1422" s="1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1">
        <v>44562</v>
      </c>
      <c r="D1423" s="8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3658</v>
      </c>
      <c r="L1423" s="1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1">
        <v>44562</v>
      </c>
      <c r="D1424" s="8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3658</v>
      </c>
      <c r="L1424" s="1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1">
        <v>44562</v>
      </c>
      <c r="D1425" s="8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3658</v>
      </c>
      <c r="L1425" s="1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1">
        <v>44562</v>
      </c>
      <c r="D1426" s="8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3658</v>
      </c>
      <c r="L1426" s="1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1">
        <v>44562</v>
      </c>
      <c r="D1427" s="8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3658</v>
      </c>
      <c r="L1427" s="1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1">
        <v>44562</v>
      </c>
      <c r="D1428" s="8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1">
        <v>44562</v>
      </c>
      <c r="D1429" s="8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1">
        <v>44562</v>
      </c>
      <c r="D1430" s="8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1">
        <v>44562</v>
      </c>
      <c r="D1431" s="8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1">
        <v>44562</v>
      </c>
      <c r="D1432" s="8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1">
        <v>44562</v>
      </c>
      <c r="D1433" s="8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1">
        <v>44562</v>
      </c>
      <c r="D1434" s="8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1">
        <v>44562</v>
      </c>
      <c r="D1435" s="8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1">
        <v>44562</v>
      </c>
      <c r="D1436" s="8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1">
        <v>44562</v>
      </c>
      <c r="D1437" s="8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1">
        <v>44562</v>
      </c>
      <c r="D1438" s="8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1">
        <v>44562</v>
      </c>
      <c r="D1439" s="8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1">
        <v>44562</v>
      </c>
      <c r="D1440" s="8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1">
        <v>44562</v>
      </c>
      <c r="D1441" s="8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1">
        <v>44562</v>
      </c>
      <c r="D1442" s="8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1">
        <v>44562</v>
      </c>
      <c r="D1443" s="8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1">
        <v>44562</v>
      </c>
      <c r="D1444" s="8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1">
        <v>44562</v>
      </c>
      <c r="D1445" s="8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1">
        <v>44562</v>
      </c>
      <c r="D1446" s="8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1">
        <v>44562</v>
      </c>
      <c r="D1447" s="8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1">
        <v>44562</v>
      </c>
      <c r="D1448" s="8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1">
        <v>44562</v>
      </c>
      <c r="D1449" s="8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1">
        <v>44562</v>
      </c>
      <c r="D1450" s="8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1">
        <v>44562</v>
      </c>
      <c r="D1451" s="8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1">
        <v>44562</v>
      </c>
      <c r="D1452" s="8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1">
        <v>44562</v>
      </c>
      <c r="D1453" s="8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1">
        <v>44562</v>
      </c>
      <c r="D1454" s="8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1">
        <v>44562</v>
      </c>
      <c r="D1455" s="8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1">
        <v>44562</v>
      </c>
      <c r="D1456" s="8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1">
        <v>44562</v>
      </c>
      <c r="D1457" s="8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1">
        <v>44562</v>
      </c>
      <c r="D1458" s="8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1">
        <v>44562</v>
      </c>
      <c r="D1459" s="8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1">
        <v>44562</v>
      </c>
      <c r="D1460" s="8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1">
        <v>44562</v>
      </c>
      <c r="D1461" s="8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1">
        <v>44562</v>
      </c>
      <c r="D1462" s="8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1">
        <v>44562</v>
      </c>
      <c r="D1463" s="8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1">
        <v>44562</v>
      </c>
      <c r="D1464" s="8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1">
        <v>44562</v>
      </c>
      <c r="D1465" s="8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1">
        <v>44562</v>
      </c>
      <c r="D1466" s="8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1">
        <v>44562</v>
      </c>
      <c r="D1467" s="8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1">
        <v>44562</v>
      </c>
      <c r="D1468" s="8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1">
        <v>44562</v>
      </c>
      <c r="D1469" s="8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1">
        <v>44562</v>
      </c>
      <c r="D1470" s="8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1">
        <v>44562</v>
      </c>
      <c r="D1471" s="8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1">
        <v>44562</v>
      </c>
      <c r="D1472" s="8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1">
        <v>44562</v>
      </c>
      <c r="D1473" s="8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1">
        <v>44562</v>
      </c>
      <c r="D1474" s="8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1">
        <v>44562</v>
      </c>
      <c r="D1475" s="8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1">
        <v>44562</v>
      </c>
      <c r="D1476" s="8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1">
        <v>44562</v>
      </c>
      <c r="D1477" s="8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1">
        <v>44562</v>
      </c>
      <c r="D1478" s="8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1">
        <v>44562</v>
      </c>
      <c r="D1479" s="8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1">
        <v>44562</v>
      </c>
      <c r="D1480" s="8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1">
        <v>44562</v>
      </c>
      <c r="D1481" s="8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1">
        <v>44562</v>
      </c>
      <c r="D1482" s="8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3673</v>
      </c>
      <c r="L1482" s="1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1">
        <v>44562</v>
      </c>
      <c r="D1483" s="8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3673</v>
      </c>
      <c r="L1483" s="1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1">
        <v>44562</v>
      </c>
      <c r="D1484" s="8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3673</v>
      </c>
      <c r="L1484" s="1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1">
        <v>44562</v>
      </c>
      <c r="D1485" s="8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3673</v>
      </c>
      <c r="L1485" s="1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1">
        <v>44562</v>
      </c>
      <c r="D1486" s="8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3673</v>
      </c>
      <c r="L1486" s="1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1">
        <v>44562</v>
      </c>
      <c r="D1487" s="8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3673</v>
      </c>
      <c r="L1487" s="1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1">
        <v>44562</v>
      </c>
      <c r="D1488" s="8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3673</v>
      </c>
      <c r="L1488" s="1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1">
        <v>44562</v>
      </c>
      <c r="D1489" s="8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3673</v>
      </c>
      <c r="L1489" s="1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1">
        <v>44562</v>
      </c>
      <c r="D1490" s="8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3673</v>
      </c>
      <c r="L1490" s="1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1">
        <v>44562</v>
      </c>
      <c r="D1491" s="8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3673</v>
      </c>
      <c r="L1491" s="1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1">
        <v>44562</v>
      </c>
      <c r="D1492" s="8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3673</v>
      </c>
      <c r="L1492" s="1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1">
        <v>44562</v>
      </c>
      <c r="D1493" s="8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3673</v>
      </c>
      <c r="L1493" s="1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1">
        <v>44562</v>
      </c>
      <c r="D1494" s="8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1">
        <v>44562</v>
      </c>
      <c r="D1495" s="8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1">
        <v>44562</v>
      </c>
      <c r="D1496" s="8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1">
        <v>44562</v>
      </c>
      <c r="D1497" s="8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1">
        <v>44562</v>
      </c>
      <c r="D1498" s="8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1">
        <v>44562</v>
      </c>
      <c r="D1499" s="8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3676</v>
      </c>
      <c r="L1499" s="1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1">
        <v>44562</v>
      </c>
      <c r="D1500" s="8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3676</v>
      </c>
      <c r="L1500" s="1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1">
        <v>44562</v>
      </c>
      <c r="D1501" s="8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3676</v>
      </c>
      <c r="L1501" s="1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1">
        <v>44562</v>
      </c>
      <c r="D1502" s="8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3676</v>
      </c>
      <c r="L1502" s="1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1">
        <v>44562</v>
      </c>
      <c r="D1503" s="8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3676</v>
      </c>
      <c r="L1503" s="1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1">
        <v>44562</v>
      </c>
      <c r="D1504" s="8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3676</v>
      </c>
      <c r="L1504" s="1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1">
        <v>44562</v>
      </c>
      <c r="D1505" s="8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3676</v>
      </c>
      <c r="L1505" s="1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1">
        <v>44562</v>
      </c>
      <c r="D1506" s="8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3676</v>
      </c>
      <c r="L1506" s="1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1">
        <v>44562</v>
      </c>
      <c r="D1507" s="8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3676</v>
      </c>
      <c r="L1507" s="1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1">
        <v>44562</v>
      </c>
      <c r="D1508" s="8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3676</v>
      </c>
      <c r="L1508" s="1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1">
        <v>44562</v>
      </c>
      <c r="D1509" s="8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3676</v>
      </c>
      <c r="L1509" s="1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1">
        <v>44562</v>
      </c>
      <c r="D1510" s="8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3676</v>
      </c>
      <c r="L1510" s="1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1">
        <v>44562</v>
      </c>
      <c r="D1511" s="8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1">
        <v>44562</v>
      </c>
      <c r="D1512" s="8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1">
        <v>44562</v>
      </c>
      <c r="D1513" s="8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1">
        <v>44562</v>
      </c>
      <c r="D1514" s="8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1">
        <v>44562</v>
      </c>
      <c r="D1515" s="8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1">
        <v>44562</v>
      </c>
      <c r="D1516" s="8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1">
        <v>44562</v>
      </c>
      <c r="D1517" s="8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1">
        <v>44562</v>
      </c>
      <c r="D1518" s="8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1">
        <v>44562</v>
      </c>
      <c r="D1519" s="8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1">
        <v>44562</v>
      </c>
      <c r="D1520" s="8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1">
        <v>44562</v>
      </c>
      <c r="D1521" s="8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1">
        <v>44562</v>
      </c>
      <c r="D1522" s="8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1">
        <v>44562</v>
      </c>
      <c r="D1523" s="8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1">
        <v>44562</v>
      </c>
      <c r="D1524" s="8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1">
        <v>44562</v>
      </c>
      <c r="D1525" s="8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1">
        <v>44562</v>
      </c>
      <c r="D1526" s="8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1">
        <v>44562</v>
      </c>
      <c r="D1527" s="8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1">
        <v>44562</v>
      </c>
      <c r="D1528" s="8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1">
        <v>44562</v>
      </c>
      <c r="D1529" s="8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1">
        <v>44562</v>
      </c>
      <c r="D1530" s="8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1">
        <v>44562</v>
      </c>
      <c r="D1531" s="8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1">
        <v>44562</v>
      </c>
      <c r="D1532" s="8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1">
        <v>44562</v>
      </c>
      <c r="D1533" s="8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1">
        <v>44562</v>
      </c>
      <c r="D1534" s="8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1">
        <v>44562</v>
      </c>
      <c r="D1535" s="8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1">
        <v>44562</v>
      </c>
      <c r="D1536" s="8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1">
        <v>44562</v>
      </c>
      <c r="D1537" s="8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1">
        <v>44562</v>
      </c>
      <c r="D1538" s="8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1">
        <v>44562</v>
      </c>
      <c r="D1539" s="8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1">
        <v>44562</v>
      </c>
      <c r="D1540" s="8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1">
        <v>44562</v>
      </c>
      <c r="D1541" s="8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3683</v>
      </c>
      <c r="L1541" s="1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1">
        <v>44562</v>
      </c>
      <c r="D1542" s="8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3683</v>
      </c>
      <c r="L1542" s="1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1">
        <v>44562</v>
      </c>
      <c r="D1543" s="8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3683</v>
      </c>
      <c r="L1543" s="1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1">
        <v>44562</v>
      </c>
      <c r="D1544" s="8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3683</v>
      </c>
      <c r="L1544" s="1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1">
        <v>44562</v>
      </c>
      <c r="D1545" s="8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3683</v>
      </c>
      <c r="L1545" s="1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1">
        <v>44562</v>
      </c>
      <c r="D1546" s="8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3683</v>
      </c>
      <c r="L1546" s="1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1">
        <v>44562</v>
      </c>
      <c r="D1547" s="8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3683</v>
      </c>
      <c r="L1547" s="1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1">
        <v>44562</v>
      </c>
      <c r="D1548" s="8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3683</v>
      </c>
      <c r="L1548" s="1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1">
        <v>44562</v>
      </c>
      <c r="D1549" s="8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3683</v>
      </c>
      <c r="L1549" s="1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1">
        <v>44562</v>
      </c>
      <c r="D1550" s="8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3683</v>
      </c>
      <c r="L1550" s="1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1">
        <v>44562</v>
      </c>
      <c r="D1551" s="8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3683</v>
      </c>
      <c r="L1551" s="1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1">
        <v>44562</v>
      </c>
      <c r="D1552" s="8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3683</v>
      </c>
      <c r="L1552" s="1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1">
        <v>44562</v>
      </c>
      <c r="D1553" s="8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1">
        <v>44562</v>
      </c>
      <c r="D1554" s="8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1">
        <v>44562</v>
      </c>
      <c r="D1555" s="8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1">
        <v>44562</v>
      </c>
      <c r="D1556" s="8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1">
        <v>44562</v>
      </c>
      <c r="D1557" s="8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1">
        <v>44562</v>
      </c>
      <c r="D1558" s="8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1">
        <v>44562</v>
      </c>
      <c r="D1559" s="8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1">
        <v>44562</v>
      </c>
      <c r="D1560" s="8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1">
        <v>44562</v>
      </c>
      <c r="D1561" s="8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1">
        <v>44562</v>
      </c>
      <c r="D1562" s="8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3683</v>
      </c>
      <c r="L1562" s="1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1">
        <v>44562</v>
      </c>
      <c r="D1563" s="8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3683</v>
      </c>
      <c r="L1563" s="1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1">
        <v>44562</v>
      </c>
      <c r="D1564" s="8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3683</v>
      </c>
      <c r="L1564" s="1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1">
        <v>44562</v>
      </c>
      <c r="D1565" s="8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3683</v>
      </c>
      <c r="L1565" s="1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1">
        <v>44562</v>
      </c>
      <c r="D1566" s="8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3683</v>
      </c>
      <c r="L1566" s="1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1">
        <v>44562</v>
      </c>
      <c r="D1567" s="8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3683</v>
      </c>
      <c r="L1567" s="1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1">
        <v>44562</v>
      </c>
      <c r="D1568" s="8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3683</v>
      </c>
      <c r="L1568" s="1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1">
        <v>44562</v>
      </c>
      <c r="D1569" s="8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3683</v>
      </c>
      <c r="L1569" s="1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1">
        <v>44562</v>
      </c>
      <c r="D1570" s="8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3683</v>
      </c>
      <c r="L1570" s="1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1">
        <v>44562</v>
      </c>
      <c r="D1571" s="8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3683</v>
      </c>
      <c r="L1571" s="1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1">
        <v>44562</v>
      </c>
      <c r="D1572" s="8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3683</v>
      </c>
      <c r="L1572" s="1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1">
        <v>44562</v>
      </c>
      <c r="D1573" s="8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3683</v>
      </c>
      <c r="L1573" s="1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1">
        <v>44562</v>
      </c>
      <c r="D1574" s="8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1">
        <v>44562</v>
      </c>
      <c r="D1575" s="8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1">
        <v>44562</v>
      </c>
      <c r="D1576" s="8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1">
        <v>44562</v>
      </c>
      <c r="D1577" s="8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1">
        <v>44562</v>
      </c>
      <c r="D1578" s="8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1">
        <v>44562</v>
      </c>
      <c r="D1579" s="8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1">
        <v>44562</v>
      </c>
      <c r="D1580" s="8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1">
        <v>44562</v>
      </c>
      <c r="D1581" s="8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1">
        <v>44562</v>
      </c>
      <c r="D1582" s="8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1">
        <v>44562</v>
      </c>
      <c r="D1583" s="8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1">
        <v>44562</v>
      </c>
      <c r="D1584" s="8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1">
        <v>44562</v>
      </c>
      <c r="D1585" s="8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1">
        <v>44562</v>
      </c>
      <c r="D1586" s="8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1">
        <v>44562</v>
      </c>
      <c r="D1587" s="8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1">
        <v>44562</v>
      </c>
      <c r="D1588" s="8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1">
        <v>44562</v>
      </c>
      <c r="D1589" s="8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1">
        <v>44562</v>
      </c>
      <c r="D1590" s="8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1">
        <v>44562</v>
      </c>
      <c r="D1591" s="8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1">
        <v>44562</v>
      </c>
      <c r="D1592" s="8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1">
        <v>44562</v>
      </c>
      <c r="D1593" s="8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1">
        <v>44562</v>
      </c>
      <c r="D1594" s="8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1">
        <v>44562</v>
      </c>
      <c r="D1595" s="8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1">
        <v>44562</v>
      </c>
      <c r="D1596" s="8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1">
        <v>44562</v>
      </c>
      <c r="D1597" s="8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1">
        <v>44562</v>
      </c>
      <c r="D1598" s="8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1">
        <v>44562</v>
      </c>
      <c r="D1599" s="8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1">
        <v>44562</v>
      </c>
      <c r="D1600" s="8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1">
        <v>44562</v>
      </c>
      <c r="D1601" s="8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1">
        <v>44562</v>
      </c>
      <c r="D1602" s="8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1">
        <v>44562</v>
      </c>
      <c r="D1603" s="8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1">
        <v>44562</v>
      </c>
      <c r="D1604" s="8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1">
        <v>44562</v>
      </c>
      <c r="D1605" s="8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1">
        <v>44562</v>
      </c>
      <c r="D1606" s="8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1">
        <v>44562</v>
      </c>
      <c r="D1607" s="8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1">
        <v>44562</v>
      </c>
      <c r="D1608" s="8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1">
        <v>44562</v>
      </c>
      <c r="D1609" s="8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1">
        <v>44562</v>
      </c>
      <c r="D1610" s="8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1">
        <v>44562</v>
      </c>
      <c r="D1611" s="8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1">
        <v>44562</v>
      </c>
      <c r="D1612" s="8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1">
        <v>44562</v>
      </c>
      <c r="D1613" s="8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1">
        <v>44562</v>
      </c>
      <c r="D1614" s="8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1">
        <v>44562</v>
      </c>
      <c r="D1615" s="8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1">
        <v>44562</v>
      </c>
      <c r="D1616" s="8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1">
        <v>44562</v>
      </c>
      <c r="D1617" s="8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1">
        <v>44562</v>
      </c>
      <c r="D1618" s="8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1">
        <v>44562</v>
      </c>
      <c r="D1619" s="8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1">
        <v>44562</v>
      </c>
      <c r="D1620" s="8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1">
        <v>44562</v>
      </c>
      <c r="D1621" s="8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1">
        <v>44562</v>
      </c>
      <c r="D1622" s="8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1">
        <v>44562</v>
      </c>
      <c r="D1623" s="8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3697</v>
      </c>
      <c r="L1623" s="1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1">
        <v>44562</v>
      </c>
      <c r="D1624" s="8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3697</v>
      </c>
      <c r="L1624" s="1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1">
        <v>44562</v>
      </c>
      <c r="D1625" s="8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3697</v>
      </c>
      <c r="L1625" s="1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1">
        <v>44562</v>
      </c>
      <c r="D1626" s="8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3697</v>
      </c>
      <c r="L1626" s="1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1">
        <v>44562</v>
      </c>
      <c r="D1627" s="8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3697</v>
      </c>
      <c r="L1627" s="1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1">
        <v>44562</v>
      </c>
      <c r="D1628" s="8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3697</v>
      </c>
      <c r="L1628" s="1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1">
        <v>44562</v>
      </c>
      <c r="D1629" s="8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3697</v>
      </c>
      <c r="L1629" s="1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1">
        <v>44562</v>
      </c>
      <c r="D1630" s="8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3697</v>
      </c>
      <c r="L1630" s="1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1">
        <v>44562</v>
      </c>
      <c r="D1631" s="8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3697</v>
      </c>
      <c r="L1631" s="1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1">
        <v>44562</v>
      </c>
      <c r="D1632" s="8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3697</v>
      </c>
      <c r="L1632" s="1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1">
        <v>44562</v>
      </c>
      <c r="D1633" s="8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3697</v>
      </c>
      <c r="L1633" s="1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1">
        <v>44562</v>
      </c>
      <c r="D1634" s="8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3697</v>
      </c>
      <c r="L1634" s="1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1">
        <v>44562</v>
      </c>
      <c r="D1635" s="8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1">
        <v>44562</v>
      </c>
      <c r="D1636" s="8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1">
        <v>44562</v>
      </c>
      <c r="D1637" s="8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1">
        <v>44562</v>
      </c>
      <c r="D1638" s="8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3697</v>
      </c>
      <c r="L1638" s="1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1">
        <v>44562</v>
      </c>
      <c r="D1639" s="8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3697</v>
      </c>
      <c r="L1639" s="1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1">
        <v>44562</v>
      </c>
      <c r="D1640" s="8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3697</v>
      </c>
      <c r="L1640" s="1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1">
        <v>44562</v>
      </c>
      <c r="D1641" s="8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3697</v>
      </c>
      <c r="L1641" s="1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1">
        <v>44562</v>
      </c>
      <c r="D1642" s="8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3697</v>
      </c>
      <c r="L1642" s="1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1">
        <v>44562</v>
      </c>
      <c r="D1643" s="8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3697</v>
      </c>
      <c r="L1643" s="1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1">
        <v>44562</v>
      </c>
      <c r="D1644" s="8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3697</v>
      </c>
      <c r="L1644" s="1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1">
        <v>44562</v>
      </c>
      <c r="D1645" s="8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3697</v>
      </c>
      <c r="L1645" s="1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1">
        <v>44562</v>
      </c>
      <c r="D1646" s="8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3697</v>
      </c>
      <c r="L1646" s="1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1">
        <v>44562</v>
      </c>
      <c r="D1647" s="8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3697</v>
      </c>
      <c r="L1647" s="1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1">
        <v>44562</v>
      </c>
      <c r="D1648" s="8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3697</v>
      </c>
      <c r="L1648" s="1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1">
        <v>44562</v>
      </c>
      <c r="D1649" s="8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3697</v>
      </c>
      <c r="L1649" s="1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1">
        <v>44197</v>
      </c>
      <c r="D1650" s="8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1">
        <v>44197</v>
      </c>
      <c r="D1651" s="8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1">
        <v>44197</v>
      </c>
      <c r="D1652" s="8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1">
        <v>44197</v>
      </c>
      <c r="D1653" s="8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1">
        <v>44197</v>
      </c>
      <c r="D1654" s="8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1">
        <v>44197</v>
      </c>
      <c r="D1655" s="8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1">
        <v>44197</v>
      </c>
      <c r="D1656" s="8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1">
        <v>44197</v>
      </c>
      <c r="D1657" s="8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1">
        <v>44197</v>
      </c>
      <c r="D1658" s="8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1">
        <v>44197</v>
      </c>
      <c r="D1659" s="8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1">
        <v>44197</v>
      </c>
      <c r="D1660" s="8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1">
        <v>44197</v>
      </c>
      <c r="D1661" s="8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3587</v>
      </c>
      <c r="L1661" s="1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1">
        <v>44197</v>
      </c>
      <c r="D1662" s="8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3587</v>
      </c>
      <c r="L1662" s="1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1">
        <v>44197</v>
      </c>
      <c r="D1663" s="8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3587</v>
      </c>
      <c r="L1663" s="1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1">
        <v>44197</v>
      </c>
      <c r="D1664" s="8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3587</v>
      </c>
      <c r="L1664" s="1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1">
        <v>44197</v>
      </c>
      <c r="D1665" s="8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3587</v>
      </c>
      <c r="L1665" s="1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1">
        <v>44197</v>
      </c>
      <c r="D1666" s="8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3587</v>
      </c>
      <c r="L1666" s="1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1">
        <v>44197</v>
      </c>
      <c r="D1667" s="8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3587</v>
      </c>
      <c r="L1667" s="1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1">
        <v>44197</v>
      </c>
      <c r="D1668" s="8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3587</v>
      </c>
      <c r="L1668" s="1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1">
        <v>44197</v>
      </c>
      <c r="D1669" s="8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3587</v>
      </c>
      <c r="L1669" s="1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1">
        <v>44197</v>
      </c>
      <c r="D1670" s="8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3591</v>
      </c>
      <c r="L1670" s="1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1">
        <v>44197</v>
      </c>
      <c r="D1671" s="8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3591</v>
      </c>
      <c r="L1671" s="1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1">
        <v>44197</v>
      </c>
      <c r="D1672" s="8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3591</v>
      </c>
      <c r="L1672" s="1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1">
        <v>44197</v>
      </c>
      <c r="D1673" s="8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3591</v>
      </c>
      <c r="L1673" s="1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1">
        <v>44197</v>
      </c>
      <c r="D1674" s="8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3591</v>
      </c>
      <c r="L1674" s="1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1">
        <v>44197</v>
      </c>
      <c r="D1675" s="8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3591</v>
      </c>
      <c r="L1675" s="1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1">
        <v>44197</v>
      </c>
      <c r="D1676" s="8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3591</v>
      </c>
      <c r="L1676" s="1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1">
        <v>44197</v>
      </c>
      <c r="D1677" s="8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3591</v>
      </c>
      <c r="L1677" s="1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1">
        <v>44197</v>
      </c>
      <c r="D1678" s="8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3591</v>
      </c>
      <c r="L1678" s="1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1">
        <v>44197</v>
      </c>
      <c r="D1679" s="8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3591</v>
      </c>
      <c r="L1679" s="1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1">
        <v>44197</v>
      </c>
      <c r="D1680" s="8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1">
        <v>44197</v>
      </c>
      <c r="D1681" s="8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1">
        <v>44197</v>
      </c>
      <c r="D1682" s="8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1">
        <v>44197</v>
      </c>
      <c r="D1683" s="8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1">
        <v>44197</v>
      </c>
      <c r="D1684" s="8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1">
        <v>44197</v>
      </c>
      <c r="D1685" s="8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1">
        <v>44197</v>
      </c>
      <c r="D1686" s="8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1">
        <v>44197</v>
      </c>
      <c r="D1687" s="8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1">
        <v>44197</v>
      </c>
      <c r="D1688" s="8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1">
        <v>44197</v>
      </c>
      <c r="D1689" s="8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1">
        <v>44197</v>
      </c>
      <c r="D1690" s="8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1">
        <v>44197</v>
      </c>
      <c r="D1691" s="8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1">
        <v>44197</v>
      </c>
      <c r="D1692" s="8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1">
        <v>44197</v>
      </c>
      <c r="D1693" s="8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1">
        <v>44197</v>
      </c>
      <c r="D1694" s="8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1">
        <v>44197</v>
      </c>
      <c r="D1695" s="8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1">
        <v>44197</v>
      </c>
      <c r="D1696" s="8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1">
        <v>44197</v>
      </c>
      <c r="D1697" s="8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1">
        <v>44197</v>
      </c>
      <c r="D1698" s="8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1">
        <v>44197</v>
      </c>
      <c r="D1699" s="8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1">
        <v>44197</v>
      </c>
      <c r="D1700" s="8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1">
        <v>44197</v>
      </c>
      <c r="D1701" s="8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1">
        <v>44197</v>
      </c>
      <c r="D1702" s="8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1">
        <v>44197</v>
      </c>
      <c r="D1703" s="8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1">
        <v>44197</v>
      </c>
      <c r="D1704" s="8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1">
        <v>44197</v>
      </c>
      <c r="D1705" s="8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1">
        <v>44197</v>
      </c>
      <c r="D1706" s="8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1">
        <v>44197</v>
      </c>
      <c r="D1707" s="8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1">
        <v>44197</v>
      </c>
      <c r="D1708" s="8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1">
        <v>44197</v>
      </c>
      <c r="D1709" s="8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1">
        <v>44197</v>
      </c>
      <c r="D1710" s="8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1">
        <v>44197</v>
      </c>
      <c r="D1711" s="8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1">
        <v>44197</v>
      </c>
      <c r="D1712" s="8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1">
        <v>44197</v>
      </c>
      <c r="D1713" s="8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1">
        <v>44197</v>
      </c>
      <c r="D1714" s="8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1">
        <v>44197</v>
      </c>
      <c r="D1715" s="8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1">
        <v>44197</v>
      </c>
      <c r="D1716" s="8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1">
        <v>44197</v>
      </c>
      <c r="D1717" s="8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1">
        <v>44197</v>
      </c>
      <c r="D1718" s="8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1">
        <v>44197</v>
      </c>
      <c r="D1719" s="8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1">
        <v>44197</v>
      </c>
      <c r="D1720" s="8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1">
        <v>44197</v>
      </c>
      <c r="D1721" s="8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1">
        <v>44197</v>
      </c>
      <c r="D1722" s="8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1">
        <v>44197</v>
      </c>
      <c r="D1723" s="8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1">
        <v>44197</v>
      </c>
      <c r="D1724" s="8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1">
        <v>44197</v>
      </c>
      <c r="D1725" s="8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1">
        <v>44197</v>
      </c>
      <c r="D1726" s="8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1">
        <v>44197</v>
      </c>
      <c r="D1727" s="8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1">
        <v>44197</v>
      </c>
      <c r="D1728" s="8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1">
        <v>44197</v>
      </c>
      <c r="D1729" s="8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1">
        <v>44197</v>
      </c>
      <c r="D1730" s="8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1">
        <v>44197</v>
      </c>
      <c r="D1731" s="8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1">
        <v>44197</v>
      </c>
      <c r="D1732" s="8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1">
        <v>44197</v>
      </c>
      <c r="D1733" s="8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1">
        <v>44197</v>
      </c>
      <c r="D1734" s="8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1">
        <v>44197</v>
      </c>
      <c r="D1735" s="8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1">
        <v>44197</v>
      </c>
      <c r="D1736" s="8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1">
        <v>44197</v>
      </c>
      <c r="D1737" s="8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1">
        <v>44197</v>
      </c>
      <c r="D1738" s="8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1">
        <v>44197</v>
      </c>
      <c r="D1739" s="8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1">
        <v>44197</v>
      </c>
      <c r="D1740" s="8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1">
        <v>44197</v>
      </c>
      <c r="D1741" s="8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1">
        <v>44197</v>
      </c>
      <c r="D1742" s="8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1">
        <v>44197</v>
      </c>
      <c r="D1743" s="8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1">
        <v>44197</v>
      </c>
      <c r="D1744" s="8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1">
        <v>44197</v>
      </c>
      <c r="D1745" s="8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1">
        <v>44197</v>
      </c>
      <c r="D1746" s="8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1">
        <v>44197</v>
      </c>
      <c r="D1747" s="8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1">
        <v>44197</v>
      </c>
      <c r="D1748" s="8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1">
        <v>44197</v>
      </c>
      <c r="D1749" s="8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1">
        <v>44197</v>
      </c>
      <c r="D1750" s="8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1">
        <v>44197</v>
      </c>
      <c r="D1751" s="8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1">
        <v>44197</v>
      </c>
      <c r="D1752" s="8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1">
        <v>44197</v>
      </c>
      <c r="D1753" s="8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1">
        <v>44197</v>
      </c>
      <c r="D1754" s="8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1">
        <v>44197</v>
      </c>
      <c r="D1755" s="8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1">
        <v>44197</v>
      </c>
      <c r="D1756" s="8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1">
        <v>44197</v>
      </c>
      <c r="D1757" s="8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1">
        <v>44197</v>
      </c>
      <c r="D1758" s="8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1">
        <v>44197</v>
      </c>
      <c r="D1759" s="8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1">
        <v>44197</v>
      </c>
      <c r="D1760" s="8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1">
        <v>44197</v>
      </c>
      <c r="D1761" s="8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1">
        <v>44197</v>
      </c>
      <c r="D1762" s="8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1">
        <v>44197</v>
      </c>
      <c r="D1763" s="8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1">
        <v>44197</v>
      </c>
      <c r="D1764" s="8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1">
        <v>44197</v>
      </c>
      <c r="D1765" s="8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1">
        <v>44197</v>
      </c>
      <c r="D1766" s="8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1">
        <v>44197</v>
      </c>
      <c r="D1767" s="8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1">
        <v>44197</v>
      </c>
      <c r="D1768" s="8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1">
        <v>44197</v>
      </c>
      <c r="D1769" s="8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1">
        <v>44197</v>
      </c>
      <c r="D1770" s="8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1">
        <v>44197</v>
      </c>
      <c r="D1771" s="8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1">
        <v>44197</v>
      </c>
      <c r="D1772" s="8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1">
        <v>44197</v>
      </c>
      <c r="D1773" s="8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1">
        <v>44197</v>
      </c>
      <c r="D1774" s="8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1">
        <v>44197</v>
      </c>
      <c r="D1775" s="8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1">
        <v>44197</v>
      </c>
      <c r="D1776" s="8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1">
        <v>44197</v>
      </c>
      <c r="D1777" s="8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1">
        <v>44197</v>
      </c>
      <c r="D1778" s="8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1">
        <v>44197</v>
      </c>
      <c r="D1779" s="8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1">
        <v>44197</v>
      </c>
      <c r="D1780" s="8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1">
        <v>44197</v>
      </c>
      <c r="D1781" s="8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1">
        <v>44197</v>
      </c>
      <c r="D1782" s="8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1">
        <v>44197</v>
      </c>
      <c r="D1783" s="8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1">
        <v>44197</v>
      </c>
      <c r="D1784" s="8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1">
        <v>44197</v>
      </c>
      <c r="D1785" s="8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1">
        <v>44197</v>
      </c>
      <c r="D1786" s="8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1">
        <v>44197</v>
      </c>
      <c r="D1787" s="8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1">
        <v>44197</v>
      </c>
      <c r="D1788" s="8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1">
        <v>44197</v>
      </c>
      <c r="D1789" s="8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1">
        <v>44197</v>
      </c>
      <c r="D1790" s="8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1">
        <v>44197</v>
      </c>
      <c r="D1791" s="8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1">
        <v>44197</v>
      </c>
      <c r="D1792" s="8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1">
        <v>44197</v>
      </c>
      <c r="D1793" s="8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1">
        <v>44197</v>
      </c>
      <c r="D1794" s="8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1">
        <v>44197</v>
      </c>
      <c r="D1795" s="8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1">
        <v>44197</v>
      </c>
      <c r="D1796" s="8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1">
        <v>44197</v>
      </c>
      <c r="D1797" s="8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1">
        <v>44197</v>
      </c>
      <c r="D1798" s="8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1">
        <v>44197</v>
      </c>
      <c r="D1799" s="8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1">
        <v>44197</v>
      </c>
      <c r="D1800" s="8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1">
        <v>44197</v>
      </c>
      <c r="D1801" s="8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1">
        <v>44197</v>
      </c>
      <c r="D1802" s="8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1">
        <v>44197</v>
      </c>
      <c r="D1803" s="8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1">
        <v>44197</v>
      </c>
      <c r="D1804" s="8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1">
        <v>44197</v>
      </c>
      <c r="D1805" s="8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1">
        <v>44197</v>
      </c>
      <c r="D1806" s="8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1">
        <v>44197</v>
      </c>
      <c r="D1807" s="8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1">
        <v>44197</v>
      </c>
      <c r="D1808" s="8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1">
        <v>44197</v>
      </c>
      <c r="D1809" s="8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1">
        <v>44197</v>
      </c>
      <c r="D1810" s="8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1">
        <v>44197</v>
      </c>
      <c r="D1811" s="8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1">
        <v>44197</v>
      </c>
      <c r="D1812" s="8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1">
        <v>44197</v>
      </c>
      <c r="D1813" s="8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1">
        <v>44197</v>
      </c>
      <c r="D1814" s="8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1">
        <v>44197</v>
      </c>
      <c r="D1815" s="8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1">
        <v>44197</v>
      </c>
      <c r="D1816" s="8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1">
        <v>44197</v>
      </c>
      <c r="D1817" s="8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1">
        <v>44197</v>
      </c>
      <c r="D1818" s="8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1">
        <v>44197</v>
      </c>
      <c r="D1819" s="8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1">
        <v>44197</v>
      </c>
      <c r="D1820" s="8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1">
        <v>44197</v>
      </c>
      <c r="D1821" s="8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1">
        <v>44197</v>
      </c>
      <c r="D1822" s="8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1">
        <v>44197</v>
      </c>
      <c r="D1823" s="8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1">
        <v>44197</v>
      </c>
      <c r="D1824" s="8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1">
        <v>44197</v>
      </c>
      <c r="D1825" s="8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1">
        <v>44197</v>
      </c>
      <c r="D1826" s="8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1">
        <v>44197</v>
      </c>
      <c r="D1827" s="8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1">
        <v>44197</v>
      </c>
      <c r="D1828" s="8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1">
        <v>44197</v>
      </c>
      <c r="D1829" s="8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1">
        <v>44197</v>
      </c>
      <c r="D1830" s="8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1">
        <v>44197</v>
      </c>
      <c r="D1831" s="8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1">
        <v>44197</v>
      </c>
      <c r="D1832" s="8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1">
        <v>44197</v>
      </c>
      <c r="D1833" s="8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1">
        <v>44197</v>
      </c>
      <c r="D1834" s="8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1">
        <v>44197</v>
      </c>
      <c r="D1835" s="8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1">
        <v>44197</v>
      </c>
      <c r="D1836" s="8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1">
        <v>44197</v>
      </c>
      <c r="D1837" s="8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1">
        <v>44197</v>
      </c>
      <c r="D1838" s="8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1">
        <v>44197</v>
      </c>
      <c r="D1839" s="8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1">
        <v>44197</v>
      </c>
      <c r="D1840" s="8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1">
        <v>44197</v>
      </c>
      <c r="D1841" s="8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1">
        <v>44197</v>
      </c>
      <c r="D1842" s="8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1">
        <v>44197</v>
      </c>
      <c r="D1843" s="8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1">
        <v>44197</v>
      </c>
      <c r="D1844" s="8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1">
        <v>44197</v>
      </c>
      <c r="D1845" s="8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1">
        <v>44197</v>
      </c>
      <c r="D1846" s="8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3658</v>
      </c>
      <c r="L1846" s="1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1">
        <v>44197</v>
      </c>
      <c r="D1847" s="8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3658</v>
      </c>
      <c r="L1847" s="1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1">
        <v>44197</v>
      </c>
      <c r="D1848" s="8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3658</v>
      </c>
      <c r="L1848" s="1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1">
        <v>44197</v>
      </c>
      <c r="D1849" s="8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3658</v>
      </c>
      <c r="L1849" s="1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1">
        <v>44197</v>
      </c>
      <c r="D1850" s="8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3658</v>
      </c>
      <c r="L1850" s="1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1">
        <v>44197</v>
      </c>
      <c r="D1851" s="8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3658</v>
      </c>
      <c r="L1851" s="1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1">
        <v>44197</v>
      </c>
      <c r="D1852" s="8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3658</v>
      </c>
      <c r="L1852" s="1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1">
        <v>44197</v>
      </c>
      <c r="D1853" s="8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3658</v>
      </c>
      <c r="L1853" s="1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1">
        <v>44197</v>
      </c>
      <c r="D1854" s="8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3658</v>
      </c>
      <c r="L1854" s="1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1">
        <v>44197</v>
      </c>
      <c r="D1855" s="8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1">
        <v>44197</v>
      </c>
      <c r="D1856" s="8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1">
        <v>44197</v>
      </c>
      <c r="D1857" s="8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1">
        <v>44197</v>
      </c>
      <c r="D1858" s="8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1">
        <v>44197</v>
      </c>
      <c r="D1859" s="8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1">
        <v>44197</v>
      </c>
      <c r="D1860" s="8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1">
        <v>44197</v>
      </c>
      <c r="D1861" s="8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1">
        <v>44197</v>
      </c>
      <c r="D1862" s="8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1">
        <v>44197</v>
      </c>
      <c r="D1863" s="8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1">
        <v>44197</v>
      </c>
      <c r="D1864" s="8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1">
        <v>44197</v>
      </c>
      <c r="D1865" s="8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1">
        <v>44197</v>
      </c>
      <c r="D1866" s="8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1">
        <v>44197</v>
      </c>
      <c r="D1867" s="8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1">
        <v>44197</v>
      </c>
      <c r="D1868" s="8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1">
        <v>44197</v>
      </c>
      <c r="D1869" s="8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1">
        <v>44197</v>
      </c>
      <c r="D1870" s="8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1">
        <v>44197</v>
      </c>
      <c r="D1871" s="8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1">
        <v>44197</v>
      </c>
      <c r="D1872" s="8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1">
        <v>44197</v>
      </c>
      <c r="D1873" s="8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1">
        <v>44197</v>
      </c>
      <c r="D1874" s="8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1">
        <v>44197</v>
      </c>
      <c r="D1875" s="8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1">
        <v>44197</v>
      </c>
      <c r="D1876" s="8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1">
        <v>44197</v>
      </c>
      <c r="D1877" s="8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1">
        <v>44197</v>
      </c>
      <c r="D1878" s="8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1">
        <v>44197</v>
      </c>
      <c r="D1879" s="8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1">
        <v>44197</v>
      </c>
      <c r="D1880" s="8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1">
        <v>44197</v>
      </c>
      <c r="D1881" s="8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1">
        <v>44197</v>
      </c>
      <c r="D1882" s="8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1">
        <v>44197</v>
      </c>
      <c r="D1883" s="8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1">
        <v>44197</v>
      </c>
      <c r="D1884" s="8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1">
        <v>44197</v>
      </c>
      <c r="D1885" s="8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1">
        <v>44197</v>
      </c>
      <c r="D1886" s="8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1">
        <v>44197</v>
      </c>
      <c r="D1887" s="8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1">
        <v>44197</v>
      </c>
      <c r="D1888" s="8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1">
        <v>44197</v>
      </c>
      <c r="D1889" s="8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1">
        <v>44197</v>
      </c>
      <c r="D1890" s="8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1">
        <v>44197</v>
      </c>
      <c r="D1891" s="8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1">
        <v>44197</v>
      </c>
      <c r="D1892" s="8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1">
        <v>44197</v>
      </c>
      <c r="D1893" s="8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1">
        <v>44197</v>
      </c>
      <c r="D1894" s="8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1">
        <v>44197</v>
      </c>
      <c r="D1895" s="8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1">
        <v>44197</v>
      </c>
      <c r="D1896" s="8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1">
        <v>44197</v>
      </c>
      <c r="D1897" s="8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1">
        <v>44197</v>
      </c>
      <c r="D1898" s="8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1">
        <v>44197</v>
      </c>
      <c r="D1899" s="8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1">
        <v>44197</v>
      </c>
      <c r="D1900" s="8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1">
        <v>44197</v>
      </c>
      <c r="D1901" s="8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1">
        <v>44197</v>
      </c>
      <c r="D1902" s="8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1">
        <v>44197</v>
      </c>
      <c r="D1903" s="8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1">
        <v>44197</v>
      </c>
      <c r="D1904" s="8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">
        <v>44404</v>
      </c>
      <c r="M1904" t="s">
        <v>951</v>
      </c>
      <c r="N1904" t="s">
        <v>952</v>
      </c>
      <c r="O1904">
        <v>137.5</v>
      </c>
      <c r="P1904" t="s">
        <v>3947</v>
      </c>
    </row>
    <row r="1905" spans="1:16" ht="15" customHeight="1" x14ac:dyDescent="0.4">
      <c r="A1905" t="s">
        <v>15</v>
      </c>
      <c r="B1905" t="s">
        <v>16</v>
      </c>
      <c r="C1905" s="11">
        <v>44197</v>
      </c>
      <c r="D1905" s="8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1">
        <v>44197</v>
      </c>
      <c r="D1906" s="8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1">
        <v>44197</v>
      </c>
      <c r="D1907" s="8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1">
        <v>44197</v>
      </c>
      <c r="D1908" s="8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1">
        <v>44197</v>
      </c>
      <c r="D1909" s="8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1">
        <v>44197</v>
      </c>
      <c r="D1910" s="8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1">
        <v>44197</v>
      </c>
      <c r="D1911" s="8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">
        <v>44518</v>
      </c>
      <c r="M1911" t="s">
        <v>951</v>
      </c>
      <c r="N1911" t="s">
        <v>961</v>
      </c>
      <c r="O1911">
        <v>137.5</v>
      </c>
      <c r="P1911" t="s">
        <v>3947</v>
      </c>
    </row>
    <row r="1912" spans="1:16" ht="15" customHeight="1" x14ac:dyDescent="0.4">
      <c r="A1912" t="s">
        <v>15</v>
      </c>
      <c r="B1912" t="s">
        <v>16</v>
      </c>
      <c r="C1912" s="11">
        <v>44197</v>
      </c>
      <c r="D1912" s="8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1">
        <v>44197</v>
      </c>
      <c r="D1913" s="8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3673</v>
      </c>
      <c r="L1913" s="1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1">
        <v>44197</v>
      </c>
      <c r="D1914" s="8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3673</v>
      </c>
      <c r="L1914" s="1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1">
        <v>44197</v>
      </c>
      <c r="D1915" s="8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3673</v>
      </c>
      <c r="L1915" s="1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1">
        <v>44197</v>
      </c>
      <c r="D1916" s="8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3673</v>
      </c>
      <c r="L1916" s="1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1">
        <v>44197</v>
      </c>
      <c r="D1917" s="8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3673</v>
      </c>
      <c r="L1917" s="1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1">
        <v>44197</v>
      </c>
      <c r="D1918" s="8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3673</v>
      </c>
      <c r="L1918" s="1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1">
        <v>44197</v>
      </c>
      <c r="D1919" s="8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3673</v>
      </c>
      <c r="L1919" s="1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1">
        <v>44197</v>
      </c>
      <c r="D1920" s="8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3673</v>
      </c>
      <c r="L1920" s="1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1">
        <v>44197</v>
      </c>
      <c r="D1921" s="8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3673</v>
      </c>
      <c r="L1921" s="1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1">
        <v>44197</v>
      </c>
      <c r="D1922" s="8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1">
        <v>44197</v>
      </c>
      <c r="D1923" s="8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1">
        <v>44197</v>
      </c>
      <c r="D1924" s="8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1">
        <v>44197</v>
      </c>
      <c r="D1925" s="8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1">
        <v>44197</v>
      </c>
      <c r="D1926" s="8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1">
        <v>44197</v>
      </c>
      <c r="D1927" s="8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1">
        <v>44197</v>
      </c>
      <c r="D1928" s="8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3676</v>
      </c>
      <c r="L1928" s="1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1">
        <v>44197</v>
      </c>
      <c r="D1929" s="8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3676</v>
      </c>
      <c r="L1929" s="1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1">
        <v>44197</v>
      </c>
      <c r="D1930" s="8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3676</v>
      </c>
      <c r="L1930" s="1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1">
        <v>44197</v>
      </c>
      <c r="D1931" s="8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3676</v>
      </c>
      <c r="L1931" s="1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1">
        <v>44197</v>
      </c>
      <c r="D1932" s="8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3676</v>
      </c>
      <c r="L1932" s="1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1">
        <v>44197</v>
      </c>
      <c r="D1933" s="8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3676</v>
      </c>
      <c r="L1933" s="1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1">
        <v>44197</v>
      </c>
      <c r="D1934" s="8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3676</v>
      </c>
      <c r="L1934" s="1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1">
        <v>44197</v>
      </c>
      <c r="D1935" s="8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3676</v>
      </c>
      <c r="L1935" s="1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1">
        <v>44197</v>
      </c>
      <c r="D1936" s="8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3676</v>
      </c>
      <c r="L1936" s="1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1">
        <v>44197</v>
      </c>
      <c r="D1937" s="8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1">
        <v>44197</v>
      </c>
      <c r="D1938" s="8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1">
        <v>44197</v>
      </c>
      <c r="D1939" s="8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1">
        <v>44197</v>
      </c>
      <c r="D1940" s="8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1">
        <v>44197</v>
      </c>
      <c r="D1941" s="8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1">
        <v>44197</v>
      </c>
      <c r="D1942" s="8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1">
        <v>44197</v>
      </c>
      <c r="D1943" s="8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1">
        <v>44197</v>
      </c>
      <c r="D1944" s="8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1">
        <v>44197</v>
      </c>
      <c r="D1945" s="8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1">
        <v>44197</v>
      </c>
      <c r="D1946" s="8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1">
        <v>44197</v>
      </c>
      <c r="D1947" s="8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1">
        <v>44197</v>
      </c>
      <c r="D1948" s="8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1">
        <v>44197</v>
      </c>
      <c r="D1949" s="8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1">
        <v>44197</v>
      </c>
      <c r="D1950" s="8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1">
        <v>44197</v>
      </c>
      <c r="D1951" s="8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1">
        <v>44197</v>
      </c>
      <c r="D1952" s="8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1">
        <v>44197</v>
      </c>
      <c r="D1953" s="8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1">
        <v>44197</v>
      </c>
      <c r="D1954" s="8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1">
        <v>44197</v>
      </c>
      <c r="D1955" s="8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1">
        <v>44197</v>
      </c>
      <c r="D1956" s="8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1">
        <v>44197</v>
      </c>
      <c r="D1957" s="8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1">
        <v>44197</v>
      </c>
      <c r="D1958" s="8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1">
        <v>44197</v>
      </c>
      <c r="D1959" s="8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1">
        <v>44197</v>
      </c>
      <c r="D1960" s="8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3683</v>
      </c>
      <c r="L1960" s="1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1">
        <v>44197</v>
      </c>
      <c r="D1961" s="8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3683</v>
      </c>
      <c r="L1961" s="1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1">
        <v>44197</v>
      </c>
      <c r="D1962" s="8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3683</v>
      </c>
      <c r="L1962" s="1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1">
        <v>44197</v>
      </c>
      <c r="D1963" s="8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3683</v>
      </c>
      <c r="L1963" s="1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1">
        <v>44197</v>
      </c>
      <c r="D1964" s="8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3683</v>
      </c>
      <c r="L1964" s="1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1">
        <v>44197</v>
      </c>
      <c r="D1965" s="8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3683</v>
      </c>
      <c r="L1965" s="1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1">
        <v>44197</v>
      </c>
      <c r="D1966" s="8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3683</v>
      </c>
      <c r="L1966" s="1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1">
        <v>44197</v>
      </c>
      <c r="D1967" s="8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3683</v>
      </c>
      <c r="L1967" s="1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1">
        <v>44197</v>
      </c>
      <c r="D1968" s="8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3683</v>
      </c>
      <c r="L1968" s="1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1">
        <v>44197</v>
      </c>
      <c r="D1969" s="8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1">
        <v>44197</v>
      </c>
      <c r="D1970" s="8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1">
        <v>44197</v>
      </c>
      <c r="D1971" s="8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1">
        <v>44197</v>
      </c>
      <c r="D1972" s="8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1">
        <v>44197</v>
      </c>
      <c r="D1973" s="8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1">
        <v>44197</v>
      </c>
      <c r="D1974" s="8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1">
        <v>44197</v>
      </c>
      <c r="D1975" s="8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1">
        <v>44197</v>
      </c>
      <c r="D1976" s="8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1">
        <v>44197</v>
      </c>
      <c r="D1977" s="8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3683</v>
      </c>
      <c r="L1977" s="1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1">
        <v>44197</v>
      </c>
      <c r="D1978" s="8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3683</v>
      </c>
      <c r="L1978" s="1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1">
        <v>44197</v>
      </c>
      <c r="D1979" s="8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3683</v>
      </c>
      <c r="L1979" s="1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1">
        <v>44197</v>
      </c>
      <c r="D1980" s="8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3683</v>
      </c>
      <c r="L1980" s="1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1">
        <v>44197</v>
      </c>
      <c r="D1981" s="8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3683</v>
      </c>
      <c r="L1981" s="1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1">
        <v>44197</v>
      </c>
      <c r="D1982" s="8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3683</v>
      </c>
      <c r="L1982" s="1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1">
        <v>44197</v>
      </c>
      <c r="D1983" s="8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3683</v>
      </c>
      <c r="L1983" s="1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1">
        <v>44197</v>
      </c>
      <c r="D1984" s="8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3683</v>
      </c>
      <c r="L1984" s="1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1">
        <v>44197</v>
      </c>
      <c r="D1985" s="8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3683</v>
      </c>
      <c r="L1985" s="1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1">
        <v>44197</v>
      </c>
      <c r="D1986" s="8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1">
        <v>44197</v>
      </c>
      <c r="D1987" s="8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1">
        <v>44197</v>
      </c>
      <c r="D1988" s="8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1">
        <v>44197</v>
      </c>
      <c r="D1989" s="8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1">
        <v>44197</v>
      </c>
      <c r="D1990" s="8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1">
        <v>44197</v>
      </c>
      <c r="D1991" s="8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1">
        <v>44197</v>
      </c>
      <c r="D1992" s="8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1">
        <v>44197</v>
      </c>
      <c r="D1993" s="8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1">
        <v>44197</v>
      </c>
      <c r="D1994" s="8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1">
        <v>44197</v>
      </c>
      <c r="D1995" s="8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1">
        <v>44197</v>
      </c>
      <c r="D1996" s="8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1">
        <v>44197</v>
      </c>
      <c r="D1997" s="8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1">
        <v>44197</v>
      </c>
      <c r="D1998" s="8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1">
        <v>44197</v>
      </c>
      <c r="D1999" s="8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1">
        <v>44197</v>
      </c>
      <c r="D2000" s="8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1">
        <v>44197</v>
      </c>
      <c r="D2001" s="8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1">
        <v>44197</v>
      </c>
      <c r="D2002" s="8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1">
        <v>44197</v>
      </c>
      <c r="D2003" s="8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1">
        <v>44197</v>
      </c>
      <c r="D2004" s="8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1">
        <v>44197</v>
      </c>
      <c r="D2005" s="8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1">
        <v>44197</v>
      </c>
      <c r="D2006" s="8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1">
        <v>44197</v>
      </c>
      <c r="D2007" s="8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1">
        <v>44197</v>
      </c>
      <c r="D2008" s="8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1">
        <v>44197</v>
      </c>
      <c r="D2009" s="8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1">
        <v>44197</v>
      </c>
      <c r="D2010" s="8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1">
        <v>44197</v>
      </c>
      <c r="D2011" s="8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1">
        <v>44197</v>
      </c>
      <c r="D2012" s="8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1">
        <v>44197</v>
      </c>
      <c r="D2013" s="8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1">
        <v>44197</v>
      </c>
      <c r="D2014" s="8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1">
        <v>44197</v>
      </c>
      <c r="D2015" s="8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1">
        <v>44197</v>
      </c>
      <c r="D2016" s="8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1">
        <v>44197</v>
      </c>
      <c r="D2017" s="8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1">
        <v>44197</v>
      </c>
      <c r="D2018" s="8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1">
        <v>44197</v>
      </c>
      <c r="D2019" s="8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1">
        <v>44197</v>
      </c>
      <c r="D2020" s="8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1">
        <v>44197</v>
      </c>
      <c r="D2021" s="8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1">
        <v>44197</v>
      </c>
      <c r="D2022" s="8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1">
        <v>44197</v>
      </c>
      <c r="D2023" s="8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1">
        <v>44197</v>
      </c>
      <c r="D2024" s="8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1">
        <v>44197</v>
      </c>
      <c r="D2025" s="8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1">
        <v>44197</v>
      </c>
      <c r="D2026" s="8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1">
        <v>44197</v>
      </c>
      <c r="D2027" s="8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1">
        <v>44197</v>
      </c>
      <c r="D2028" s="8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1">
        <v>44197</v>
      </c>
      <c r="D2029" s="8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1">
        <v>44197</v>
      </c>
      <c r="D2030" s="8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1">
        <v>44197</v>
      </c>
      <c r="D2031" s="8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1">
        <v>44197</v>
      </c>
      <c r="D2032" s="8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1">
        <v>44197</v>
      </c>
      <c r="D2033" s="8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1">
        <v>44197</v>
      </c>
      <c r="D2034" s="8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3697</v>
      </c>
      <c r="L2034" s="1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1">
        <v>44197</v>
      </c>
      <c r="D2035" s="8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3697</v>
      </c>
      <c r="L2035" s="1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1">
        <v>44197</v>
      </c>
      <c r="D2036" s="8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3697</v>
      </c>
      <c r="L2036" s="1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1">
        <v>44197</v>
      </c>
      <c r="D2037" s="8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3697</v>
      </c>
      <c r="L2037" s="1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1">
        <v>44197</v>
      </c>
      <c r="D2038" s="8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3697</v>
      </c>
      <c r="L2038" s="1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1">
        <v>44197</v>
      </c>
      <c r="D2039" s="8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3697</v>
      </c>
      <c r="L2039" s="1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1">
        <v>44197</v>
      </c>
      <c r="D2040" s="8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3697</v>
      </c>
      <c r="L2040" s="1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1">
        <v>44197</v>
      </c>
      <c r="D2041" s="8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3697</v>
      </c>
      <c r="L2041" s="1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1">
        <v>44197</v>
      </c>
      <c r="D2042" s="8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3697</v>
      </c>
      <c r="L2042" s="1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1">
        <v>44197</v>
      </c>
      <c r="D2043" s="8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1">
        <v>44197</v>
      </c>
      <c r="D2044" s="8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1">
        <v>44197</v>
      </c>
      <c r="D2045" s="8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3697</v>
      </c>
      <c r="L2045" s="1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1">
        <v>44197</v>
      </c>
      <c r="D2046" s="8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3697</v>
      </c>
      <c r="L2046" s="1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1">
        <v>44197</v>
      </c>
      <c r="D2047" s="8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3697</v>
      </c>
      <c r="L2047" s="1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1">
        <v>44197</v>
      </c>
      <c r="D2048" s="8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3697</v>
      </c>
      <c r="L2048" s="1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1">
        <v>44197</v>
      </c>
      <c r="D2049" s="8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3697</v>
      </c>
      <c r="L2049" s="1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1">
        <v>44197</v>
      </c>
      <c r="D2050" s="8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3697</v>
      </c>
      <c r="L2050" s="1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1">
        <v>44197</v>
      </c>
      <c r="D2051" s="8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3697</v>
      </c>
      <c r="L2051" s="1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1">
        <v>44197</v>
      </c>
      <c r="D2052" s="8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3697</v>
      </c>
      <c r="L2052" s="1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1">
        <v>44197</v>
      </c>
      <c r="D2053" s="8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3697</v>
      </c>
      <c r="L2053" s="1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1">
        <v>43831</v>
      </c>
      <c r="D2054" s="8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1">
        <v>43831</v>
      </c>
      <c r="D2055" s="8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1">
        <v>43831</v>
      </c>
      <c r="D2056" s="8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1">
        <v>43831</v>
      </c>
      <c r="D2057" s="8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1">
        <v>43831</v>
      </c>
      <c r="D2058" s="8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1">
        <v>43831</v>
      </c>
      <c r="D2059" s="8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1">
        <v>43831</v>
      </c>
      <c r="D2060" s="8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1">
        <v>43831</v>
      </c>
      <c r="D2061" s="8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1">
        <v>43831</v>
      </c>
      <c r="D2062" s="8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1">
        <v>43831</v>
      </c>
      <c r="D2063" s="8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1">
        <v>43831</v>
      </c>
      <c r="D2064" s="8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1">
        <v>43831</v>
      </c>
      <c r="D2065" s="8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1">
        <v>43831</v>
      </c>
      <c r="D2066" s="8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3587</v>
      </c>
      <c r="L2066" s="1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1">
        <v>43831</v>
      </c>
      <c r="D2067" s="8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3587</v>
      </c>
      <c r="L2067" s="1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1">
        <v>43831</v>
      </c>
      <c r="D2068" s="8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3587</v>
      </c>
      <c r="L2068" s="1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1">
        <v>43831</v>
      </c>
      <c r="D2069" s="8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3587</v>
      </c>
      <c r="L2069" s="1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1">
        <v>43831</v>
      </c>
      <c r="D2070" s="8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3587</v>
      </c>
      <c r="L2070" s="1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1">
        <v>43831</v>
      </c>
      <c r="D2071" s="8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3587</v>
      </c>
      <c r="L2071" s="1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1">
        <v>43831</v>
      </c>
      <c r="D2072" s="8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3591</v>
      </c>
      <c r="L2072" s="1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1">
        <v>43831</v>
      </c>
      <c r="D2073" s="8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3591</v>
      </c>
      <c r="L2073" s="1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1">
        <v>43831</v>
      </c>
      <c r="D2074" s="8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3591</v>
      </c>
      <c r="L2074" s="1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1">
        <v>43831</v>
      </c>
      <c r="D2075" s="8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3591</v>
      </c>
      <c r="L2075" s="1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1">
        <v>43831</v>
      </c>
      <c r="D2076" s="8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3591</v>
      </c>
      <c r="L2076" s="1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1">
        <v>43831</v>
      </c>
      <c r="D2077" s="8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3591</v>
      </c>
      <c r="L2077" s="1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1">
        <v>43831</v>
      </c>
      <c r="D2078" s="8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3591</v>
      </c>
      <c r="L2078" s="1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1">
        <v>43831</v>
      </c>
      <c r="D2079" s="8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1">
        <v>43831</v>
      </c>
      <c r="D2080" s="8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1">
        <v>43831</v>
      </c>
      <c r="D2081" s="8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1">
        <v>43831</v>
      </c>
      <c r="D2082" s="8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1">
        <v>43831</v>
      </c>
      <c r="D2083" s="8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1">
        <v>43831</v>
      </c>
      <c r="D2084" s="8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1">
        <v>43831</v>
      </c>
      <c r="D2085" s="8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1">
        <v>43831</v>
      </c>
      <c r="D2086" s="8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1">
        <v>43831</v>
      </c>
      <c r="D2087" s="8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1">
        <v>43831</v>
      </c>
      <c r="D2088" s="8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1">
        <v>43831</v>
      </c>
      <c r="D2089" s="8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1">
        <v>43831</v>
      </c>
      <c r="D2090" s="8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1">
        <v>43831</v>
      </c>
      <c r="D2091" s="8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1">
        <v>43831</v>
      </c>
      <c r="D2092" s="8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1">
        <v>43831</v>
      </c>
      <c r="D2093" s="8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1">
        <v>43831</v>
      </c>
      <c r="D2094" s="8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1">
        <v>43831</v>
      </c>
      <c r="D2095" s="8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1">
        <v>43831</v>
      </c>
      <c r="D2096" s="8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1">
        <v>43831</v>
      </c>
      <c r="D2097" s="8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1">
        <v>43831</v>
      </c>
      <c r="D2098" s="8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1">
        <v>43831</v>
      </c>
      <c r="D2099" s="8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1">
        <v>43831</v>
      </c>
      <c r="D2100" s="8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1">
        <v>43831</v>
      </c>
      <c r="D2101" s="8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1">
        <v>43831</v>
      </c>
      <c r="D2102" s="8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1">
        <v>43831</v>
      </c>
      <c r="D2103" s="8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1">
        <v>43831</v>
      </c>
      <c r="D2104" s="8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1">
        <v>43831</v>
      </c>
      <c r="D2105" s="8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1">
        <v>43831</v>
      </c>
      <c r="D2106" s="8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1">
        <v>43831</v>
      </c>
      <c r="D2107" s="8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1">
        <v>43831</v>
      </c>
      <c r="D2108" s="8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1">
        <v>43831</v>
      </c>
      <c r="D2109" s="8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1">
        <v>43831</v>
      </c>
      <c r="D2110" s="8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1">
        <v>43831</v>
      </c>
      <c r="D2111" s="8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1">
        <v>43831</v>
      </c>
      <c r="D2112" s="8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1">
        <v>43831</v>
      </c>
      <c r="D2113" s="8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1">
        <v>43831</v>
      </c>
      <c r="D2114" s="8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1">
        <v>43831</v>
      </c>
      <c r="D2115" s="8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1">
        <v>43831</v>
      </c>
      <c r="D2116" s="8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1">
        <v>43831</v>
      </c>
      <c r="D2117" s="8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1">
        <v>43831</v>
      </c>
      <c r="D2118" s="8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1">
        <v>43831</v>
      </c>
      <c r="D2119" s="8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1">
        <v>43831</v>
      </c>
      <c r="D2120" s="8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1">
        <v>43831</v>
      </c>
      <c r="D2121" s="8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1">
        <v>43831</v>
      </c>
      <c r="D2122" s="8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1">
        <v>43831</v>
      </c>
      <c r="D2123" s="8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1">
        <v>43831</v>
      </c>
      <c r="D2124" s="8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1">
        <v>43831</v>
      </c>
      <c r="D2125" s="8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1">
        <v>43831</v>
      </c>
      <c r="D2126" s="8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1">
        <v>43831</v>
      </c>
      <c r="D2127" s="8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1">
        <v>43831</v>
      </c>
      <c r="D2128" s="8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1">
        <v>43831</v>
      </c>
      <c r="D2129" s="8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1">
        <v>43831</v>
      </c>
      <c r="D2130" s="8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1">
        <v>43831</v>
      </c>
      <c r="D2131" s="8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1">
        <v>43831</v>
      </c>
      <c r="D2132" s="8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1">
        <v>43831</v>
      </c>
      <c r="D2133" s="8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1">
        <v>43831</v>
      </c>
      <c r="D2134" s="8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1">
        <v>43831</v>
      </c>
      <c r="D2135" s="8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1">
        <v>43831</v>
      </c>
      <c r="D2136" s="8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1">
        <v>43831</v>
      </c>
      <c r="D2137" s="8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1">
        <v>43831</v>
      </c>
      <c r="D2138" s="8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1">
        <v>43831</v>
      </c>
      <c r="D2139" s="8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1">
        <v>43831</v>
      </c>
      <c r="D2140" s="8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1">
        <v>43831</v>
      </c>
      <c r="D2141" s="8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1">
        <v>43831</v>
      </c>
      <c r="D2142" s="8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1">
        <v>43831</v>
      </c>
      <c r="D2143" s="8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1">
        <v>43831</v>
      </c>
      <c r="D2144" s="8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1">
        <v>43831</v>
      </c>
      <c r="D2145" s="8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1">
        <v>43831</v>
      </c>
      <c r="D2146" s="8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1">
        <v>43831</v>
      </c>
      <c r="D2147" s="8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1">
        <v>43831</v>
      </c>
      <c r="D2148" s="8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1">
        <v>43831</v>
      </c>
      <c r="D2149" s="8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1">
        <v>43831</v>
      </c>
      <c r="D2150" s="8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1">
        <v>43831</v>
      </c>
      <c r="D2151" s="8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1">
        <v>43831</v>
      </c>
      <c r="D2152" s="8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1">
        <v>43831</v>
      </c>
      <c r="D2153" s="8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1">
        <v>43831</v>
      </c>
      <c r="D2154" s="8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1">
        <v>43831</v>
      </c>
      <c r="D2155" s="8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1">
        <v>43831</v>
      </c>
      <c r="D2156" s="8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1">
        <v>43831</v>
      </c>
      <c r="D2157" s="8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1">
        <v>43831</v>
      </c>
      <c r="D2158" s="8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1">
        <v>43831</v>
      </c>
      <c r="D2159" s="8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1">
        <v>43831</v>
      </c>
      <c r="D2160" s="8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1">
        <v>43831</v>
      </c>
      <c r="D2161" s="8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1">
        <v>43831</v>
      </c>
      <c r="D2162" s="8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1">
        <v>43831</v>
      </c>
      <c r="D2163" s="8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1">
        <v>43831</v>
      </c>
      <c r="D2164" s="8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1">
        <v>43831</v>
      </c>
      <c r="D2165" s="8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1">
        <v>43831</v>
      </c>
      <c r="D2166" s="8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1">
        <v>43831</v>
      </c>
      <c r="D2167" s="8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1">
        <v>43831</v>
      </c>
      <c r="D2168" s="8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1">
        <v>43831</v>
      </c>
      <c r="D2169" s="8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1">
        <v>43831</v>
      </c>
      <c r="D2170" s="8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1">
        <v>43831</v>
      </c>
      <c r="D2171" s="8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1">
        <v>43831</v>
      </c>
      <c r="D2172" s="8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1">
        <v>43831</v>
      </c>
      <c r="D2173" s="8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1">
        <v>43831</v>
      </c>
      <c r="D2174" s="8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1">
        <v>43831</v>
      </c>
      <c r="D2175" s="8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1">
        <v>43831</v>
      </c>
      <c r="D2176" s="8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1">
        <v>43831</v>
      </c>
      <c r="D2177" s="8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1">
        <v>43831</v>
      </c>
      <c r="D2178" s="8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1">
        <v>43831</v>
      </c>
      <c r="D2179" s="8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1">
        <v>43831</v>
      </c>
      <c r="D2180" s="8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1">
        <v>43831</v>
      </c>
      <c r="D2181" s="8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1">
        <v>43831</v>
      </c>
      <c r="D2182" s="8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1">
        <v>43831</v>
      </c>
      <c r="D2183" s="8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1">
        <v>43831</v>
      </c>
      <c r="D2184" s="8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1">
        <v>43831</v>
      </c>
      <c r="D2185" s="8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1">
        <v>43831</v>
      </c>
      <c r="D2186" s="8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1">
        <v>43831</v>
      </c>
      <c r="D2187" s="8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1">
        <v>43831</v>
      </c>
      <c r="D2188" s="8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1">
        <v>43831</v>
      </c>
      <c r="D2189" s="8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1">
        <v>43831</v>
      </c>
      <c r="D2190" s="8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1">
        <v>43831</v>
      </c>
      <c r="D2191" s="8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1">
        <v>43831</v>
      </c>
      <c r="D2192" s="8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1">
        <v>43831</v>
      </c>
      <c r="D2193" s="8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1">
        <v>43831</v>
      </c>
      <c r="D2194" s="8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1">
        <v>43831</v>
      </c>
      <c r="D2195" s="8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1">
        <v>43831</v>
      </c>
      <c r="D2196" s="8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1">
        <v>43831</v>
      </c>
      <c r="D2197" s="8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1">
        <v>43831</v>
      </c>
      <c r="D2198" s="8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1">
        <v>43831</v>
      </c>
      <c r="D2199" s="8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1">
        <v>43831</v>
      </c>
      <c r="D2200" s="8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1">
        <v>43831</v>
      </c>
      <c r="D2201" s="8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1">
        <v>43831</v>
      </c>
      <c r="D2202" s="8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1">
        <v>43831</v>
      </c>
      <c r="D2203" s="8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1">
        <v>43831</v>
      </c>
      <c r="D2204" s="8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1">
        <v>43831</v>
      </c>
      <c r="D2205" s="8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1">
        <v>43831</v>
      </c>
      <c r="D2206" s="8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1">
        <v>43831</v>
      </c>
      <c r="D2207" s="8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1">
        <v>43831</v>
      </c>
      <c r="D2208" s="8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1">
        <v>43831</v>
      </c>
      <c r="D2209" s="8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1">
        <v>43831</v>
      </c>
      <c r="D2210" s="8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1">
        <v>43831</v>
      </c>
      <c r="D2211" s="8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1">
        <v>43831</v>
      </c>
      <c r="D2212" s="8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1">
        <v>43831</v>
      </c>
      <c r="D2213" s="8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1">
        <v>43831</v>
      </c>
      <c r="D2214" s="8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1">
        <v>43831</v>
      </c>
      <c r="D2215" s="8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1">
        <v>43831</v>
      </c>
      <c r="D2216" s="8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1">
        <v>43831</v>
      </c>
      <c r="D2217" s="8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1">
        <v>43831</v>
      </c>
      <c r="D2218" s="8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1">
        <v>43831</v>
      </c>
      <c r="D2219" s="8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1">
        <v>43831</v>
      </c>
      <c r="D2220" s="8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1">
        <v>43831</v>
      </c>
      <c r="D2221" s="8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1">
        <v>43831</v>
      </c>
      <c r="D2222" s="8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1">
        <v>43831</v>
      </c>
      <c r="D2223" s="8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1">
        <v>43831</v>
      </c>
      <c r="D2224" s="8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1">
        <v>43831</v>
      </c>
      <c r="D2225" s="8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1">
        <v>43831</v>
      </c>
      <c r="D2226" s="8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1">
        <v>43831</v>
      </c>
      <c r="D2227" s="8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1">
        <v>43831</v>
      </c>
      <c r="D2228" s="8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1">
        <v>43831</v>
      </c>
      <c r="D2229" s="8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1">
        <v>43831</v>
      </c>
      <c r="D2230" s="8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1">
        <v>43831</v>
      </c>
      <c r="D2231" s="8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3658</v>
      </c>
      <c r="L2231" s="1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1">
        <v>43831</v>
      </c>
      <c r="D2232" s="8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3658</v>
      </c>
      <c r="L2232" s="1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1">
        <v>43831</v>
      </c>
      <c r="D2233" s="8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3658</v>
      </c>
      <c r="L2233" s="1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1">
        <v>43831</v>
      </c>
      <c r="D2234" s="8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3658</v>
      </c>
      <c r="L2234" s="1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1">
        <v>43831</v>
      </c>
      <c r="D2235" s="8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3658</v>
      </c>
      <c r="L2235" s="1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1">
        <v>43831</v>
      </c>
      <c r="D2236" s="8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3658</v>
      </c>
      <c r="L2236" s="1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1">
        <v>43831</v>
      </c>
      <c r="D2237" s="8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1">
        <v>43831</v>
      </c>
      <c r="D2238" s="8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1">
        <v>43831</v>
      </c>
      <c r="D2239" s="8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1">
        <v>43831</v>
      </c>
      <c r="D2240" s="8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1">
        <v>43831</v>
      </c>
      <c r="D2241" s="8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1">
        <v>43831</v>
      </c>
      <c r="D2242" s="8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1">
        <v>43831</v>
      </c>
      <c r="D2243" s="8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1">
        <v>43831</v>
      </c>
      <c r="D2244" s="8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1">
        <v>43831</v>
      </c>
      <c r="D2245" s="8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1">
        <v>43831</v>
      </c>
      <c r="D2246" s="8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1">
        <v>43831</v>
      </c>
      <c r="D2247" s="8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1">
        <v>43831</v>
      </c>
      <c r="D2248" s="8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1">
        <v>43831</v>
      </c>
      <c r="D2249" s="8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1">
        <v>43831</v>
      </c>
      <c r="D2250" s="8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1">
        <v>43831</v>
      </c>
      <c r="D2251" s="8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1">
        <v>43831</v>
      </c>
      <c r="D2252" s="8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1">
        <v>43831</v>
      </c>
      <c r="D2253" s="8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1">
        <v>43831</v>
      </c>
      <c r="D2254" s="8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1">
        <v>43831</v>
      </c>
      <c r="D2255" s="8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1">
        <v>43831</v>
      </c>
      <c r="D2256" s="8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1">
        <v>43831</v>
      </c>
      <c r="D2257" s="8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1">
        <v>43831</v>
      </c>
      <c r="D2258" s="8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1">
        <v>43831</v>
      </c>
      <c r="D2259" s="8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1">
        <v>43831</v>
      </c>
      <c r="D2260" s="8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1">
        <v>43831</v>
      </c>
      <c r="D2261" s="8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1">
        <v>43831</v>
      </c>
      <c r="D2262" s="8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1">
        <v>43831</v>
      </c>
      <c r="D2263" s="8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1">
        <v>43831</v>
      </c>
      <c r="D2264" s="8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1">
        <v>43831</v>
      </c>
      <c r="D2265" s="8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1">
        <v>43831</v>
      </c>
      <c r="D2266" s="8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1">
        <v>43831</v>
      </c>
      <c r="D2267" s="8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1">
        <v>43831</v>
      </c>
      <c r="D2268" s="8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1">
        <v>43831</v>
      </c>
      <c r="D2269" s="8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1">
        <v>43831</v>
      </c>
      <c r="D2270" s="8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1">
        <v>43831</v>
      </c>
      <c r="D2271" s="8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1">
        <v>43831</v>
      </c>
      <c r="D2272" s="8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1">
        <v>43831</v>
      </c>
      <c r="D2273" s="8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1">
        <v>43831</v>
      </c>
      <c r="D2274" s="8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1">
        <v>43831</v>
      </c>
      <c r="D2275" s="8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1">
        <v>43831</v>
      </c>
      <c r="D2276" s="8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1">
        <v>43831</v>
      </c>
      <c r="D2277" s="8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1">
        <v>43831</v>
      </c>
      <c r="D2278" s="8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1">
        <v>43831</v>
      </c>
      <c r="D2279" s="8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1">
        <v>43831</v>
      </c>
      <c r="D2280" s="8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1">
        <v>43831</v>
      </c>
      <c r="D2281" s="8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1">
        <v>43831</v>
      </c>
      <c r="D2282" s="8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1">
        <v>43831</v>
      </c>
      <c r="D2283" s="8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1">
        <v>43831</v>
      </c>
      <c r="D2284" s="8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1">
        <v>43831</v>
      </c>
      <c r="D2285" s="8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1">
        <v>43831</v>
      </c>
      <c r="D2286" s="8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1">
        <v>43831</v>
      </c>
      <c r="D2287" s="8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1">
        <v>43831</v>
      </c>
      <c r="D2288" s="8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1">
        <v>43831</v>
      </c>
      <c r="D2289" s="8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1">
        <v>43831</v>
      </c>
      <c r="D2290" s="8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1">
        <v>43831</v>
      </c>
      <c r="D2291" s="8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1">
        <v>43831</v>
      </c>
      <c r="D2292" s="8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1">
        <v>43831</v>
      </c>
      <c r="D2293" s="8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1">
        <v>43831</v>
      </c>
      <c r="D2294" s="8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1">
        <v>43831</v>
      </c>
      <c r="D2295" s="8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1">
        <v>43831</v>
      </c>
      <c r="D2296" s="8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1">
        <v>43831</v>
      </c>
      <c r="D2297" s="8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1">
        <v>43831</v>
      </c>
      <c r="D2298" s="8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3673</v>
      </c>
      <c r="L2298" s="1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1">
        <v>43831</v>
      </c>
      <c r="D2299" s="8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3673</v>
      </c>
      <c r="L2299" s="1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1">
        <v>43831</v>
      </c>
      <c r="D2300" s="8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3673</v>
      </c>
      <c r="L2300" s="1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1">
        <v>43831</v>
      </c>
      <c r="D2301" s="8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3673</v>
      </c>
      <c r="L2301" s="1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1">
        <v>43831</v>
      </c>
      <c r="D2302" s="8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3673</v>
      </c>
      <c r="L2302" s="1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1">
        <v>43831</v>
      </c>
      <c r="D2303" s="8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3673</v>
      </c>
      <c r="L2303" s="1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1">
        <v>43831</v>
      </c>
      <c r="D2304" s="8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1">
        <v>43831</v>
      </c>
      <c r="D2305" s="8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1">
        <v>43831</v>
      </c>
      <c r="D2306" s="8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1">
        <v>43831</v>
      </c>
      <c r="D2307" s="8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1">
        <v>43831</v>
      </c>
      <c r="D2308" s="8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1">
        <v>43831</v>
      </c>
      <c r="D2309" s="8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3676</v>
      </c>
      <c r="L2309" s="1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1">
        <v>43831</v>
      </c>
      <c r="D2310" s="8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3676</v>
      </c>
      <c r="L2310" s="1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1">
        <v>43831</v>
      </c>
      <c r="D2311" s="8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3676</v>
      </c>
      <c r="L2311" s="1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1">
        <v>43831</v>
      </c>
      <c r="D2312" s="8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3676</v>
      </c>
      <c r="L2312" s="1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1">
        <v>43831</v>
      </c>
      <c r="D2313" s="8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3676</v>
      </c>
      <c r="L2313" s="1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1">
        <v>43831</v>
      </c>
      <c r="D2314" s="8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3676</v>
      </c>
      <c r="L2314" s="1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1">
        <v>43831</v>
      </c>
      <c r="D2315" s="8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1">
        <v>43831</v>
      </c>
      <c r="D2316" s="8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1">
        <v>43831</v>
      </c>
      <c r="D2317" s="8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1">
        <v>43831</v>
      </c>
      <c r="D2318" s="8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1">
        <v>43831</v>
      </c>
      <c r="D2319" s="8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1">
        <v>43831</v>
      </c>
      <c r="D2320" s="8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1">
        <v>43831</v>
      </c>
      <c r="D2321" s="8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1">
        <v>43831</v>
      </c>
      <c r="D2322" s="8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1">
        <v>43831</v>
      </c>
      <c r="D2323" s="8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1">
        <v>43831</v>
      </c>
      <c r="D2324" s="8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1">
        <v>43831</v>
      </c>
      <c r="D2325" s="8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1">
        <v>43831</v>
      </c>
      <c r="D2326" s="8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1">
        <v>43831</v>
      </c>
      <c r="D2327" s="8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1">
        <v>43831</v>
      </c>
      <c r="D2328" s="8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1">
        <v>43831</v>
      </c>
      <c r="D2329" s="8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1">
        <v>43831</v>
      </c>
      <c r="D2330" s="8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1">
        <v>43831</v>
      </c>
      <c r="D2331" s="8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1">
        <v>43831</v>
      </c>
      <c r="D2332" s="8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1">
        <v>43831</v>
      </c>
      <c r="D2333" s="8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1">
        <v>43831</v>
      </c>
      <c r="D2334" s="8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1">
        <v>43831</v>
      </c>
      <c r="D2335" s="8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1">
        <v>43831</v>
      </c>
      <c r="D2336" s="8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1">
        <v>43831</v>
      </c>
      <c r="D2337" s="8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3683</v>
      </c>
      <c r="L2337" s="1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1">
        <v>43831</v>
      </c>
      <c r="D2338" s="8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3683</v>
      </c>
      <c r="L2338" s="1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1">
        <v>43831</v>
      </c>
      <c r="D2339" s="8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3683</v>
      </c>
      <c r="L2339" s="1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1">
        <v>43831</v>
      </c>
      <c r="D2340" s="8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3683</v>
      </c>
      <c r="L2340" s="1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1">
        <v>43831</v>
      </c>
      <c r="D2341" s="8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3683</v>
      </c>
      <c r="L2341" s="1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1">
        <v>43831</v>
      </c>
      <c r="D2342" s="8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3683</v>
      </c>
      <c r="L2342" s="1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1">
        <v>43831</v>
      </c>
      <c r="D2343" s="8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1">
        <v>43831</v>
      </c>
      <c r="D2344" s="8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1">
        <v>43831</v>
      </c>
      <c r="D2345" s="8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1">
        <v>43831</v>
      </c>
      <c r="D2346" s="8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1">
        <v>43831</v>
      </c>
      <c r="D2347" s="8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1">
        <v>43831</v>
      </c>
      <c r="D2348" s="8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1">
        <v>43831</v>
      </c>
      <c r="D2349" s="8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1">
        <v>43831</v>
      </c>
      <c r="D2350" s="8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1">
        <v>43831</v>
      </c>
      <c r="D2351" s="8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3683</v>
      </c>
      <c r="L2351" s="1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1">
        <v>43831</v>
      </c>
      <c r="D2352" s="8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3683</v>
      </c>
      <c r="L2352" s="1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1">
        <v>43831</v>
      </c>
      <c r="D2353" s="8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3683</v>
      </c>
      <c r="L2353" s="1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1">
        <v>43831</v>
      </c>
      <c r="D2354" s="8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3683</v>
      </c>
      <c r="L2354" s="1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1">
        <v>43831</v>
      </c>
      <c r="D2355" s="8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3683</v>
      </c>
      <c r="L2355" s="1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1">
        <v>43831</v>
      </c>
      <c r="D2356" s="8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3683</v>
      </c>
      <c r="L2356" s="1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1">
        <v>43831</v>
      </c>
      <c r="D2357" s="8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1">
        <v>43831</v>
      </c>
      <c r="D2358" s="8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1">
        <v>43831</v>
      </c>
      <c r="D2359" s="8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1">
        <v>43831</v>
      </c>
      <c r="D2360" s="8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1">
        <v>43831</v>
      </c>
      <c r="D2361" s="8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1">
        <v>43831</v>
      </c>
      <c r="D2362" s="8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1">
        <v>43831</v>
      </c>
      <c r="D2363" s="8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1">
        <v>43831</v>
      </c>
      <c r="D2364" s="8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1">
        <v>43831</v>
      </c>
      <c r="D2365" s="8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1">
        <v>43831</v>
      </c>
      <c r="D2366" s="8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1">
        <v>43831</v>
      </c>
      <c r="D2367" s="8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1">
        <v>43831</v>
      </c>
      <c r="D2368" s="8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1">
        <v>43831</v>
      </c>
      <c r="D2369" s="8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1">
        <v>43831</v>
      </c>
      <c r="D2370" s="8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1">
        <v>43831</v>
      </c>
      <c r="D2371" s="8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1">
        <v>43831</v>
      </c>
      <c r="D2372" s="8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1">
        <v>43831</v>
      </c>
      <c r="D2373" s="8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1">
        <v>43831</v>
      </c>
      <c r="D2374" s="8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1">
        <v>43831</v>
      </c>
      <c r="D2375" s="8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1">
        <v>43831</v>
      </c>
      <c r="D2376" s="8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1">
        <v>43831</v>
      </c>
      <c r="D2377" s="8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1">
        <v>43831</v>
      </c>
      <c r="D2378" s="8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1">
        <v>43831</v>
      </c>
      <c r="D2379" s="8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1">
        <v>43831</v>
      </c>
      <c r="D2380" s="8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1">
        <v>43831</v>
      </c>
      <c r="D2381" s="8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1">
        <v>43831</v>
      </c>
      <c r="D2382" s="8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1">
        <v>43831</v>
      </c>
      <c r="D2383" s="8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1">
        <v>43831</v>
      </c>
      <c r="D2384" s="8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1">
        <v>43831</v>
      </c>
      <c r="D2385" s="8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1">
        <v>43831</v>
      </c>
      <c r="D2386" s="8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1">
        <v>43831</v>
      </c>
      <c r="D2387" s="8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1">
        <v>43831</v>
      </c>
      <c r="D2388" s="8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1">
        <v>43831</v>
      </c>
      <c r="D2389" s="8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1">
        <v>43831</v>
      </c>
      <c r="D2390" s="8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1">
        <v>43831</v>
      </c>
      <c r="D2391" s="8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1">
        <v>43831</v>
      </c>
      <c r="D2392" s="8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1">
        <v>43831</v>
      </c>
      <c r="D2393" s="8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1">
        <v>43831</v>
      </c>
      <c r="D2394" s="8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1">
        <v>43831</v>
      </c>
      <c r="D2395" s="8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1">
        <v>43831</v>
      </c>
      <c r="D2396" s="8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1">
        <v>43831</v>
      </c>
      <c r="D2397" s="8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1">
        <v>43831</v>
      </c>
      <c r="D2398" s="8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1">
        <v>43831</v>
      </c>
      <c r="D2399" s="8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1">
        <v>43831</v>
      </c>
      <c r="D2400" s="8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1">
        <v>43831</v>
      </c>
      <c r="D2401" s="8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1">
        <v>43831</v>
      </c>
      <c r="D2402" s="8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1">
        <v>43831</v>
      </c>
      <c r="D2403" s="8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1">
        <v>43831</v>
      </c>
      <c r="D2404" s="8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1">
        <v>43831</v>
      </c>
      <c r="D2405" s="8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1">
        <v>43831</v>
      </c>
      <c r="D2406" s="8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1">
        <v>43831</v>
      </c>
      <c r="D2407" s="8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1">
        <v>43831</v>
      </c>
      <c r="D2408" s="8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3697</v>
      </c>
      <c r="L2408" s="1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1">
        <v>43831</v>
      </c>
      <c r="D2409" s="8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3697</v>
      </c>
      <c r="L2409" s="1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1">
        <v>43831</v>
      </c>
      <c r="D2410" s="8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3697</v>
      </c>
      <c r="L2410" s="1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1">
        <v>43831</v>
      </c>
      <c r="D2411" s="8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3697</v>
      </c>
      <c r="L2411" s="1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1">
        <v>43831</v>
      </c>
      <c r="D2412" s="8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3697</v>
      </c>
      <c r="L2412" s="1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1">
        <v>43831</v>
      </c>
      <c r="D2413" s="8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3697</v>
      </c>
      <c r="L2413" s="1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1">
        <v>43831</v>
      </c>
      <c r="D2414" s="8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1">
        <v>43831</v>
      </c>
      <c r="D2415" s="8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1">
        <v>43831</v>
      </c>
      <c r="D2416" s="8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3697</v>
      </c>
      <c r="L2416" s="1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1">
        <v>43831</v>
      </c>
      <c r="D2417" s="8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3697</v>
      </c>
      <c r="L2417" s="1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1">
        <v>43831</v>
      </c>
      <c r="D2418" s="8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3697</v>
      </c>
      <c r="L2418" s="1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1">
        <v>43831</v>
      </c>
      <c r="D2419" s="8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3697</v>
      </c>
      <c r="L2419" s="1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1">
        <v>43831</v>
      </c>
      <c r="D2420" s="8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3697</v>
      </c>
      <c r="L2420" s="1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1">
        <v>43831</v>
      </c>
      <c r="D2421" s="8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3697</v>
      </c>
      <c r="L2421" s="1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1">
        <v>43466</v>
      </c>
      <c r="D2422" s="8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1">
        <v>43466</v>
      </c>
      <c r="D2423" s="8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1">
        <v>43466</v>
      </c>
      <c r="D2424" s="8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1">
        <v>43466</v>
      </c>
      <c r="D2425" s="8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1">
        <v>43466</v>
      </c>
      <c r="D2426" s="8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1">
        <v>43466</v>
      </c>
      <c r="D2427" s="8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1">
        <v>43466</v>
      </c>
      <c r="D2428" s="8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1">
        <v>43466</v>
      </c>
      <c r="D2429" s="8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1">
        <v>43466</v>
      </c>
      <c r="D2430" s="8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1">
        <v>43466</v>
      </c>
      <c r="D2431" s="8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1">
        <v>43466</v>
      </c>
      <c r="D2432" s="8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1">
        <v>43466</v>
      </c>
      <c r="D2433" s="8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1">
        <v>43466</v>
      </c>
      <c r="D2434" s="8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1">
        <v>43466</v>
      </c>
      <c r="D2435" s="8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1">
        <v>43466</v>
      </c>
      <c r="D2436" s="8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1">
        <v>43466</v>
      </c>
      <c r="D2437" s="8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1">
        <v>43466</v>
      </c>
      <c r="D2438" s="8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1">
        <v>43466</v>
      </c>
      <c r="D2439" s="8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1">
        <v>43466</v>
      </c>
      <c r="D2440" s="8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1">
        <v>43466</v>
      </c>
      <c r="D2441" s="8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1">
        <v>43466</v>
      </c>
      <c r="D2442" s="8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1">
        <v>43466</v>
      </c>
      <c r="D2443" s="8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1">
        <v>43466</v>
      </c>
      <c r="D2444" s="8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1">
        <v>43466</v>
      </c>
      <c r="D2445" s="8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1">
        <v>43466</v>
      </c>
      <c r="D2446" s="8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1">
        <v>43466</v>
      </c>
      <c r="D2447" s="8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1">
        <v>43466</v>
      </c>
      <c r="D2448" s="8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1">
        <v>43466</v>
      </c>
      <c r="D2449" s="8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1">
        <v>43466</v>
      </c>
      <c r="D2450" s="8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1">
        <v>43466</v>
      </c>
      <c r="D2451" s="8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1">
        <v>43466</v>
      </c>
      <c r="D2452" s="8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1">
        <v>43466</v>
      </c>
      <c r="D2453" s="8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1">
        <v>43466</v>
      </c>
      <c r="D2454" s="8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1">
        <v>43466</v>
      </c>
      <c r="D2455" s="8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1">
        <v>43466</v>
      </c>
      <c r="D2456" s="8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1">
        <v>43466</v>
      </c>
      <c r="D2457" s="8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1">
        <v>43466</v>
      </c>
      <c r="D2458" s="8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1">
        <v>43466</v>
      </c>
      <c r="D2459" s="8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1">
        <v>43466</v>
      </c>
      <c r="D2460" s="8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1">
        <v>43466</v>
      </c>
      <c r="D2461" s="8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1">
        <v>43466</v>
      </c>
      <c r="D2462" s="8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1">
        <v>43466</v>
      </c>
      <c r="D2463" s="8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1">
        <v>43466</v>
      </c>
      <c r="D2464" s="8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1">
        <v>43466</v>
      </c>
      <c r="D2465" s="8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1">
        <v>43466</v>
      </c>
      <c r="D2466" s="8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1">
        <v>43466</v>
      </c>
      <c r="D2467" s="8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1">
        <v>43466</v>
      </c>
      <c r="D2468" s="8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1">
        <v>43466</v>
      </c>
      <c r="D2469" s="8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1">
        <v>43466</v>
      </c>
      <c r="D2470" s="8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1">
        <v>43466</v>
      </c>
      <c r="D2471" s="8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1">
        <v>43466</v>
      </c>
      <c r="D2472" s="8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1">
        <v>43466</v>
      </c>
      <c r="D2473" s="8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1">
        <v>43466</v>
      </c>
      <c r="D2474" s="8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1">
        <v>43466</v>
      </c>
      <c r="D2475" s="8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1">
        <v>43466</v>
      </c>
      <c r="D2476" s="8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1">
        <v>43466</v>
      </c>
      <c r="D2477" s="8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1">
        <v>43466</v>
      </c>
      <c r="D2478" s="8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1">
        <v>43466</v>
      </c>
      <c r="D2479" s="8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1">
        <v>43466</v>
      </c>
      <c r="D2480" s="8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1">
        <v>43466</v>
      </c>
      <c r="D2481" s="8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1">
        <v>43466</v>
      </c>
      <c r="D2482" s="8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1">
        <v>43466</v>
      </c>
      <c r="D2483" s="8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1">
        <v>43466</v>
      </c>
      <c r="D2484" s="8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1">
        <v>43466</v>
      </c>
      <c r="D2485" s="8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1">
        <v>43466</v>
      </c>
      <c r="D2486" s="8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1">
        <v>43466</v>
      </c>
      <c r="D2487" s="8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1">
        <v>43466</v>
      </c>
      <c r="D2488" s="8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1">
        <v>43466</v>
      </c>
      <c r="D2489" s="8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1">
        <v>43466</v>
      </c>
      <c r="D2490" s="8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1">
        <v>43466</v>
      </c>
      <c r="D2491" s="8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1">
        <v>43466</v>
      </c>
      <c r="D2492" s="8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1">
        <v>43466</v>
      </c>
      <c r="D2493" s="8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1">
        <v>43466</v>
      </c>
      <c r="D2494" s="8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1">
        <v>43466</v>
      </c>
      <c r="D2495" s="8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1">
        <v>43466</v>
      </c>
      <c r="D2496" s="8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1">
        <v>43466</v>
      </c>
      <c r="D2497" s="8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1">
        <v>43466</v>
      </c>
      <c r="D2498" s="8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1">
        <v>43466</v>
      </c>
      <c r="D2499" s="8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1">
        <v>43466</v>
      </c>
      <c r="D2500" s="8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1">
        <v>43466</v>
      </c>
      <c r="D2501" s="8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1">
        <v>43466</v>
      </c>
      <c r="D2502" s="8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1">
        <v>43466</v>
      </c>
      <c r="D2503" s="8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1">
        <v>43466</v>
      </c>
      <c r="D2504" s="8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1">
        <v>43466</v>
      </c>
      <c r="D2505" s="8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1">
        <v>43466</v>
      </c>
      <c r="D2506" s="8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1">
        <v>43466</v>
      </c>
      <c r="D2507" s="8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1">
        <v>43466</v>
      </c>
      <c r="D2508" s="8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1">
        <v>43466</v>
      </c>
      <c r="D2509" s="8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1">
        <v>43466</v>
      </c>
      <c r="D2510" s="8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1">
        <v>43466</v>
      </c>
      <c r="D2511" s="8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1">
        <v>43466</v>
      </c>
      <c r="D2512" s="8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1">
        <v>43466</v>
      </c>
      <c r="D2513" s="8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1">
        <v>43466</v>
      </c>
      <c r="D2514" s="8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1">
        <v>43466</v>
      </c>
      <c r="D2515" s="8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1">
        <v>43466</v>
      </c>
      <c r="D2516" s="8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1">
        <v>43466</v>
      </c>
      <c r="D2517" s="8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1">
        <v>43466</v>
      </c>
      <c r="D2518" s="8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1">
        <v>43466</v>
      </c>
      <c r="D2519" s="8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1">
        <v>43466</v>
      </c>
      <c r="D2520" s="8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1">
        <v>43466</v>
      </c>
      <c r="D2521" s="8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1">
        <v>43466</v>
      </c>
      <c r="D2522" s="8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1">
        <v>43466</v>
      </c>
      <c r="D2523" s="8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1">
        <v>43466</v>
      </c>
      <c r="D2524" s="8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1">
        <v>43466</v>
      </c>
      <c r="D2525" s="8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1">
        <v>43466</v>
      </c>
      <c r="D2526" s="8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1">
        <v>43466</v>
      </c>
      <c r="D2527" s="8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1">
        <v>43466</v>
      </c>
      <c r="D2528" s="8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1">
        <v>43466</v>
      </c>
      <c r="D2529" s="8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1">
        <v>43466</v>
      </c>
      <c r="D2530" s="8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1">
        <v>43466</v>
      </c>
      <c r="D2531" s="8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1">
        <v>43466</v>
      </c>
      <c r="D2532" s="8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1">
        <v>43466</v>
      </c>
      <c r="D2533" s="8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1">
        <v>43466</v>
      </c>
      <c r="D2534" s="8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1">
        <v>43466</v>
      </c>
      <c r="D2535" s="8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1">
        <v>43466</v>
      </c>
      <c r="D2536" s="8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1">
        <v>43466</v>
      </c>
      <c r="D2537" s="8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1">
        <v>43466</v>
      </c>
      <c r="D2538" s="8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1">
        <v>43466</v>
      </c>
      <c r="D2539" s="8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1">
        <v>43466</v>
      </c>
      <c r="D2540" s="8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1">
        <v>43466</v>
      </c>
      <c r="D2541" s="8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1">
        <v>43466</v>
      </c>
      <c r="D2542" s="8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1">
        <v>43466</v>
      </c>
      <c r="D2543" s="8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1">
        <v>43466</v>
      </c>
      <c r="D2544" s="8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1">
        <v>43466</v>
      </c>
      <c r="D2545" s="8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1">
        <v>43466</v>
      </c>
      <c r="D2546" s="8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1">
        <v>43466</v>
      </c>
      <c r="D2547" s="8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1">
        <v>43466</v>
      </c>
      <c r="D2548" s="8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1">
        <v>43466</v>
      </c>
      <c r="D2549" s="8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1">
        <v>43466</v>
      </c>
      <c r="D2550" s="8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1">
        <v>43466</v>
      </c>
      <c r="D2551" s="8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1">
        <v>43466</v>
      </c>
      <c r="D2552" s="8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1">
        <v>43466</v>
      </c>
      <c r="D2553" s="8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1">
        <v>43466</v>
      </c>
      <c r="D2554" s="8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1">
        <v>43466</v>
      </c>
      <c r="D2555" s="8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1">
        <v>43466</v>
      </c>
      <c r="D2556" s="8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1">
        <v>43466</v>
      </c>
      <c r="D2557" s="8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1">
        <v>43466</v>
      </c>
      <c r="D2558" s="8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1">
        <v>43466</v>
      </c>
      <c r="D2559" s="8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1">
        <v>43466</v>
      </c>
      <c r="D2560" s="8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1">
        <v>43466</v>
      </c>
      <c r="D2561" s="8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1">
        <v>43466</v>
      </c>
      <c r="D2562" s="8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1">
        <v>43466</v>
      </c>
      <c r="D2563" s="8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1">
        <v>43466</v>
      </c>
      <c r="D2564" s="8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1">
        <v>43466</v>
      </c>
      <c r="D2565" s="8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1">
        <v>43466</v>
      </c>
      <c r="D2566" s="8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1">
        <v>43466</v>
      </c>
      <c r="D2567" s="8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1">
        <v>43466</v>
      </c>
      <c r="D2568" s="8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1">
        <v>43466</v>
      </c>
      <c r="D2569" s="8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1">
        <v>43466</v>
      </c>
      <c r="D2570" s="8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1">
        <v>43466</v>
      </c>
      <c r="D2571" s="8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1">
        <v>43466</v>
      </c>
      <c r="D2572" s="8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1">
        <v>43466</v>
      </c>
      <c r="D2573" s="8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1">
        <v>43466</v>
      </c>
      <c r="D2574" s="8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1">
        <v>43466</v>
      </c>
      <c r="D2575" s="8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1">
        <v>43466</v>
      </c>
      <c r="D2576" s="8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1">
        <v>43466</v>
      </c>
      <c r="D2577" s="8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1">
        <v>43466</v>
      </c>
      <c r="D2578" s="8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1">
        <v>43466</v>
      </c>
      <c r="D2579" s="8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1">
        <v>43466</v>
      </c>
      <c r="D2580" s="8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1">
        <v>43466</v>
      </c>
      <c r="D2581" s="8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1">
        <v>43466</v>
      </c>
      <c r="D2582" s="8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1">
        <v>43466</v>
      </c>
      <c r="D2583" s="8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1">
        <v>43466</v>
      </c>
      <c r="D2584" s="8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1">
        <v>43466</v>
      </c>
      <c r="D2585" s="8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1">
        <v>43466</v>
      </c>
      <c r="D2586" s="8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1">
        <v>43466</v>
      </c>
      <c r="D2587" s="8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1">
        <v>43466</v>
      </c>
      <c r="D2588" s="8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1">
        <v>43466</v>
      </c>
      <c r="D2589" s="8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1">
        <v>43466</v>
      </c>
      <c r="D2590" s="8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1">
        <v>43466</v>
      </c>
      <c r="D2591" s="8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1">
        <v>43466</v>
      </c>
      <c r="D2592" s="8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1">
        <v>43466</v>
      </c>
      <c r="D2593" s="8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1">
        <v>43466</v>
      </c>
      <c r="D2594" s="8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1">
        <v>43466</v>
      </c>
      <c r="D2595" s="8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1">
        <v>43466</v>
      </c>
      <c r="D2596" s="8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1">
        <v>43466</v>
      </c>
      <c r="D2597" s="8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1">
        <v>43466</v>
      </c>
      <c r="D2598" s="8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1">
        <v>43466</v>
      </c>
      <c r="D2599" s="8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1">
        <v>43466</v>
      </c>
      <c r="D2600" s="8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1">
        <v>43466</v>
      </c>
      <c r="D2601" s="8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1">
        <v>43466</v>
      </c>
      <c r="D2602" s="8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1">
        <v>43466</v>
      </c>
      <c r="D2603" s="8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1">
        <v>43466</v>
      </c>
      <c r="D2604" s="8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1">
        <v>43466</v>
      </c>
      <c r="D2605" s="8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1">
        <v>43466</v>
      </c>
      <c r="D2606" s="8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1">
        <v>43466</v>
      </c>
      <c r="D2607" s="8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1">
        <v>43466</v>
      </c>
      <c r="D2608" s="8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1">
        <v>43466</v>
      </c>
      <c r="D2609" s="8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1">
        <v>43466</v>
      </c>
      <c r="D2610" s="8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1">
        <v>43466</v>
      </c>
      <c r="D2611" s="8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1">
        <v>43466</v>
      </c>
      <c r="D2612" s="8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1">
        <v>43466</v>
      </c>
      <c r="D2613" s="8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1">
        <v>43466</v>
      </c>
      <c r="D2614" s="8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1">
        <v>43466</v>
      </c>
      <c r="D2615" s="8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1">
        <v>43466</v>
      </c>
      <c r="D2616" s="8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1">
        <v>43466</v>
      </c>
      <c r="D2617" s="8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1">
        <v>43466</v>
      </c>
      <c r="D2618" s="8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1">
        <v>43466</v>
      </c>
      <c r="D2619" s="8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1">
        <v>43466</v>
      </c>
      <c r="D2620" s="8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1">
        <v>43466</v>
      </c>
      <c r="D2621" s="8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1">
        <v>43466</v>
      </c>
      <c r="D2622" s="8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1">
        <v>43466</v>
      </c>
      <c r="D2623" s="8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1">
        <v>43466</v>
      </c>
      <c r="D2624" s="8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1">
        <v>43466</v>
      </c>
      <c r="D2625" s="8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1">
        <v>43466</v>
      </c>
      <c r="D2626" s="8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1">
        <v>43466</v>
      </c>
      <c r="D2627" s="8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1">
        <v>43466</v>
      </c>
      <c r="D2628" s="8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1">
        <v>43466</v>
      </c>
      <c r="D2629" s="8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1">
        <v>43466</v>
      </c>
      <c r="D2630" s="8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1">
        <v>43466</v>
      </c>
      <c r="D2631" s="8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1">
        <v>43466</v>
      </c>
      <c r="D2632" s="8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1">
        <v>43466</v>
      </c>
      <c r="D2633" s="8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1">
        <v>43466</v>
      </c>
      <c r="D2634" s="8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1">
        <v>43466</v>
      </c>
      <c r="D2635" s="8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1">
        <v>43466</v>
      </c>
      <c r="D2636" s="8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1">
        <v>43466</v>
      </c>
      <c r="D2637" s="8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1">
        <v>43466</v>
      </c>
      <c r="D2638" s="8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1">
        <v>43466</v>
      </c>
      <c r="D2639" s="8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1">
        <v>43466</v>
      </c>
      <c r="D2640" s="8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1">
        <v>43466</v>
      </c>
      <c r="D2641" s="8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1">
        <v>43466</v>
      </c>
      <c r="D2642" s="8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1">
        <v>43466</v>
      </c>
      <c r="D2643" s="8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1">
        <v>43466</v>
      </c>
      <c r="D2644" s="8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1">
        <v>43466</v>
      </c>
      <c r="D2645" s="8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1">
        <v>43466</v>
      </c>
      <c r="D2646" s="8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1">
        <v>43466</v>
      </c>
      <c r="D2647" s="8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1">
        <v>43466</v>
      </c>
      <c r="D2648" s="8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1">
        <v>43466</v>
      </c>
      <c r="D2649" s="8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1">
        <v>43466</v>
      </c>
      <c r="D2650" s="8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1">
        <v>43466</v>
      </c>
      <c r="D2651" s="8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1">
        <v>43466</v>
      </c>
      <c r="D2652" s="8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1">
        <v>43466</v>
      </c>
      <c r="D2653" s="8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1">
        <v>43466</v>
      </c>
      <c r="D2654" s="8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1">
        <v>43466</v>
      </c>
      <c r="D2655" s="8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1">
        <v>43466</v>
      </c>
      <c r="D2656" s="8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1">
        <v>43466</v>
      </c>
      <c r="D2657" s="8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1">
        <v>43466</v>
      </c>
      <c r="D2658" s="8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1">
        <v>43466</v>
      </c>
      <c r="D2659" s="8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1">
        <v>43466</v>
      </c>
      <c r="D2660" s="8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1">
        <v>43466</v>
      </c>
      <c r="D2661" s="8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1">
        <v>43466</v>
      </c>
      <c r="D2662" s="8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1">
        <v>43466</v>
      </c>
      <c r="D2663" s="8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1">
        <v>43466</v>
      </c>
      <c r="D2664" s="8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1">
        <v>43466</v>
      </c>
      <c r="D2665" s="8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1">
        <v>43466</v>
      </c>
      <c r="D2666" s="8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1">
        <v>43466</v>
      </c>
      <c r="D2667" s="8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1">
        <v>43466</v>
      </c>
      <c r="D2668" s="8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1">
        <v>43466</v>
      </c>
      <c r="D2669" s="8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1">
        <v>43466</v>
      </c>
      <c r="D2670" s="8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1">
        <v>43466</v>
      </c>
      <c r="D2671" s="8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1">
        <v>43466</v>
      </c>
      <c r="D2672" s="8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1">
        <v>43466</v>
      </c>
      <c r="D2673" s="8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1">
        <v>43466</v>
      </c>
      <c r="D2674" s="8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1">
        <v>43466</v>
      </c>
      <c r="D2675" s="8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1">
        <v>43466</v>
      </c>
      <c r="D2676" s="8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1">
        <v>43466</v>
      </c>
      <c r="D2677" s="8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1">
        <v>43466</v>
      </c>
      <c r="D2678" s="8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1">
        <v>43466</v>
      </c>
      <c r="D2679" s="8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1">
        <v>43466</v>
      </c>
      <c r="D2680" s="8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1">
        <v>43466</v>
      </c>
      <c r="D2681" s="8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1">
        <v>43466</v>
      </c>
      <c r="D2682" s="8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1">
        <v>43466</v>
      </c>
      <c r="D2683" s="8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1">
        <v>43466</v>
      </c>
      <c r="D2684" s="8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1">
        <v>43466</v>
      </c>
      <c r="D2685" s="8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1">
        <v>43466</v>
      </c>
      <c r="D2686" s="8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1">
        <v>43466</v>
      </c>
      <c r="D2687" s="8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1">
        <v>43466</v>
      </c>
      <c r="D2688" s="8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1">
        <v>43466</v>
      </c>
      <c r="D2689" s="8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1">
        <v>43466</v>
      </c>
      <c r="D2690" s="8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1">
        <v>43466</v>
      </c>
      <c r="D2691" s="8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1">
        <v>43466</v>
      </c>
      <c r="D2692" s="8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1">
        <v>43466</v>
      </c>
      <c r="D2693" s="8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1">
        <v>43466</v>
      </c>
      <c r="D2694" s="8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1">
        <v>43466</v>
      </c>
      <c r="D2695" s="8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1">
        <v>43466</v>
      </c>
      <c r="D2696" s="8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1">
        <v>43466</v>
      </c>
      <c r="D2697" s="8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1">
        <v>43466</v>
      </c>
      <c r="D2698" s="8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1">
        <v>43466</v>
      </c>
      <c r="D2699" s="8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1">
        <v>43466</v>
      </c>
      <c r="D2700" s="8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1">
        <v>43466</v>
      </c>
      <c r="D2701" s="8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1">
        <v>43466</v>
      </c>
      <c r="D2702" s="8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1">
        <v>43466</v>
      </c>
      <c r="D2703" s="8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1">
        <v>43466</v>
      </c>
      <c r="D2704" s="8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1">
        <v>43466</v>
      </c>
      <c r="D2705" s="8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1">
        <v>43466</v>
      </c>
      <c r="D2706" s="8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1">
        <v>43466</v>
      </c>
      <c r="D2707" s="8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1">
        <v>43466</v>
      </c>
      <c r="D2708" s="8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1">
        <v>43466</v>
      </c>
      <c r="D2709" s="8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1">
        <v>43466</v>
      </c>
      <c r="D2710" s="8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1">
        <v>43466</v>
      </c>
      <c r="D2711" s="8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1">
        <v>43466</v>
      </c>
      <c r="D2712" s="8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1">
        <v>43466</v>
      </c>
      <c r="D2713" s="8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1">
        <v>43466</v>
      </c>
      <c r="D2714" s="8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1">
        <v>43466</v>
      </c>
      <c r="D2715" s="8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1">
        <v>43466</v>
      </c>
      <c r="D2716" s="8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1">
        <v>43466</v>
      </c>
      <c r="D2717" s="8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1">
        <v>43466</v>
      </c>
      <c r="D2718" s="8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1">
        <v>43466</v>
      </c>
      <c r="D2719" s="8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1">
        <v>43466</v>
      </c>
      <c r="D2720" s="8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1">
        <v>43466</v>
      </c>
      <c r="D2721" s="8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1">
        <v>43466</v>
      </c>
      <c r="D2722" s="8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1">
        <v>43466</v>
      </c>
      <c r="D2723" s="8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1">
        <v>43466</v>
      </c>
      <c r="D2724" s="8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1">
        <v>43466</v>
      </c>
      <c r="D2725" s="8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1">
        <v>43466</v>
      </c>
      <c r="D2726" s="8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1">
        <v>43466</v>
      </c>
      <c r="D2727" s="8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1">
        <v>43466</v>
      </c>
      <c r="D2728" s="8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1">
        <v>43466</v>
      </c>
      <c r="D2729" s="8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1">
        <v>43466</v>
      </c>
      <c r="D2730" s="8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1">
        <v>43466</v>
      </c>
      <c r="D2731" s="8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1">
        <v>43466</v>
      </c>
      <c r="D2732" s="8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1">
        <v>43466</v>
      </c>
      <c r="D2733" s="8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1">
        <v>43466</v>
      </c>
      <c r="D2734" s="8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1">
        <v>43466</v>
      </c>
      <c r="D2735" s="8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1">
        <v>43466</v>
      </c>
      <c r="D2736" s="8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1">
        <v>43466</v>
      </c>
      <c r="D2737" s="8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1">
        <v>43466</v>
      </c>
      <c r="D2738" s="8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1">
        <v>43466</v>
      </c>
      <c r="D2739" s="8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1">
        <v>43466</v>
      </c>
      <c r="D2740" s="8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1">
        <v>43466</v>
      </c>
      <c r="D2741" s="8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1">
        <v>43466</v>
      </c>
      <c r="D2742" s="8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1">
        <v>43466</v>
      </c>
      <c r="D2743" s="8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1">
        <v>43466</v>
      </c>
      <c r="D2744" s="8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1">
        <v>43466</v>
      </c>
      <c r="D2745" s="8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1">
        <v>43466</v>
      </c>
      <c r="D2746" s="8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1">
        <v>43466</v>
      </c>
      <c r="D2747" s="8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1">
        <v>43466</v>
      </c>
      <c r="D2748" s="8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1">
        <v>43466</v>
      </c>
      <c r="D2749" s="8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1">
        <v>43466</v>
      </c>
      <c r="D2750" s="8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1">
        <v>43466</v>
      </c>
      <c r="D2751" s="8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1">
        <v>43466</v>
      </c>
      <c r="D2752" s="8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1">
        <v>43466</v>
      </c>
      <c r="D2753" s="8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1">
        <v>43466</v>
      </c>
      <c r="D2754" s="8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1">
        <v>43466</v>
      </c>
      <c r="D2755" s="8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1">
        <v>43466</v>
      </c>
      <c r="D2756" s="8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1">
        <v>43466</v>
      </c>
      <c r="D2757" s="8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1">
        <v>43466</v>
      </c>
      <c r="D2758" s="8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1">
        <v>43466</v>
      </c>
      <c r="D2759" s="8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1">
        <v>43466</v>
      </c>
      <c r="D2760" s="8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1">
        <v>43466</v>
      </c>
      <c r="D2761" s="8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1">
        <v>43466</v>
      </c>
      <c r="D2762" s="8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1">
        <v>43466</v>
      </c>
      <c r="D2763" s="8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1">
        <v>43466</v>
      </c>
      <c r="D2764" s="8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1">
        <v>43466</v>
      </c>
      <c r="D2765" s="8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1">
        <v>43466</v>
      </c>
      <c r="D2766" s="8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1">
        <v>43466</v>
      </c>
      <c r="D2767" s="8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1">
        <v>43101</v>
      </c>
      <c r="D2768" s="8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1">
        <v>43101</v>
      </c>
      <c r="D2769" s="8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1">
        <v>43101</v>
      </c>
      <c r="D2770" s="8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1">
        <v>43101</v>
      </c>
      <c r="D2771" s="8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1">
        <v>43101</v>
      </c>
      <c r="D2772" s="8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1">
        <v>43101</v>
      </c>
      <c r="D2773" s="8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1">
        <v>43101</v>
      </c>
      <c r="D2774" s="8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1">
        <v>43101</v>
      </c>
      <c r="D2775" s="8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1">
        <v>43101</v>
      </c>
      <c r="D2776" s="8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1">
        <v>43101</v>
      </c>
      <c r="D2777" s="8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1">
        <v>43101</v>
      </c>
      <c r="D2778" s="8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1">
        <v>43101</v>
      </c>
      <c r="D2779" s="8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1">
        <v>43101</v>
      </c>
      <c r="D2780" s="8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1">
        <v>43101</v>
      </c>
      <c r="D2781" s="8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1">
        <v>43101</v>
      </c>
      <c r="D2782" s="8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1">
        <v>43101</v>
      </c>
      <c r="D2783" s="8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1">
        <v>43101</v>
      </c>
      <c r="D2784" s="8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1">
        <v>43101</v>
      </c>
      <c r="D2785" s="8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1">
        <v>43101</v>
      </c>
      <c r="D2786" s="8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1">
        <v>43101</v>
      </c>
      <c r="D2787" s="8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1">
        <v>43101</v>
      </c>
      <c r="D2788" s="8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1">
        <v>43101</v>
      </c>
      <c r="D2789" s="8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1">
        <v>43101</v>
      </c>
      <c r="D2790" s="8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1">
        <v>43101</v>
      </c>
      <c r="D2791" s="8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1">
        <v>43101</v>
      </c>
      <c r="D2792" s="8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1">
        <v>43101</v>
      </c>
      <c r="D2793" s="8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1">
        <v>43101</v>
      </c>
      <c r="D2794" s="8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1">
        <v>43101</v>
      </c>
      <c r="D2795" s="8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1">
        <v>43101</v>
      </c>
      <c r="D2796" s="8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1">
        <v>43101</v>
      </c>
      <c r="D2797" s="8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1">
        <v>43101</v>
      </c>
      <c r="D2798" s="8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1">
        <v>43101</v>
      </c>
      <c r="D2799" s="8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1">
        <v>43101</v>
      </c>
      <c r="D2800" s="8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1">
        <v>43101</v>
      </c>
      <c r="D2801" s="8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1">
        <v>43101</v>
      </c>
      <c r="D2802" s="8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1">
        <v>43101</v>
      </c>
      <c r="D2803" s="8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1">
        <v>43101</v>
      </c>
      <c r="D2804" s="8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1">
        <v>43101</v>
      </c>
      <c r="D2805" s="8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1">
        <v>43101</v>
      </c>
      <c r="D2806" s="8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1">
        <v>43101</v>
      </c>
      <c r="D2807" s="8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1">
        <v>43101</v>
      </c>
      <c r="D2808" s="8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1">
        <v>43101</v>
      </c>
      <c r="D2809" s="8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1">
        <v>43101</v>
      </c>
      <c r="D2810" s="8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1">
        <v>43101</v>
      </c>
      <c r="D2811" s="8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1">
        <v>43101</v>
      </c>
      <c r="D2812" s="8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1">
        <v>43101</v>
      </c>
      <c r="D2813" s="8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1">
        <v>43101</v>
      </c>
      <c r="D2814" s="8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1">
        <v>43101</v>
      </c>
      <c r="D2815" s="8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1">
        <v>43101</v>
      </c>
      <c r="D2816" s="8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1">
        <v>43101</v>
      </c>
      <c r="D2817" s="8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1">
        <v>43101</v>
      </c>
      <c r="D2818" s="8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1">
        <v>43101</v>
      </c>
      <c r="D2819" s="8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1">
        <v>43101</v>
      </c>
      <c r="D2820" s="8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1">
        <v>43101</v>
      </c>
      <c r="D2821" s="8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1">
        <v>43101</v>
      </c>
      <c r="D2822" s="8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1">
        <v>43101</v>
      </c>
      <c r="D2823" s="8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1">
        <v>43101</v>
      </c>
      <c r="D2824" s="8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1">
        <v>43101</v>
      </c>
      <c r="D2825" s="8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1">
        <v>43101</v>
      </c>
      <c r="D2826" s="8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1">
        <v>43101</v>
      </c>
      <c r="D2827" s="8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1">
        <v>43101</v>
      </c>
      <c r="D2828" s="8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1">
        <v>43101</v>
      </c>
      <c r="D2829" s="8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1">
        <v>43101</v>
      </c>
      <c r="D2830" s="8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1">
        <v>43101</v>
      </c>
      <c r="D2831" s="8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1">
        <v>43101</v>
      </c>
      <c r="D2832" s="8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1">
        <v>43101</v>
      </c>
      <c r="D2833" s="8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1">
        <v>43101</v>
      </c>
      <c r="D2834" s="8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1">
        <v>43101</v>
      </c>
      <c r="D2835" s="8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1">
        <v>43101</v>
      </c>
      <c r="D2836" s="8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1">
        <v>43101</v>
      </c>
      <c r="D2837" s="8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1">
        <v>43101</v>
      </c>
      <c r="D2838" s="8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1">
        <v>43101</v>
      </c>
      <c r="D2839" s="8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1">
        <v>43101</v>
      </c>
      <c r="D2840" s="8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1">
        <v>43101</v>
      </c>
      <c r="D2841" s="8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1">
        <v>43101</v>
      </c>
      <c r="D2842" s="8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1">
        <v>43101</v>
      </c>
      <c r="D2843" s="8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1">
        <v>43101</v>
      </c>
      <c r="D2844" s="8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1">
        <v>43101</v>
      </c>
      <c r="D2845" s="8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1">
        <v>43101</v>
      </c>
      <c r="D2846" s="8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1">
        <v>43101</v>
      </c>
      <c r="D2847" s="8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1">
        <v>43101</v>
      </c>
      <c r="D2848" s="8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1">
        <v>43101</v>
      </c>
      <c r="D2849" s="8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1">
        <v>43101</v>
      </c>
      <c r="D2850" s="8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1">
        <v>43101</v>
      </c>
      <c r="D2851" s="8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1">
        <v>43101</v>
      </c>
      <c r="D2852" s="8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1">
        <v>43101</v>
      </c>
      <c r="D2853" s="8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1">
        <v>43101</v>
      </c>
      <c r="D2854" s="8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1">
        <v>43101</v>
      </c>
      <c r="D2855" s="8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1">
        <v>43101</v>
      </c>
      <c r="D2856" s="8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1">
        <v>43101</v>
      </c>
      <c r="D2857" s="8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1">
        <v>43101</v>
      </c>
      <c r="D2858" s="8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1">
        <v>43101</v>
      </c>
      <c r="D2859" s="8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1">
        <v>43101</v>
      </c>
      <c r="D2860" s="8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1">
        <v>43101</v>
      </c>
      <c r="D2861" s="8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1">
        <v>43101</v>
      </c>
      <c r="D2862" s="8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1">
        <v>43101</v>
      </c>
      <c r="D2863" s="8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1">
        <v>43101</v>
      </c>
      <c r="D2864" s="8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1">
        <v>43101</v>
      </c>
      <c r="D2865" s="8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1">
        <v>43101</v>
      </c>
      <c r="D2866" s="8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1">
        <v>43101</v>
      </c>
      <c r="D2867" s="8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1">
        <v>43101</v>
      </c>
      <c r="D2868" s="8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1">
        <v>43101</v>
      </c>
      <c r="D2869" s="8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1">
        <v>43101</v>
      </c>
      <c r="D2870" s="8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1">
        <v>43101</v>
      </c>
      <c r="D2871" s="8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1">
        <v>43101</v>
      </c>
      <c r="D2872" s="8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1">
        <v>43101</v>
      </c>
      <c r="D2873" s="8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1">
        <v>43101</v>
      </c>
      <c r="D2874" s="8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1">
        <v>43101</v>
      </c>
      <c r="D2875" s="8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1">
        <v>43101</v>
      </c>
      <c r="D2876" s="8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1">
        <v>43101</v>
      </c>
      <c r="D2877" s="8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1">
        <v>43101</v>
      </c>
      <c r="D2878" s="8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1">
        <v>43101</v>
      </c>
      <c r="D2879" s="8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1">
        <v>43101</v>
      </c>
      <c r="D2880" s="8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1">
        <v>43101</v>
      </c>
      <c r="D2881" s="8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1">
        <v>43101</v>
      </c>
      <c r="D2882" s="8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1">
        <v>43101</v>
      </c>
      <c r="D2883" s="8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1">
        <v>43101</v>
      </c>
      <c r="D2884" s="8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1">
        <v>43101</v>
      </c>
      <c r="D2885" s="8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1">
        <v>43101</v>
      </c>
      <c r="D2886" s="8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1">
        <v>43101</v>
      </c>
      <c r="D2887" s="8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1">
        <v>43101</v>
      </c>
      <c r="D2888" s="8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1">
        <v>43101</v>
      </c>
      <c r="D2889" s="8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1">
        <v>43101</v>
      </c>
      <c r="D2890" s="8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1">
        <v>43101</v>
      </c>
      <c r="D2891" s="8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1">
        <v>43101</v>
      </c>
      <c r="D2892" s="8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1">
        <v>43101</v>
      </c>
      <c r="D2893" s="8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1">
        <v>43101</v>
      </c>
      <c r="D2894" s="8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1">
        <v>43101</v>
      </c>
      <c r="D2895" s="8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1">
        <v>43101</v>
      </c>
      <c r="D2896" s="8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1">
        <v>43101</v>
      </c>
      <c r="D2897" s="8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1">
        <v>43101</v>
      </c>
      <c r="D2898" s="8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1">
        <v>43101</v>
      </c>
      <c r="D2899" s="8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1">
        <v>43101</v>
      </c>
      <c r="D2900" s="8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1">
        <v>43101</v>
      </c>
      <c r="D2901" s="8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1">
        <v>43101</v>
      </c>
      <c r="D2902" s="8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1">
        <v>43101</v>
      </c>
      <c r="D2903" s="8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1">
        <v>43101</v>
      </c>
      <c r="D2904" s="8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1">
        <v>43101</v>
      </c>
      <c r="D2905" s="8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1">
        <v>43101</v>
      </c>
      <c r="D2906" s="8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1">
        <v>43101</v>
      </c>
      <c r="D2907" s="8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1">
        <v>43101</v>
      </c>
      <c r="D2908" s="8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1">
        <v>43101</v>
      </c>
      <c r="D2909" s="8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1">
        <v>43101</v>
      </c>
      <c r="D2910" s="8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1">
        <v>43101</v>
      </c>
      <c r="D2911" s="8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1">
        <v>43101</v>
      </c>
      <c r="D2912" s="8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1">
        <v>43101</v>
      </c>
      <c r="D2913" s="8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1">
        <v>43101</v>
      </c>
      <c r="D2914" s="8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1">
        <v>43101</v>
      </c>
      <c r="D2915" s="8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1">
        <v>43101</v>
      </c>
      <c r="D2916" s="8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1">
        <v>43101</v>
      </c>
      <c r="D2917" s="8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1">
        <v>43101</v>
      </c>
      <c r="D2918" s="8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1">
        <v>43101</v>
      </c>
      <c r="D2919" s="8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1">
        <v>43101</v>
      </c>
      <c r="D2920" s="8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1">
        <v>43101</v>
      </c>
      <c r="D2921" s="8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1">
        <v>43101</v>
      </c>
      <c r="D2922" s="8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1">
        <v>43101</v>
      </c>
      <c r="D2923" s="8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1">
        <v>43101</v>
      </c>
      <c r="D2924" s="8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1">
        <v>43101</v>
      </c>
      <c r="D2925" s="8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1">
        <v>43101</v>
      </c>
      <c r="D2926" s="8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1">
        <v>43101</v>
      </c>
      <c r="D2927" s="8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1">
        <v>43101</v>
      </c>
      <c r="D2928" s="8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1">
        <v>43101</v>
      </c>
      <c r="D2929" s="8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1">
        <v>43101</v>
      </c>
      <c r="D2930" s="8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1">
        <v>43101</v>
      </c>
      <c r="D2931" s="8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1">
        <v>43101</v>
      </c>
      <c r="D2932" s="8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1">
        <v>43101</v>
      </c>
      <c r="D2933" s="8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1">
        <v>43101</v>
      </c>
      <c r="D2934" s="8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1">
        <v>43101</v>
      </c>
      <c r="D2935" s="8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1">
        <v>43101</v>
      </c>
      <c r="D2936" s="8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1">
        <v>43101</v>
      </c>
      <c r="D2937" s="8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1">
        <v>43101</v>
      </c>
      <c r="D2938" s="8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1">
        <v>43101</v>
      </c>
      <c r="D2939" s="8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1">
        <v>43101</v>
      </c>
      <c r="D2940" s="8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1">
        <v>43101</v>
      </c>
      <c r="D2941" s="8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1">
        <v>43101</v>
      </c>
      <c r="D2942" s="8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1">
        <v>43101</v>
      </c>
      <c r="D2943" s="8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1">
        <v>43101</v>
      </c>
      <c r="D2944" s="8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1">
        <v>43101</v>
      </c>
      <c r="D2945" s="8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1">
        <v>43101</v>
      </c>
      <c r="D2946" s="8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1">
        <v>43101</v>
      </c>
      <c r="D2947" s="8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1">
        <v>43101</v>
      </c>
      <c r="D2948" s="8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1">
        <v>43101</v>
      </c>
      <c r="D2949" s="8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1">
        <v>43101</v>
      </c>
      <c r="D2950" s="8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1">
        <v>43101</v>
      </c>
      <c r="D2951" s="8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1">
        <v>43101</v>
      </c>
      <c r="D2952" s="8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1">
        <v>43101</v>
      </c>
      <c r="D2953" s="8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1">
        <v>43101</v>
      </c>
      <c r="D2954" s="8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1">
        <v>43101</v>
      </c>
      <c r="D2955" s="8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1">
        <v>43101</v>
      </c>
      <c r="D2956" s="8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1">
        <v>43101</v>
      </c>
      <c r="D2957" s="8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1">
        <v>43101</v>
      </c>
      <c r="D2958" s="8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1">
        <v>43101</v>
      </c>
      <c r="D2959" s="8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1">
        <v>43101</v>
      </c>
      <c r="D2960" s="8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1">
        <v>43101</v>
      </c>
      <c r="D2961" s="8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1">
        <v>43101</v>
      </c>
      <c r="D2962" s="8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1">
        <v>43101</v>
      </c>
      <c r="D2963" s="8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1">
        <v>43101</v>
      </c>
      <c r="D2964" s="8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1">
        <v>43101</v>
      </c>
      <c r="D2965" s="8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1">
        <v>43101</v>
      </c>
      <c r="D2966" s="8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1">
        <v>43101</v>
      </c>
      <c r="D2967" s="8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1">
        <v>43101</v>
      </c>
      <c r="D2968" s="8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1">
        <v>43101</v>
      </c>
      <c r="D2969" s="8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1">
        <v>43101</v>
      </c>
      <c r="D2970" s="8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1">
        <v>43101</v>
      </c>
      <c r="D2971" s="8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1">
        <v>43101</v>
      </c>
      <c r="D2972" s="8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1">
        <v>43101</v>
      </c>
      <c r="D2973" s="8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1">
        <v>43101</v>
      </c>
      <c r="D2974" s="8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1">
        <v>43101</v>
      </c>
      <c r="D2975" s="8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1">
        <v>43101</v>
      </c>
      <c r="D2976" s="8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1">
        <v>43101</v>
      </c>
      <c r="D2977" s="8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1">
        <v>43101</v>
      </c>
      <c r="D2978" s="8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1">
        <v>43101</v>
      </c>
      <c r="D2979" s="8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1">
        <v>43101</v>
      </c>
      <c r="D2980" s="8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1">
        <v>43101</v>
      </c>
      <c r="D2981" s="8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1">
        <v>43101</v>
      </c>
      <c r="D2982" s="8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1">
        <v>43101</v>
      </c>
      <c r="D2983" s="8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1">
        <v>43101</v>
      </c>
      <c r="D2984" s="8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1">
        <v>43101</v>
      </c>
      <c r="D2985" s="8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1">
        <v>43101</v>
      </c>
      <c r="D2986" s="8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1">
        <v>43101</v>
      </c>
      <c r="D2987" s="8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1">
        <v>43101</v>
      </c>
      <c r="D2988" s="8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1">
        <v>43101</v>
      </c>
      <c r="D2989" s="8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1">
        <v>43101</v>
      </c>
      <c r="D2990" s="8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1">
        <v>43101</v>
      </c>
      <c r="D2991" s="8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1">
        <v>43101</v>
      </c>
      <c r="D2992" s="8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1">
        <v>43101</v>
      </c>
      <c r="D2993" s="8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1">
        <v>43101</v>
      </c>
      <c r="D2994" s="8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1">
        <v>43101</v>
      </c>
      <c r="D2995" s="8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1">
        <v>43101</v>
      </c>
      <c r="D2996" s="8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1">
        <v>43101</v>
      </c>
      <c r="D2997" s="8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1">
        <v>43101</v>
      </c>
      <c r="D2998" s="8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1">
        <v>43101</v>
      </c>
      <c r="D2999" s="8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1">
        <v>43101</v>
      </c>
      <c r="D3000" s="8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1">
        <v>43101</v>
      </c>
      <c r="D3001" s="8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1">
        <v>43101</v>
      </c>
      <c r="D3002" s="8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1">
        <v>43101</v>
      </c>
      <c r="D3003" s="8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1">
        <v>43101</v>
      </c>
      <c r="D3004" s="8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1">
        <v>43101</v>
      </c>
      <c r="D3005" s="8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1">
        <v>43101</v>
      </c>
      <c r="D3006" s="8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1">
        <v>43101</v>
      </c>
      <c r="D3007" s="8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1">
        <v>43101</v>
      </c>
      <c r="D3008" s="8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1">
        <v>43101</v>
      </c>
      <c r="D3009" s="8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1">
        <v>43101</v>
      </c>
      <c r="D3010" s="8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1">
        <v>43101</v>
      </c>
      <c r="D3011" s="8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1">
        <v>43101</v>
      </c>
      <c r="D3012" s="8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1">
        <v>43101</v>
      </c>
      <c r="D3013" s="8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1">
        <v>43101</v>
      </c>
      <c r="D3014" s="8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1">
        <v>43101</v>
      </c>
      <c r="D3015" s="8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1">
        <v>43101</v>
      </c>
      <c r="D3016" s="8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1">
        <v>43101</v>
      </c>
      <c r="D3017" s="8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1">
        <v>43101</v>
      </c>
      <c r="D3018" s="8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1">
        <v>43101</v>
      </c>
      <c r="D3019" s="8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1">
        <v>43101</v>
      </c>
      <c r="D3020" s="8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1">
        <v>43101</v>
      </c>
      <c r="D3021" s="8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1">
        <v>43101</v>
      </c>
      <c r="D3022" s="8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1">
        <v>43101</v>
      </c>
      <c r="D3023" s="8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1">
        <v>43101</v>
      </c>
      <c r="D3024" s="8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1">
        <v>43101</v>
      </c>
      <c r="D3025" s="8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1">
        <v>43101</v>
      </c>
      <c r="D3026" s="8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1">
        <v>43101</v>
      </c>
      <c r="D3027" s="8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1">
        <v>43101</v>
      </c>
      <c r="D3028" s="8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1">
        <v>43101</v>
      </c>
      <c r="D3029" s="8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1">
        <v>43101</v>
      </c>
      <c r="D3030" s="8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1">
        <v>43101</v>
      </c>
      <c r="D3031" s="8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1">
        <v>43101</v>
      </c>
      <c r="D3032" s="8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1">
        <v>43101</v>
      </c>
      <c r="D3033" s="8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1">
        <v>43101</v>
      </c>
      <c r="D3034" s="8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1">
        <v>43101</v>
      </c>
      <c r="D3035" s="8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1">
        <v>43101</v>
      </c>
      <c r="D3036" s="8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1">
        <v>43101</v>
      </c>
      <c r="D3037" s="8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1">
        <v>43101</v>
      </c>
      <c r="D3038" s="8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1">
        <v>43101</v>
      </c>
      <c r="D3039" s="8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1">
        <v>43101</v>
      </c>
      <c r="D3040" s="8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1">
        <v>43101</v>
      </c>
      <c r="D3041" s="8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1">
        <v>43101</v>
      </c>
      <c r="D3042" s="8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1">
        <v>43101</v>
      </c>
      <c r="D3043" s="8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1">
        <v>43101</v>
      </c>
      <c r="D3044" s="8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1">
        <v>43101</v>
      </c>
      <c r="D3045" s="8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1">
        <v>43101</v>
      </c>
      <c r="D3046" s="8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1">
        <v>43101</v>
      </c>
      <c r="D3047" s="8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1">
        <v>43101</v>
      </c>
      <c r="D3048" s="8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1">
        <v>43101</v>
      </c>
      <c r="D3049" s="8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1">
        <v>43101</v>
      </c>
      <c r="D3050" s="8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1">
        <v>43101</v>
      </c>
      <c r="D3051" s="8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1">
        <v>43101</v>
      </c>
      <c r="D3052" s="8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1">
        <v>43101</v>
      </c>
      <c r="D3053" s="8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1">
        <v>43101</v>
      </c>
      <c r="D3054" s="8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1">
        <v>43101</v>
      </c>
      <c r="D3055" s="8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1">
        <v>43101</v>
      </c>
      <c r="D3056" s="8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1">
        <v>43101</v>
      </c>
      <c r="D3057" s="8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1">
        <v>43101</v>
      </c>
      <c r="D3058" s="8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1">
        <v>43101</v>
      </c>
      <c r="D3059" s="8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1">
        <v>43101</v>
      </c>
      <c r="D3060" s="8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1">
        <v>43101</v>
      </c>
      <c r="D3061" s="8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1">
        <v>43101</v>
      </c>
      <c r="D3062" s="8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1">
        <v>43101</v>
      </c>
      <c r="D3063" s="8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1">
        <v>43101</v>
      </c>
      <c r="D3064" s="8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1">
        <v>43101</v>
      </c>
      <c r="D3065" s="8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1">
        <v>43101</v>
      </c>
      <c r="D3066" s="8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1">
        <v>43101</v>
      </c>
      <c r="D3067" s="8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1">
        <v>43101</v>
      </c>
      <c r="D3068" s="8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1">
        <v>43101</v>
      </c>
      <c r="D3069" s="8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1">
        <v>43101</v>
      </c>
      <c r="D3070" s="8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1">
        <v>43101</v>
      </c>
      <c r="D3071" s="8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1">
        <v>43101</v>
      </c>
      <c r="D3072" s="8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1">
        <v>43101</v>
      </c>
      <c r="D3073" s="8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1">
        <v>43101</v>
      </c>
      <c r="D3074" s="8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1">
        <v>43101</v>
      </c>
      <c r="D3075" s="8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1">
        <v>43101</v>
      </c>
      <c r="D3076" s="8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1">
        <v>43101</v>
      </c>
      <c r="D3077" s="8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1">
        <v>43101</v>
      </c>
      <c r="D3078" s="8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1">
        <v>43101</v>
      </c>
      <c r="D3079" s="8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1">
        <v>43101</v>
      </c>
      <c r="D3080" s="8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1">
        <v>43101</v>
      </c>
      <c r="D3081" s="8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1">
        <v>43101</v>
      </c>
      <c r="D3082" s="8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1">
        <v>43101</v>
      </c>
      <c r="D3083" s="8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1">
        <v>43101</v>
      </c>
      <c r="D3084" s="8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1">
        <v>43101</v>
      </c>
      <c r="D3085" s="8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1">
        <v>43101</v>
      </c>
      <c r="D3086" s="8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1">
        <v>43101</v>
      </c>
      <c r="D3087" s="8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1">
        <v>43101</v>
      </c>
      <c r="D3088" s="8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1">
        <v>43101</v>
      </c>
      <c r="D3089" s="8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1">
        <v>43101</v>
      </c>
      <c r="D3090" s="8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1">
        <v>43101</v>
      </c>
      <c r="D3091" s="8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1">
        <v>43101</v>
      </c>
      <c r="D3092" s="8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1">
        <v>43101</v>
      </c>
      <c r="D3093" s="8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1">
        <v>43101</v>
      </c>
      <c r="D3094" s="8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1">
        <v>43101</v>
      </c>
      <c r="D3095" s="8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1">
        <v>43101</v>
      </c>
      <c r="D3096" s="8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1">
        <v>43101</v>
      </c>
      <c r="D3097" s="8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1">
        <v>43101</v>
      </c>
      <c r="D3098" s="8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1">
        <v>43101</v>
      </c>
      <c r="D3099" s="8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1">
        <v>43101</v>
      </c>
      <c r="D3100" s="8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1">
        <v>43101</v>
      </c>
      <c r="D3101" s="8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1">
        <v>43101</v>
      </c>
      <c r="D3102" s="8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1">
        <v>43101</v>
      </c>
      <c r="D3103" s="8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1">
        <v>43101</v>
      </c>
      <c r="D3104" s="8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1">
        <v>43101</v>
      </c>
      <c r="D3105" s="8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1">
        <v>43101</v>
      </c>
      <c r="D3106" s="8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1">
        <v>43101</v>
      </c>
      <c r="D3107" s="8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1">
        <v>43101</v>
      </c>
      <c r="D3108" s="8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1">
        <v>43101</v>
      </c>
      <c r="D3109" s="8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1">
        <v>43101</v>
      </c>
      <c r="D3110" s="8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1">
        <v>43101</v>
      </c>
      <c r="D3111" s="8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1">
        <v>43101</v>
      </c>
      <c r="D3112" s="8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1">
        <v>43101</v>
      </c>
      <c r="D3113" s="8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1">
        <v>43101</v>
      </c>
      <c r="D3114" s="8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1">
        <v>43101</v>
      </c>
      <c r="D3115" s="8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1">
        <v>43101</v>
      </c>
      <c r="D3116" s="8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1">
        <v>43101</v>
      </c>
      <c r="D3117" s="8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1">
        <v>43101</v>
      </c>
      <c r="D3118" s="8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1">
        <v>43101</v>
      </c>
      <c r="D3119" s="8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1">
        <v>43101</v>
      </c>
      <c r="D3120" s="8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1">
        <v>43101</v>
      </c>
      <c r="D3121" s="8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1">
        <v>43101</v>
      </c>
      <c r="D3122" s="8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1">
        <v>43101</v>
      </c>
      <c r="D3123" s="8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1">
        <v>43101</v>
      </c>
      <c r="D3124" s="8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1">
        <v>43101</v>
      </c>
      <c r="D3125" s="8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1">
        <v>43101</v>
      </c>
      <c r="D3126" s="8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1">
        <v>43101</v>
      </c>
      <c r="D3127" s="8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1">
        <v>43101</v>
      </c>
      <c r="D3128" s="8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1">
        <v>43101</v>
      </c>
      <c r="D3129" s="8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1">
        <v>43101</v>
      </c>
      <c r="D3130" s="8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1">
        <v>43101</v>
      </c>
      <c r="D3131" s="8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1">
        <v>43101</v>
      </c>
      <c r="D3132" s="8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1">
        <v>43101</v>
      </c>
      <c r="D3133" s="8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1">
        <v>42736</v>
      </c>
      <c r="D3134" s="8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1">
        <v>42736</v>
      </c>
      <c r="D3135" s="8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1">
        <v>42736</v>
      </c>
      <c r="D3136" s="8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1">
        <v>42736</v>
      </c>
      <c r="D3137" s="8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1">
        <v>42736</v>
      </c>
      <c r="D3138" s="8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1">
        <v>42736</v>
      </c>
      <c r="D3139" s="8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1">
        <v>42736</v>
      </c>
      <c r="D3140" s="8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1">
        <v>42736</v>
      </c>
      <c r="D3141" s="8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1">
        <v>42736</v>
      </c>
      <c r="D3142" s="8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1">
        <v>42736</v>
      </c>
      <c r="D3143" s="8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1">
        <v>42736</v>
      </c>
      <c r="D3144" s="8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1">
        <v>42736</v>
      </c>
      <c r="D3145" s="8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1">
        <v>42736</v>
      </c>
      <c r="D3146" s="8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1">
        <v>42736</v>
      </c>
      <c r="D3147" s="8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1">
        <v>42736</v>
      </c>
      <c r="D3148" s="8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1">
        <v>42736</v>
      </c>
      <c r="D3149" s="8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1">
        <v>42736</v>
      </c>
      <c r="D3150" s="8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1">
        <v>42736</v>
      </c>
      <c r="D3151" s="8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1">
        <v>42736</v>
      </c>
      <c r="D3152" s="8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1">
        <v>42736</v>
      </c>
      <c r="D3153" s="8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1">
        <v>42736</v>
      </c>
      <c r="D3154" s="8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1">
        <v>42736</v>
      </c>
      <c r="D3155" s="8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1">
        <v>42736</v>
      </c>
      <c r="D3156" s="8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1">
        <v>42736</v>
      </c>
      <c r="D3157" s="8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1">
        <v>42736</v>
      </c>
      <c r="D3158" s="8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1">
        <v>42736</v>
      </c>
      <c r="D3159" s="8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1">
        <v>42736</v>
      </c>
      <c r="D3160" s="8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1">
        <v>42736</v>
      </c>
      <c r="D3161" s="8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1">
        <v>42736</v>
      </c>
      <c r="D3162" s="8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1">
        <v>42736</v>
      </c>
      <c r="D3163" s="8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1">
        <v>42736</v>
      </c>
      <c r="D3164" s="8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1">
        <v>42736</v>
      </c>
      <c r="D3165" s="8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1">
        <v>42736</v>
      </c>
      <c r="D3166" s="8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1">
        <v>42736</v>
      </c>
      <c r="D3167" s="8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1">
        <v>42736</v>
      </c>
      <c r="D3168" s="8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1">
        <v>42736</v>
      </c>
      <c r="D3169" s="8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1">
        <v>42736</v>
      </c>
      <c r="D3170" s="8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1">
        <v>42736</v>
      </c>
      <c r="D3171" s="8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1">
        <v>42736</v>
      </c>
      <c r="D3172" s="8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1">
        <v>42736</v>
      </c>
      <c r="D3173" s="8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1">
        <v>42736</v>
      </c>
      <c r="D3174" s="8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1">
        <v>42736</v>
      </c>
      <c r="D3175" s="8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1">
        <v>42736</v>
      </c>
      <c r="D3176" s="8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1">
        <v>42736</v>
      </c>
      <c r="D3177" s="8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1">
        <v>42736</v>
      </c>
      <c r="D3178" s="8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1">
        <v>42736</v>
      </c>
      <c r="D3179" s="8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1">
        <v>42736</v>
      </c>
      <c r="D3180" s="8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1">
        <v>42736</v>
      </c>
      <c r="D3181" s="8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1">
        <v>42736</v>
      </c>
      <c r="D3182" s="8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1">
        <v>42736</v>
      </c>
      <c r="D3183" s="8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1">
        <v>42736</v>
      </c>
      <c r="D3184" s="8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1">
        <v>42736</v>
      </c>
      <c r="D3185" s="8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1">
        <v>42736</v>
      </c>
      <c r="D3186" s="8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1">
        <v>42736</v>
      </c>
      <c r="D3187" s="8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1">
        <v>42736</v>
      </c>
      <c r="D3188" s="8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1">
        <v>42736</v>
      </c>
      <c r="D3189" s="8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1">
        <v>42736</v>
      </c>
      <c r="D3190" s="8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1">
        <v>42736</v>
      </c>
      <c r="D3191" s="8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1">
        <v>42736</v>
      </c>
      <c r="D3192" s="8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1">
        <v>42736</v>
      </c>
      <c r="D3193" s="8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1">
        <v>42736</v>
      </c>
      <c r="D3194" s="8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1">
        <v>42736</v>
      </c>
      <c r="D3195" s="8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1">
        <v>42736</v>
      </c>
      <c r="D3196" s="8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1">
        <v>42736</v>
      </c>
      <c r="D3197" s="8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1">
        <v>42736</v>
      </c>
      <c r="D3198" s="8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1">
        <v>42736</v>
      </c>
      <c r="D3199" s="8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1">
        <v>42736</v>
      </c>
      <c r="D3200" s="8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1">
        <v>42736</v>
      </c>
      <c r="D3201" s="8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1">
        <v>42736</v>
      </c>
      <c r="D3202" s="8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1">
        <v>42736</v>
      </c>
      <c r="D3203" s="8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1">
        <v>42736</v>
      </c>
      <c r="D3204" s="8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1">
        <v>42736</v>
      </c>
      <c r="D3205" s="8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1">
        <v>42736</v>
      </c>
      <c r="D3206" s="8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1">
        <v>42736</v>
      </c>
      <c r="D3207" s="8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1">
        <v>42736</v>
      </c>
      <c r="D3208" s="8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1">
        <v>42736</v>
      </c>
      <c r="D3209" s="8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1">
        <v>42736</v>
      </c>
      <c r="D3210" s="8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1">
        <v>42736</v>
      </c>
      <c r="D3211" s="8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1">
        <v>42736</v>
      </c>
      <c r="D3212" s="8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1">
        <v>42736</v>
      </c>
      <c r="D3213" s="8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1">
        <v>42736</v>
      </c>
      <c r="D3214" s="8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1">
        <v>42736</v>
      </c>
      <c r="D3215" s="8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1">
        <v>42736</v>
      </c>
      <c r="D3216" s="8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1">
        <v>42736</v>
      </c>
      <c r="D3217" s="8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1">
        <v>42736</v>
      </c>
      <c r="D3218" s="8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1">
        <v>42736</v>
      </c>
      <c r="D3219" s="8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1">
        <v>42736</v>
      </c>
      <c r="D3220" s="8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1">
        <v>42736</v>
      </c>
      <c r="D3221" s="8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1">
        <v>42736</v>
      </c>
      <c r="D3222" s="8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1">
        <v>42736</v>
      </c>
      <c r="D3223" s="8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1">
        <v>42736</v>
      </c>
      <c r="D3224" s="8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1">
        <v>42736</v>
      </c>
      <c r="D3225" s="8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1">
        <v>42736</v>
      </c>
      <c r="D3226" s="8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1">
        <v>42736</v>
      </c>
      <c r="D3227" s="8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1">
        <v>42736</v>
      </c>
      <c r="D3228" s="8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1">
        <v>42736</v>
      </c>
      <c r="D3229" s="8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1">
        <v>42736</v>
      </c>
      <c r="D3230" s="8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1">
        <v>42736</v>
      </c>
      <c r="D3231" s="8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1">
        <v>42736</v>
      </c>
      <c r="D3232" s="8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1">
        <v>42736</v>
      </c>
      <c r="D3233" s="8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1">
        <v>42736</v>
      </c>
      <c r="D3234" s="8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1">
        <v>42736</v>
      </c>
      <c r="D3235" s="8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1">
        <v>42736</v>
      </c>
      <c r="D3236" s="8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1">
        <v>42736</v>
      </c>
      <c r="D3237" s="8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1">
        <v>42736</v>
      </c>
      <c r="D3238" s="8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1">
        <v>42736</v>
      </c>
      <c r="D3239" s="8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1">
        <v>42736</v>
      </c>
      <c r="D3240" s="8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1">
        <v>42736</v>
      </c>
      <c r="D3241" s="8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1">
        <v>42736</v>
      </c>
      <c r="D3242" s="8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1">
        <v>42736</v>
      </c>
      <c r="D3243" s="8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1">
        <v>42736</v>
      </c>
      <c r="D3244" s="8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1">
        <v>42736</v>
      </c>
      <c r="D3245" s="8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1">
        <v>42736</v>
      </c>
      <c r="D3246" s="8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1">
        <v>42736</v>
      </c>
      <c r="D3247" s="8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1">
        <v>42736</v>
      </c>
      <c r="D3248" s="8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1">
        <v>42736</v>
      </c>
      <c r="D3249" s="8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1">
        <v>42736</v>
      </c>
      <c r="D3250" s="8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1">
        <v>42736</v>
      </c>
      <c r="D3251" s="8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1">
        <v>42736</v>
      </c>
      <c r="D3252" s="8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1">
        <v>42736</v>
      </c>
      <c r="D3253" s="8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1">
        <v>42736</v>
      </c>
      <c r="D3254" s="8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1">
        <v>42736</v>
      </c>
      <c r="D3255" s="8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1">
        <v>42736</v>
      </c>
      <c r="D3256" s="8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1">
        <v>42736</v>
      </c>
      <c r="D3257" s="8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1">
        <v>42736</v>
      </c>
      <c r="D3258" s="8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1">
        <v>42736</v>
      </c>
      <c r="D3259" s="8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1">
        <v>42736</v>
      </c>
      <c r="D3260" s="8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1">
        <v>42736</v>
      </c>
      <c r="D3261" s="8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1">
        <v>42736</v>
      </c>
      <c r="D3262" s="8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1">
        <v>42736</v>
      </c>
      <c r="D3263" s="8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1">
        <v>42736</v>
      </c>
      <c r="D3264" s="8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1">
        <v>42736</v>
      </c>
      <c r="D3265" s="8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1">
        <v>42736</v>
      </c>
      <c r="D3266" s="8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1">
        <v>42736</v>
      </c>
      <c r="D3267" s="8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1">
        <v>42736</v>
      </c>
      <c r="D3268" s="8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1">
        <v>42736</v>
      </c>
      <c r="D3269" s="8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1">
        <v>42736</v>
      </c>
      <c r="D3270" s="8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1">
        <v>42736</v>
      </c>
      <c r="D3271" s="8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1">
        <v>42736</v>
      </c>
      <c r="D3272" s="8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1">
        <v>42736</v>
      </c>
      <c r="D3273" s="8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1">
        <v>42736</v>
      </c>
      <c r="D3274" s="8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1">
        <v>42736</v>
      </c>
      <c r="D3275" s="8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1">
        <v>42736</v>
      </c>
      <c r="D3276" s="8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1">
        <v>42736</v>
      </c>
      <c r="D3277" s="8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1">
        <v>42736</v>
      </c>
      <c r="D3278" s="8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1">
        <v>42736</v>
      </c>
      <c r="D3279" s="8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1">
        <v>42736</v>
      </c>
      <c r="D3280" s="8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1">
        <v>42736</v>
      </c>
      <c r="D3281" s="8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1">
        <v>42736</v>
      </c>
      <c r="D3282" s="8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1">
        <v>42736</v>
      </c>
      <c r="D3283" s="8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1">
        <v>42736</v>
      </c>
      <c r="D3284" s="8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1">
        <v>42736</v>
      </c>
      <c r="D3285" s="8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1">
        <v>42736</v>
      </c>
      <c r="D3286" s="8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1">
        <v>42736</v>
      </c>
      <c r="D3287" s="8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1">
        <v>42736</v>
      </c>
      <c r="D3288" s="8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1">
        <v>42736</v>
      </c>
      <c r="D3289" s="8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1">
        <v>42736</v>
      </c>
      <c r="D3290" s="8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1">
        <v>42736</v>
      </c>
      <c r="D3291" s="8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1">
        <v>42736</v>
      </c>
      <c r="D3292" s="8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1">
        <v>42736</v>
      </c>
      <c r="D3293" s="8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1">
        <v>42736</v>
      </c>
      <c r="D3294" s="8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1">
        <v>42736</v>
      </c>
      <c r="D3295" s="8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1">
        <v>42736</v>
      </c>
      <c r="D3296" s="8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1">
        <v>42736</v>
      </c>
      <c r="D3297" s="8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1">
        <v>42736</v>
      </c>
      <c r="D3298" s="8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1">
        <v>42736</v>
      </c>
      <c r="D3299" s="8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1">
        <v>42736</v>
      </c>
      <c r="D3300" s="8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1">
        <v>42736</v>
      </c>
      <c r="D3301" s="8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1">
        <v>42736</v>
      </c>
      <c r="D3302" s="8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1">
        <v>42736</v>
      </c>
      <c r="D3303" s="8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1">
        <v>42736</v>
      </c>
      <c r="D3304" s="8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1">
        <v>42736</v>
      </c>
      <c r="D3305" s="8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1">
        <v>42736</v>
      </c>
      <c r="D3306" s="8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1">
        <v>42736</v>
      </c>
      <c r="D3307" s="8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1">
        <v>42736</v>
      </c>
      <c r="D3308" s="8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1">
        <v>42736</v>
      </c>
      <c r="D3309" s="8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1">
        <v>42736</v>
      </c>
      <c r="D3310" s="8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1">
        <v>42736</v>
      </c>
      <c r="D3311" s="8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1">
        <v>42736</v>
      </c>
      <c r="D3312" s="8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1">
        <v>42736</v>
      </c>
      <c r="D3313" s="8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1">
        <v>42736</v>
      </c>
      <c r="D3314" s="8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1">
        <v>42736</v>
      </c>
      <c r="D3315" s="8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1">
        <v>42736</v>
      </c>
      <c r="D3316" s="8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1">
        <v>42736</v>
      </c>
      <c r="D3317" s="8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1">
        <v>42736</v>
      </c>
      <c r="D3318" s="8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1">
        <v>42736</v>
      </c>
      <c r="D3319" s="8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1">
        <v>42736</v>
      </c>
      <c r="D3320" s="8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1">
        <v>42736</v>
      </c>
      <c r="D3321" s="8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1">
        <v>42736</v>
      </c>
      <c r="D3322" s="8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1">
        <v>42736</v>
      </c>
      <c r="D3323" s="8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1">
        <v>42736</v>
      </c>
      <c r="D3324" s="8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1">
        <v>42736</v>
      </c>
      <c r="D3325" s="8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1">
        <v>42736</v>
      </c>
      <c r="D3326" s="8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1">
        <v>42736</v>
      </c>
      <c r="D3327" s="8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1">
        <v>42736</v>
      </c>
      <c r="D3328" s="8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1">
        <v>42736</v>
      </c>
      <c r="D3329" s="8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1">
        <v>42736</v>
      </c>
      <c r="D3330" s="8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1">
        <v>42736</v>
      </c>
      <c r="D3331" s="8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1">
        <v>42736</v>
      </c>
      <c r="D3332" s="8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1">
        <v>42736</v>
      </c>
      <c r="D3333" s="8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1">
        <v>42736</v>
      </c>
      <c r="D3334" s="8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1">
        <v>42736</v>
      </c>
      <c r="D3335" s="8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1">
        <v>42736</v>
      </c>
      <c r="D3336" s="8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1">
        <v>42736</v>
      </c>
      <c r="D3337" s="8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1">
        <v>42736</v>
      </c>
      <c r="D3338" s="8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1">
        <v>42736</v>
      </c>
      <c r="D3339" s="8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1">
        <v>42736</v>
      </c>
      <c r="D3340" s="8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1">
        <v>42736</v>
      </c>
      <c r="D3341" s="8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1">
        <v>42736</v>
      </c>
      <c r="D3342" s="8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1">
        <v>42736</v>
      </c>
      <c r="D3343" s="8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1">
        <v>42736</v>
      </c>
      <c r="D3344" s="8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1">
        <v>42736</v>
      </c>
      <c r="D3345" s="8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1">
        <v>42736</v>
      </c>
      <c r="D3346" s="8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1">
        <v>42736</v>
      </c>
      <c r="D3347" s="8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1">
        <v>42736</v>
      </c>
      <c r="D3348" s="8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1">
        <v>42736</v>
      </c>
      <c r="D3349" s="8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1">
        <v>42736</v>
      </c>
      <c r="D3350" s="8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1">
        <v>42736</v>
      </c>
      <c r="D3351" s="8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1">
        <v>42736</v>
      </c>
      <c r="D3352" s="8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1">
        <v>42736</v>
      </c>
      <c r="D3353" s="8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1">
        <v>42736</v>
      </c>
      <c r="D3354" s="8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1">
        <v>42736</v>
      </c>
      <c r="D3355" s="8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1">
        <v>42736</v>
      </c>
      <c r="D3356" s="8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1">
        <v>42736</v>
      </c>
      <c r="D3357" s="8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1">
        <v>42736</v>
      </c>
      <c r="D3358" s="8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1">
        <v>42736</v>
      </c>
      <c r="D3359" s="8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1">
        <v>42736</v>
      </c>
      <c r="D3360" s="8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1">
        <v>42736</v>
      </c>
      <c r="D3361" s="8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1">
        <v>42736</v>
      </c>
      <c r="D3362" s="8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1">
        <v>42736</v>
      </c>
      <c r="D3363" s="8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1">
        <v>42736</v>
      </c>
      <c r="D3364" s="8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1">
        <v>42736</v>
      </c>
      <c r="D3365" s="8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1">
        <v>42736</v>
      </c>
      <c r="D3366" s="8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1">
        <v>42736</v>
      </c>
      <c r="D3367" s="8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1">
        <v>42736</v>
      </c>
      <c r="D3368" s="8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1">
        <v>42736</v>
      </c>
      <c r="D3369" s="8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1">
        <v>42736</v>
      </c>
      <c r="D3370" s="8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1">
        <v>42736</v>
      </c>
      <c r="D3371" s="8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1">
        <v>42736</v>
      </c>
      <c r="D3372" s="8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1">
        <v>42736</v>
      </c>
      <c r="D3373" s="8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1">
        <v>42736</v>
      </c>
      <c r="D3374" s="8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1">
        <v>42736</v>
      </c>
      <c r="D3375" s="8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1">
        <v>42736</v>
      </c>
      <c r="D3376" s="8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1">
        <v>42736</v>
      </c>
      <c r="D3377" s="8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1">
        <v>42736</v>
      </c>
      <c r="D3378" s="8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1">
        <v>42736</v>
      </c>
      <c r="D3379" s="8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1">
        <v>42736</v>
      </c>
      <c r="D3380" s="8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1">
        <v>42736</v>
      </c>
      <c r="D3381" s="8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1">
        <v>42736</v>
      </c>
      <c r="D3382" s="8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1">
        <v>42736</v>
      </c>
      <c r="D3383" s="8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1">
        <v>42736</v>
      </c>
      <c r="D3384" s="8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1">
        <v>42736</v>
      </c>
      <c r="D3385" s="8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1">
        <v>42736</v>
      </c>
      <c r="D3386" s="8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1">
        <v>42736</v>
      </c>
      <c r="D3387" s="8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1">
        <v>42736</v>
      </c>
      <c r="D3388" s="8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1">
        <v>42736</v>
      </c>
      <c r="D3389" s="8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1">
        <v>42736</v>
      </c>
      <c r="D3390" s="8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1">
        <v>42736</v>
      </c>
      <c r="D3391" s="8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1">
        <v>42736</v>
      </c>
      <c r="D3392" s="8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1">
        <v>42736</v>
      </c>
      <c r="D3393" s="8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1">
        <v>42736</v>
      </c>
      <c r="D3394" s="8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1">
        <v>42736</v>
      </c>
      <c r="D3395" s="8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1">
        <v>42736</v>
      </c>
      <c r="D3396" s="8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1">
        <v>42736</v>
      </c>
      <c r="D3397" s="8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1">
        <v>42736</v>
      </c>
      <c r="D3398" s="8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1">
        <v>42736</v>
      </c>
      <c r="D3399" s="8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1">
        <v>42736</v>
      </c>
      <c r="D3400" s="8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1">
        <v>42736</v>
      </c>
      <c r="D3401" s="8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1">
        <v>42736</v>
      </c>
      <c r="D3402" s="8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1">
        <v>42736</v>
      </c>
      <c r="D3403" s="8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1">
        <v>42736</v>
      </c>
      <c r="D3404" s="8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1">
        <v>42736</v>
      </c>
      <c r="D3405" s="8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1">
        <v>42736</v>
      </c>
      <c r="D3406" s="8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1">
        <v>42736</v>
      </c>
      <c r="D3407" s="8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1">
        <v>42736</v>
      </c>
      <c r="D3408" s="8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1">
        <v>42736</v>
      </c>
      <c r="D3409" s="8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1">
        <v>42736</v>
      </c>
      <c r="D3410" s="8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1">
        <v>42736</v>
      </c>
      <c r="D3411" s="8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1">
        <v>42736</v>
      </c>
      <c r="D3412" s="8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1">
        <v>42736</v>
      </c>
      <c r="D3413" s="8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1">
        <v>42736</v>
      </c>
      <c r="D3414" s="8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1">
        <v>42736</v>
      </c>
      <c r="D3415" s="8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1">
        <v>42736</v>
      </c>
      <c r="D3416" s="8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1">
        <v>42736</v>
      </c>
      <c r="D3417" s="8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1">
        <v>42736</v>
      </c>
      <c r="D3418" s="8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1">
        <v>42736</v>
      </c>
      <c r="D3419" s="8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1">
        <v>42736</v>
      </c>
      <c r="D3420" s="8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1">
        <v>42736</v>
      </c>
      <c r="D3421" s="8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1">
        <v>42736</v>
      </c>
      <c r="D3422" s="8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1">
        <v>42736</v>
      </c>
      <c r="D3423" s="8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1">
        <v>42736</v>
      </c>
      <c r="D3424" s="8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1">
        <v>42736</v>
      </c>
      <c r="D3425" s="8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1">
        <v>42736</v>
      </c>
      <c r="D3426" s="8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1">
        <v>42736</v>
      </c>
      <c r="D3427" s="8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1">
        <v>42736</v>
      </c>
      <c r="D3428" s="8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1">
        <v>42736</v>
      </c>
      <c r="D3429" s="8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1">
        <v>42736</v>
      </c>
      <c r="D3430" s="8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1">
        <v>42736</v>
      </c>
      <c r="D3431" s="8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1">
        <v>42736</v>
      </c>
      <c r="D3432" s="8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1">
        <v>42736</v>
      </c>
      <c r="D3433" s="8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1">
        <v>42736</v>
      </c>
      <c r="D3434" s="8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1">
        <v>42736</v>
      </c>
      <c r="D3435" s="8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1">
        <v>42736</v>
      </c>
      <c r="D3436" s="8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1">
        <v>42736</v>
      </c>
      <c r="D3437" s="8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1">
        <v>42736</v>
      </c>
      <c r="D3438" s="8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1">
        <v>42736</v>
      </c>
      <c r="D3439" s="8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1">
        <v>42736</v>
      </c>
      <c r="D3440" s="8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1">
        <v>42370</v>
      </c>
      <c r="D3441" s="8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1">
        <v>42370</v>
      </c>
      <c r="D3442" s="8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1">
        <v>42370</v>
      </c>
      <c r="D3443" s="8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1">
        <v>42370</v>
      </c>
      <c r="D3444" s="8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1">
        <v>42370</v>
      </c>
      <c r="D3445" s="8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1">
        <v>42370</v>
      </c>
      <c r="D3446" s="8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1">
        <v>42370</v>
      </c>
      <c r="D3447" s="8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1">
        <v>42370</v>
      </c>
      <c r="D3448" s="8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1">
        <v>42370</v>
      </c>
      <c r="D3449" s="8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1">
        <v>42370</v>
      </c>
      <c r="D3450" s="8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1">
        <v>42370</v>
      </c>
      <c r="D3451" s="8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1">
        <v>42370</v>
      </c>
      <c r="D3452" s="8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1">
        <v>42370</v>
      </c>
      <c r="D3453" s="8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1">
        <v>42370</v>
      </c>
      <c r="D3454" s="8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1">
        <v>42370</v>
      </c>
      <c r="D3455" s="8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1">
        <v>42370</v>
      </c>
      <c r="D3456" s="8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1">
        <v>42370</v>
      </c>
      <c r="D3457" s="8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1">
        <v>42370</v>
      </c>
      <c r="D3458" s="8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1">
        <v>42370</v>
      </c>
      <c r="D3459" s="8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1">
        <v>42370</v>
      </c>
      <c r="D3460" s="8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1">
        <v>42370</v>
      </c>
      <c r="D3461" s="8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1">
        <v>42370</v>
      </c>
      <c r="D3462" s="8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1">
        <v>42370</v>
      </c>
      <c r="D3463" s="8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1">
        <v>42370</v>
      </c>
      <c r="D3464" s="8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1">
        <v>42370</v>
      </c>
      <c r="D3465" s="8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1">
        <v>42370</v>
      </c>
      <c r="D3466" s="8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1">
        <v>42370</v>
      </c>
      <c r="D3467" s="8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1">
        <v>42370</v>
      </c>
      <c r="D3468" s="8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1">
        <v>42370</v>
      </c>
      <c r="D3469" s="8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1">
        <v>42370</v>
      </c>
      <c r="D3470" s="8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1">
        <v>42370</v>
      </c>
      <c r="D3471" s="8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1">
        <v>42370</v>
      </c>
      <c r="D3472" s="8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1">
        <v>42370</v>
      </c>
      <c r="D3473" s="8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1">
        <v>42370</v>
      </c>
      <c r="D3474" s="8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1">
        <v>42370</v>
      </c>
      <c r="D3475" s="8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1">
        <v>42370</v>
      </c>
      <c r="D3476" s="8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1">
        <v>42370</v>
      </c>
      <c r="D3477" s="8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1">
        <v>42370</v>
      </c>
      <c r="D3478" s="8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1">
        <v>42370</v>
      </c>
      <c r="D3479" s="8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1">
        <v>42370</v>
      </c>
      <c r="D3480" s="8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1">
        <v>42370</v>
      </c>
      <c r="D3481" s="8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1">
        <v>42370</v>
      </c>
      <c r="D3482" s="8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1">
        <v>42370</v>
      </c>
      <c r="D3483" s="8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1">
        <v>42370</v>
      </c>
      <c r="D3484" s="8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1">
        <v>42370</v>
      </c>
      <c r="D3485" s="8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1">
        <v>42370</v>
      </c>
      <c r="D3486" s="8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1">
        <v>42370</v>
      </c>
      <c r="D3487" s="8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1">
        <v>42370</v>
      </c>
      <c r="D3488" s="8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1">
        <v>42370</v>
      </c>
      <c r="D3489" s="8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1">
        <v>42370</v>
      </c>
      <c r="D3490" s="8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1">
        <v>42370</v>
      </c>
      <c r="D3491" s="8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1">
        <v>42370</v>
      </c>
      <c r="D3492" s="8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1">
        <v>42370</v>
      </c>
      <c r="D3493" s="8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1">
        <v>42370</v>
      </c>
      <c r="D3494" s="8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1">
        <v>42370</v>
      </c>
      <c r="D3495" s="8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1">
        <v>42370</v>
      </c>
      <c r="D3496" s="8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1">
        <v>42370</v>
      </c>
      <c r="D3497" s="8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1">
        <v>42370</v>
      </c>
      <c r="D3498" s="8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1">
        <v>42370</v>
      </c>
      <c r="D3499" s="8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1">
        <v>42370</v>
      </c>
      <c r="D3500" s="8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1">
        <v>42370</v>
      </c>
      <c r="D3501" s="8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1">
        <v>42370</v>
      </c>
      <c r="D3502" s="8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1">
        <v>42370</v>
      </c>
      <c r="D3503" s="8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1">
        <v>42370</v>
      </c>
      <c r="D3504" s="8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1">
        <v>42370</v>
      </c>
      <c r="D3505" s="8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1">
        <v>42370</v>
      </c>
      <c r="D3506" s="8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1">
        <v>42370</v>
      </c>
      <c r="D3507" s="8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1">
        <v>42370</v>
      </c>
      <c r="D3508" s="8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1">
        <v>42370</v>
      </c>
      <c r="D3509" s="8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1">
        <v>42370</v>
      </c>
      <c r="D3510" s="8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1">
        <v>42370</v>
      </c>
      <c r="D3511" s="8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1">
        <v>42370</v>
      </c>
      <c r="D3512" s="8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1">
        <v>42370</v>
      </c>
      <c r="D3513" s="8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1">
        <v>42370</v>
      </c>
      <c r="D3514" s="8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1">
        <v>42370</v>
      </c>
      <c r="D3515" s="8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1">
        <v>42370</v>
      </c>
      <c r="D3516" s="8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1">
        <v>42370</v>
      </c>
      <c r="D3517" s="8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1">
        <v>42370</v>
      </c>
      <c r="D3518" s="8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1">
        <v>42370</v>
      </c>
      <c r="D3519" s="8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1">
        <v>42370</v>
      </c>
      <c r="D3520" s="8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1">
        <v>42370</v>
      </c>
      <c r="D3521" s="8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1">
        <v>42370</v>
      </c>
      <c r="D3522" s="8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1">
        <v>42370</v>
      </c>
      <c r="D3523" s="8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1">
        <v>42370</v>
      </c>
      <c r="D3524" s="8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1">
        <v>42370</v>
      </c>
      <c r="D3525" s="8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1">
        <v>42370</v>
      </c>
      <c r="D3526" s="8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1">
        <v>42370</v>
      </c>
      <c r="D3527" s="8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1">
        <v>42370</v>
      </c>
      <c r="D3528" s="8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1">
        <v>42370</v>
      </c>
      <c r="D3529" s="8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1">
        <v>42370</v>
      </c>
      <c r="D3530" s="8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1">
        <v>42370</v>
      </c>
      <c r="D3531" s="8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1">
        <v>42370</v>
      </c>
      <c r="D3532" s="8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1">
        <v>42370</v>
      </c>
      <c r="D3533" s="8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1">
        <v>42370</v>
      </c>
      <c r="D3534" s="8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1">
        <v>42370</v>
      </c>
      <c r="D3535" s="8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1">
        <v>42370</v>
      </c>
      <c r="D3536" s="8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1">
        <v>42370</v>
      </c>
      <c r="D3537" s="8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1">
        <v>42370</v>
      </c>
      <c r="D3538" s="8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1">
        <v>42370</v>
      </c>
      <c r="D3539" s="8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1">
        <v>42370</v>
      </c>
      <c r="D3540" s="8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1">
        <v>42370</v>
      </c>
      <c r="D3541" s="8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1">
        <v>42370</v>
      </c>
      <c r="D3542" s="8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1">
        <v>42370</v>
      </c>
      <c r="D3543" s="8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1">
        <v>42370</v>
      </c>
      <c r="D3544" s="8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1">
        <v>42370</v>
      </c>
      <c r="D3545" s="8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1">
        <v>42370</v>
      </c>
      <c r="D3546" s="8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1">
        <v>42370</v>
      </c>
      <c r="D3547" s="8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1">
        <v>42370</v>
      </c>
      <c r="D3548" s="8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1">
        <v>42370</v>
      </c>
      <c r="D3549" s="8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1">
        <v>42370</v>
      </c>
      <c r="D3550" s="8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1">
        <v>42370</v>
      </c>
      <c r="D3551" s="8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1">
        <v>42370</v>
      </c>
      <c r="D3552" s="8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1">
        <v>42370</v>
      </c>
      <c r="D3553" s="8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1">
        <v>42370</v>
      </c>
      <c r="D3554" s="8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1">
        <v>42370</v>
      </c>
      <c r="D3555" s="8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1">
        <v>42370</v>
      </c>
      <c r="D3556" s="8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1">
        <v>42370</v>
      </c>
      <c r="D3557" s="8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1">
        <v>42370</v>
      </c>
      <c r="D3558" s="8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1">
        <v>42370</v>
      </c>
      <c r="D3559" s="8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1">
        <v>42370</v>
      </c>
      <c r="D3560" s="8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1">
        <v>42370</v>
      </c>
      <c r="D3561" s="8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1">
        <v>42370</v>
      </c>
      <c r="D3562" s="8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1">
        <v>42370</v>
      </c>
      <c r="D3563" s="8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1">
        <v>42370</v>
      </c>
      <c r="D3564" s="8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1">
        <v>42370</v>
      </c>
      <c r="D3565" s="8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1">
        <v>42370</v>
      </c>
      <c r="D3566" s="8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1">
        <v>42370</v>
      </c>
      <c r="D3567" s="8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1">
        <v>42370</v>
      </c>
      <c r="D3568" s="8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1">
        <v>42370</v>
      </c>
      <c r="D3569" s="8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1">
        <v>42370</v>
      </c>
      <c r="D3570" s="8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1">
        <v>42370</v>
      </c>
      <c r="D3571" s="8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1">
        <v>42370</v>
      </c>
      <c r="D3572" s="8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1">
        <v>42370</v>
      </c>
      <c r="D3573" s="8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1">
        <v>42370</v>
      </c>
      <c r="D3574" s="8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1">
        <v>42370</v>
      </c>
      <c r="D3575" s="8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1">
        <v>42370</v>
      </c>
      <c r="D3576" s="8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1">
        <v>42370</v>
      </c>
      <c r="D3577" s="8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1">
        <v>42370</v>
      </c>
      <c r="D3578" s="8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1">
        <v>42370</v>
      </c>
      <c r="D3579" s="8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1">
        <v>42370</v>
      </c>
      <c r="D3580" s="8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1">
        <v>42370</v>
      </c>
      <c r="D3581" s="8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1">
        <v>42370</v>
      </c>
      <c r="D3582" s="8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1">
        <v>42370</v>
      </c>
      <c r="D3583" s="8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1">
        <v>42370</v>
      </c>
      <c r="D3584" s="8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1">
        <v>42370</v>
      </c>
      <c r="D3585" s="8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1">
        <v>42370</v>
      </c>
      <c r="D3586" s="8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1">
        <v>42370</v>
      </c>
      <c r="D3587" s="8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1">
        <v>42370</v>
      </c>
      <c r="D3588" s="8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1">
        <v>42370</v>
      </c>
      <c r="D3589" s="8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1">
        <v>42370</v>
      </c>
      <c r="D3590" s="8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1">
        <v>42370</v>
      </c>
      <c r="D3591" s="8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1">
        <v>42370</v>
      </c>
      <c r="D3592" s="8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1">
        <v>42370</v>
      </c>
      <c r="D3593" s="8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1">
        <v>42370</v>
      </c>
      <c r="D3594" s="8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1">
        <v>42370</v>
      </c>
      <c r="D3595" s="8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1">
        <v>42370</v>
      </c>
      <c r="D3596" s="8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1">
        <v>42370</v>
      </c>
      <c r="D3597" s="8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1">
        <v>42370</v>
      </c>
      <c r="D3598" s="8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1">
        <v>42370</v>
      </c>
      <c r="D3599" s="8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1">
        <v>42370</v>
      </c>
      <c r="D3600" s="8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1">
        <v>42370</v>
      </c>
      <c r="D3601" s="8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1">
        <v>42370</v>
      </c>
      <c r="D3602" s="8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1">
        <v>42370</v>
      </c>
      <c r="D3603" s="8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1">
        <v>42370</v>
      </c>
      <c r="D3604" s="8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1">
        <v>42370</v>
      </c>
      <c r="D3605" s="8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1">
        <v>42370</v>
      </c>
      <c r="D3606" s="8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1">
        <v>42370</v>
      </c>
      <c r="D3607" s="8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1">
        <v>42370</v>
      </c>
      <c r="D3608" s="8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1">
        <v>42370</v>
      </c>
      <c r="D3609" s="8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1">
        <v>42370</v>
      </c>
      <c r="D3610" s="8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1">
        <v>42370</v>
      </c>
      <c r="D3611" s="8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1">
        <v>42370</v>
      </c>
      <c r="D3612" s="8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1">
        <v>42370</v>
      </c>
      <c r="D3613" s="8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1">
        <v>42370</v>
      </c>
      <c r="D3614" s="8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1">
        <v>42370</v>
      </c>
      <c r="D3615" s="8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1">
        <v>42370</v>
      </c>
      <c r="D3616" s="8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1">
        <v>42370</v>
      </c>
      <c r="D3617" s="8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1">
        <v>42370</v>
      </c>
      <c r="D3618" s="8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1">
        <v>42370</v>
      </c>
      <c r="D3619" s="8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1">
        <v>42370</v>
      </c>
      <c r="D3620" s="8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1">
        <v>42370</v>
      </c>
      <c r="D3621" s="8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1">
        <v>42370</v>
      </c>
      <c r="D3622" s="8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1">
        <v>42370</v>
      </c>
      <c r="D3623" s="8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1">
        <v>42370</v>
      </c>
      <c r="D3624" s="8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1">
        <v>42370</v>
      </c>
      <c r="D3625" s="8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1">
        <v>42370</v>
      </c>
      <c r="D3626" s="8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1">
        <v>42370</v>
      </c>
      <c r="D3627" s="8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1">
        <v>42370</v>
      </c>
      <c r="D3628" s="8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1">
        <v>42370</v>
      </c>
      <c r="D3629" s="8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1">
        <v>42370</v>
      </c>
      <c r="D3630" s="8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1">
        <v>42370</v>
      </c>
      <c r="D3631" s="8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1">
        <v>42370</v>
      </c>
      <c r="D3632" s="8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1">
        <v>42370</v>
      </c>
      <c r="D3633" s="8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1">
        <v>42370</v>
      </c>
      <c r="D3634" s="8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1">
        <v>42370</v>
      </c>
      <c r="D3635" s="8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1">
        <v>42370</v>
      </c>
      <c r="D3636" s="8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1">
        <v>42370</v>
      </c>
      <c r="D3637" s="8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1">
        <v>42370</v>
      </c>
      <c r="D3638" s="8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1">
        <v>42370</v>
      </c>
      <c r="D3639" s="8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1">
        <v>42370</v>
      </c>
      <c r="D3640" s="8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1">
        <v>42370</v>
      </c>
      <c r="D3641" s="8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1">
        <v>42370</v>
      </c>
      <c r="D3642" s="8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1">
        <v>42370</v>
      </c>
      <c r="D3643" s="8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1">
        <v>42370</v>
      </c>
      <c r="D3644" s="8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1">
        <v>42370</v>
      </c>
      <c r="D3645" s="8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1">
        <v>42370</v>
      </c>
      <c r="D3646" s="8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1">
        <v>42370</v>
      </c>
      <c r="D3647" s="8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1">
        <v>42370</v>
      </c>
      <c r="D3648" s="8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1">
        <v>42370</v>
      </c>
      <c r="D3649" s="8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1">
        <v>42370</v>
      </c>
      <c r="D3650" s="8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1">
        <v>42370</v>
      </c>
      <c r="D3651" s="8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1">
        <v>42370</v>
      </c>
      <c r="D3652" s="8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1">
        <v>42370</v>
      </c>
      <c r="D3653" s="8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1">
        <v>42370</v>
      </c>
      <c r="D3654" s="8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1">
        <v>42370</v>
      </c>
      <c r="D3655" s="8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1">
        <v>42370</v>
      </c>
      <c r="D3656" s="8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1">
        <v>42370</v>
      </c>
      <c r="D3657" s="8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1">
        <v>42370</v>
      </c>
      <c r="D3658" s="8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1">
        <v>42370</v>
      </c>
      <c r="D3659" s="8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1">
        <v>42370</v>
      </c>
      <c r="D3660" s="8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1">
        <v>42370</v>
      </c>
      <c r="D3661" s="8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1">
        <v>42370</v>
      </c>
      <c r="D3662" s="8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1">
        <v>42370</v>
      </c>
      <c r="D3663" s="8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1">
        <v>42370</v>
      </c>
      <c r="D3664" s="8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1">
        <v>42370</v>
      </c>
      <c r="D3665" s="8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1">
        <v>42370</v>
      </c>
      <c r="D3666" s="8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1">
        <v>42370</v>
      </c>
      <c r="D3667" s="8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1">
        <v>42370</v>
      </c>
      <c r="D3668" s="8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1">
        <v>42370</v>
      </c>
      <c r="D3669" s="8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1">
        <v>42370</v>
      </c>
      <c r="D3670" s="8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1">
        <v>42370</v>
      </c>
      <c r="D3671" s="8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1">
        <v>42370</v>
      </c>
      <c r="D3672" s="8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1">
        <v>42370</v>
      </c>
      <c r="D3673" s="8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1">
        <v>42370</v>
      </c>
      <c r="D3674" s="8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1">
        <v>42370</v>
      </c>
      <c r="D3675" s="8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1">
        <v>42370</v>
      </c>
      <c r="D3676" s="8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1">
        <v>42370</v>
      </c>
      <c r="D3677" s="8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1">
        <v>42370</v>
      </c>
      <c r="D3678" s="8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1">
        <v>42370</v>
      </c>
      <c r="D3679" s="8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1">
        <v>42370</v>
      </c>
      <c r="D3680" s="8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1">
        <v>42370</v>
      </c>
      <c r="D3681" s="8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1">
        <v>42370</v>
      </c>
      <c r="D3682" s="8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1">
        <v>42370</v>
      </c>
      <c r="D3683" s="8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1">
        <v>42370</v>
      </c>
      <c r="D3684" s="8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1">
        <v>42370</v>
      </c>
      <c r="D3685" s="8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1">
        <v>42370</v>
      </c>
      <c r="D3686" s="8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1">
        <v>42370</v>
      </c>
      <c r="D3687" s="8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1">
        <v>42370</v>
      </c>
      <c r="D3688" s="8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1">
        <v>42370</v>
      </c>
      <c r="D3689" s="8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1">
        <v>42370</v>
      </c>
      <c r="D3690" s="8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1">
        <v>42370</v>
      </c>
      <c r="D3691" s="8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1">
        <v>42370</v>
      </c>
      <c r="D3692" s="8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1">
        <v>42370</v>
      </c>
      <c r="D3693" s="8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1">
        <v>42370</v>
      </c>
      <c r="D3694" s="8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1">
        <v>42370</v>
      </c>
      <c r="D3695" s="8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1">
        <v>42370</v>
      </c>
      <c r="D3696" s="8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1">
        <v>42370</v>
      </c>
      <c r="D3697" s="8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1">
        <v>42370</v>
      </c>
      <c r="D3698" s="8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1">
        <v>42370</v>
      </c>
      <c r="D3699" s="8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1">
        <v>42370</v>
      </c>
      <c r="D3700" s="8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1">
        <v>42370</v>
      </c>
      <c r="D3701" s="8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1">
        <v>42370</v>
      </c>
      <c r="D3702" s="8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1">
        <v>42370</v>
      </c>
      <c r="D3703" s="8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1">
        <v>42370</v>
      </c>
      <c r="D3704" s="8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1">
        <v>42370</v>
      </c>
      <c r="D3705" s="8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1">
        <v>42370</v>
      </c>
      <c r="D3706" s="8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1">
        <v>42370</v>
      </c>
      <c r="D3707" s="8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1">
        <v>42370</v>
      </c>
      <c r="D3708" s="8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1">
        <v>42370</v>
      </c>
      <c r="D3709" s="8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1">
        <v>42370</v>
      </c>
      <c r="D3710" s="8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1">
        <v>42370</v>
      </c>
      <c r="D3711" s="8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1">
        <v>42370</v>
      </c>
      <c r="D3712" s="8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1">
        <v>42370</v>
      </c>
      <c r="D3713" s="8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1">
        <v>42370</v>
      </c>
      <c r="D3714" s="8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1">
        <v>42370</v>
      </c>
      <c r="D3715" s="8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1">
        <v>42370</v>
      </c>
      <c r="D3716" s="8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1">
        <v>42370</v>
      </c>
      <c r="D3717" s="8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1">
        <v>42370</v>
      </c>
      <c r="D3718" s="8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1">
        <v>42370</v>
      </c>
      <c r="D3719" s="8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1">
        <v>42370</v>
      </c>
      <c r="D3720" s="8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1">
        <v>42370</v>
      </c>
      <c r="D3721" s="8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1">
        <v>42370</v>
      </c>
      <c r="D3722" s="8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1">
        <v>42370</v>
      </c>
      <c r="D3723" s="8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1">
        <v>42370</v>
      </c>
      <c r="D3724" s="8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1">
        <v>42370</v>
      </c>
      <c r="D3725" s="8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1">
        <v>42370</v>
      </c>
      <c r="D3726" s="8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1">
        <v>42370</v>
      </c>
      <c r="D3727" s="8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1">
        <v>42370</v>
      </c>
      <c r="D3728" s="8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1">
        <v>42370</v>
      </c>
      <c r="D3729" s="8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1">
        <v>42370</v>
      </c>
      <c r="D3730" s="8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1">
        <v>42370</v>
      </c>
      <c r="D3731" s="8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1">
        <v>42370</v>
      </c>
      <c r="D3732" s="8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1">
        <v>42370</v>
      </c>
      <c r="D3733" s="8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1">
        <v>42005</v>
      </c>
      <c r="D3734" s="8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1">
        <v>42005</v>
      </c>
      <c r="D3735" s="8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1">
        <v>42005</v>
      </c>
      <c r="D3736" s="8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1">
        <v>42005</v>
      </c>
      <c r="D3737" s="8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1">
        <v>42005</v>
      </c>
      <c r="D3738" s="8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1">
        <v>42005</v>
      </c>
      <c r="D3739" s="8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1">
        <v>42005</v>
      </c>
      <c r="D3740" s="8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1">
        <v>42005</v>
      </c>
      <c r="D3741" s="8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1">
        <v>42005</v>
      </c>
      <c r="D3742" s="8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1">
        <v>42005</v>
      </c>
      <c r="D3743" s="8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1">
        <v>42005</v>
      </c>
      <c r="D3744" s="8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1">
        <v>42005</v>
      </c>
      <c r="D3745" s="8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1">
        <v>42005</v>
      </c>
      <c r="D3746" s="8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1">
        <v>42005</v>
      </c>
      <c r="D3747" s="8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1">
        <v>42005</v>
      </c>
      <c r="D3748" s="8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1">
        <v>42005</v>
      </c>
      <c r="D3749" s="8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1">
        <v>42005</v>
      </c>
      <c r="D3750" s="8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1">
        <v>42005</v>
      </c>
      <c r="D3751" s="8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1">
        <v>42005</v>
      </c>
      <c r="D3752" s="8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1">
        <v>42005</v>
      </c>
      <c r="D3753" s="8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1">
        <v>42005</v>
      </c>
      <c r="D3754" s="8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1">
        <v>42005</v>
      </c>
      <c r="D3755" s="8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1">
        <v>42005</v>
      </c>
      <c r="D3756" s="8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1">
        <v>42005</v>
      </c>
      <c r="D3757" s="8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1">
        <v>42005</v>
      </c>
      <c r="D3758" s="8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1">
        <v>42005</v>
      </c>
      <c r="D3759" s="8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1">
        <v>42005</v>
      </c>
      <c r="D3760" s="8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1">
        <v>42005</v>
      </c>
      <c r="D3761" s="8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1">
        <v>42005</v>
      </c>
      <c r="D3762" s="8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1">
        <v>42005</v>
      </c>
      <c r="D3763" s="8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1">
        <v>42005</v>
      </c>
      <c r="D3764" s="8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1">
        <v>42005</v>
      </c>
      <c r="D3765" s="8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1">
        <v>42005</v>
      </c>
      <c r="D3766" s="8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1">
        <v>42005</v>
      </c>
      <c r="D3767" s="8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1">
        <v>42005</v>
      </c>
      <c r="D3768" s="8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1">
        <v>42005</v>
      </c>
      <c r="D3769" s="8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1">
        <v>42005</v>
      </c>
      <c r="D3770" s="8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1">
        <v>42005</v>
      </c>
      <c r="D3771" s="8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1">
        <v>42005</v>
      </c>
      <c r="D3772" s="8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1">
        <v>42005</v>
      </c>
      <c r="D3773" s="8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1">
        <v>42005</v>
      </c>
      <c r="D3774" s="8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1">
        <v>42005</v>
      </c>
      <c r="D3775" s="8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1">
        <v>42005</v>
      </c>
      <c r="D3776" s="8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1">
        <v>42005</v>
      </c>
      <c r="D3777" s="8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1">
        <v>42005</v>
      </c>
      <c r="D3778" s="8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1">
        <v>42005</v>
      </c>
      <c r="D3779" s="8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1">
        <v>42005</v>
      </c>
      <c r="D3780" s="8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1">
        <v>42005</v>
      </c>
      <c r="D3781" s="8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1">
        <v>42005</v>
      </c>
      <c r="D3782" s="8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1">
        <v>42005</v>
      </c>
      <c r="D3783" s="8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1">
        <v>42005</v>
      </c>
      <c r="D3784" s="8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1">
        <v>42005</v>
      </c>
      <c r="D3785" s="8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1">
        <v>42005</v>
      </c>
      <c r="D3786" s="8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1">
        <v>42005</v>
      </c>
      <c r="D3787" s="8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1">
        <v>42005</v>
      </c>
      <c r="D3788" s="8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1">
        <v>42005</v>
      </c>
      <c r="D3789" s="8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1">
        <v>42005</v>
      </c>
      <c r="D3790" s="8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1">
        <v>42005</v>
      </c>
      <c r="D3791" s="8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1">
        <v>42005</v>
      </c>
      <c r="D3792" s="8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1">
        <v>42005</v>
      </c>
      <c r="D3793" s="8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1">
        <v>42005</v>
      </c>
      <c r="D3794" s="8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1">
        <v>42005</v>
      </c>
      <c r="D3795" s="8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1">
        <v>42005</v>
      </c>
      <c r="D3796" s="8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1">
        <v>42005</v>
      </c>
      <c r="D3797" s="8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1">
        <v>42005</v>
      </c>
      <c r="D3798" s="8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1">
        <v>42005</v>
      </c>
      <c r="D3799" s="8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1">
        <v>42005</v>
      </c>
      <c r="D3800" s="8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1">
        <v>42005</v>
      </c>
      <c r="D3801" s="8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1">
        <v>42005</v>
      </c>
      <c r="D3802" s="8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1">
        <v>42005</v>
      </c>
      <c r="D3803" s="8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1">
        <v>42005</v>
      </c>
      <c r="D3804" s="8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1">
        <v>42005</v>
      </c>
      <c r="D3805" s="8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1">
        <v>42005</v>
      </c>
      <c r="D3806" s="8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1">
        <v>42005</v>
      </c>
      <c r="D3807" s="8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1">
        <v>42005</v>
      </c>
      <c r="D3808" s="8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1">
        <v>42005</v>
      </c>
      <c r="D3809" s="8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1">
        <v>42005</v>
      </c>
      <c r="D3810" s="8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1">
        <v>42005</v>
      </c>
      <c r="D3811" s="8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1">
        <v>42005</v>
      </c>
      <c r="D3812" s="8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1">
        <v>42005</v>
      </c>
      <c r="D3813" s="8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1">
        <v>42005</v>
      </c>
      <c r="D3814" s="8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1">
        <v>42005</v>
      </c>
      <c r="D3815" s="8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1">
        <v>42005</v>
      </c>
      <c r="D3816" s="8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1">
        <v>42005</v>
      </c>
      <c r="D3817" s="8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1">
        <v>42005</v>
      </c>
      <c r="D3818" s="8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1">
        <v>42005</v>
      </c>
      <c r="D3819" s="8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1">
        <v>42005</v>
      </c>
      <c r="D3820" s="8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1">
        <v>42005</v>
      </c>
      <c r="D3821" s="8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1">
        <v>42005</v>
      </c>
      <c r="D3822" s="8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1">
        <v>42005</v>
      </c>
      <c r="D3823" s="8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1">
        <v>42005</v>
      </c>
      <c r="D3824" s="8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1">
        <v>42005</v>
      </c>
      <c r="D3825" s="8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1">
        <v>42005</v>
      </c>
      <c r="D3826" s="8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1">
        <v>42005</v>
      </c>
      <c r="D3827" s="8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1">
        <v>42005</v>
      </c>
      <c r="D3828" s="8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1">
        <v>42005</v>
      </c>
      <c r="D3829" s="8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1">
        <v>42005</v>
      </c>
      <c r="D3830" s="8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1">
        <v>42005</v>
      </c>
      <c r="D3831" s="8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1">
        <v>42005</v>
      </c>
      <c r="D3832" s="8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1">
        <v>42005</v>
      </c>
      <c r="D3833" s="8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1">
        <v>42005</v>
      </c>
      <c r="D3834" s="8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1">
        <v>42005</v>
      </c>
      <c r="D3835" s="8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1">
        <v>42005</v>
      </c>
      <c r="D3836" s="8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1">
        <v>42005</v>
      </c>
      <c r="D3837" s="8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1">
        <v>42005</v>
      </c>
      <c r="D3838" s="8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1">
        <v>42005</v>
      </c>
      <c r="D3839" s="8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1">
        <v>42005</v>
      </c>
      <c r="D3840" s="8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1">
        <v>42005</v>
      </c>
      <c r="D3841" s="8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1">
        <v>42005</v>
      </c>
      <c r="D3842" s="8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1">
        <v>42005</v>
      </c>
      <c r="D3843" s="8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1">
        <v>42005</v>
      </c>
      <c r="D3844" s="8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1">
        <v>42005</v>
      </c>
      <c r="D3845" s="8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1">
        <v>42005</v>
      </c>
      <c r="D3846" s="8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1">
        <v>42005</v>
      </c>
      <c r="D3847" s="8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1">
        <v>42005</v>
      </c>
      <c r="D3848" s="8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1">
        <v>42005</v>
      </c>
      <c r="D3849" s="8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1">
        <v>42005</v>
      </c>
      <c r="D3850" s="8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1">
        <v>42005</v>
      </c>
      <c r="D3851" s="8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1">
        <v>42005</v>
      </c>
      <c r="D3852" s="8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1">
        <v>42005</v>
      </c>
      <c r="D3853" s="8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1">
        <v>42005</v>
      </c>
      <c r="D3854" s="8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1">
        <v>42005</v>
      </c>
      <c r="D3855" s="8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1">
        <v>42005</v>
      </c>
      <c r="D3856" s="8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1">
        <v>42005</v>
      </c>
      <c r="D3857" s="8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1">
        <v>42005</v>
      </c>
      <c r="D3858" s="8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1">
        <v>42005</v>
      </c>
      <c r="D3859" s="8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1">
        <v>42005</v>
      </c>
      <c r="D3860" s="8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1">
        <v>42005</v>
      </c>
      <c r="D3861" s="8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1">
        <v>42005</v>
      </c>
      <c r="D3862" s="8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1">
        <v>42005</v>
      </c>
      <c r="D3863" s="8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1">
        <v>42005</v>
      </c>
      <c r="D3864" s="8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1">
        <v>42005</v>
      </c>
      <c r="D3865" s="8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1">
        <v>42005</v>
      </c>
      <c r="D3866" s="8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1">
        <v>42005</v>
      </c>
      <c r="D3867" s="8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1">
        <v>42005</v>
      </c>
      <c r="D3868" s="8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1">
        <v>42005</v>
      </c>
      <c r="D3869" s="8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1">
        <v>42005</v>
      </c>
      <c r="D3870" s="8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1">
        <v>42005</v>
      </c>
      <c r="D3871" s="8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1">
        <v>42005</v>
      </c>
      <c r="D3872" s="8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1">
        <v>42005</v>
      </c>
      <c r="D3873" s="8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1">
        <v>42005</v>
      </c>
      <c r="D3874" s="8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1">
        <v>42005</v>
      </c>
      <c r="D3875" s="8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1">
        <v>42005</v>
      </c>
      <c r="D3876" s="8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1">
        <v>42005</v>
      </c>
      <c r="D3877" s="8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1">
        <v>42005</v>
      </c>
      <c r="D3878" s="8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1">
        <v>42005</v>
      </c>
      <c r="D3879" s="8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1">
        <v>42005</v>
      </c>
      <c r="D3880" s="8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1">
        <v>42005</v>
      </c>
      <c r="D3881" s="8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1">
        <v>42005</v>
      </c>
      <c r="D3882" s="8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1">
        <v>42005</v>
      </c>
      <c r="D3883" s="8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1">
        <v>42005</v>
      </c>
      <c r="D3884" s="8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1">
        <v>42005</v>
      </c>
      <c r="D3885" s="8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1">
        <v>42005</v>
      </c>
      <c r="D3886" s="8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1">
        <v>42005</v>
      </c>
      <c r="D3887" s="8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1">
        <v>42005</v>
      </c>
      <c r="D3888" s="8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1">
        <v>42005</v>
      </c>
      <c r="D3889" s="8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1">
        <v>42005</v>
      </c>
      <c r="D3890" s="8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1">
        <v>42005</v>
      </c>
      <c r="D3891" s="8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1">
        <v>42005</v>
      </c>
      <c r="D3892" s="8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1">
        <v>42005</v>
      </c>
      <c r="D3893" s="8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1">
        <v>42005</v>
      </c>
      <c r="D3894" s="8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1">
        <v>42005</v>
      </c>
      <c r="D3895" s="8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1">
        <v>42005</v>
      </c>
      <c r="D3896" s="8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1">
        <v>42005</v>
      </c>
      <c r="D3897" s="8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1">
        <v>42005</v>
      </c>
      <c r="D3898" s="8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1">
        <v>42005</v>
      </c>
      <c r="D3899" s="8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1">
        <v>42005</v>
      </c>
      <c r="D3900" s="8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1">
        <v>42005</v>
      </c>
      <c r="D3901" s="8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1">
        <v>42005</v>
      </c>
      <c r="D3902" s="8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1">
        <v>42005</v>
      </c>
      <c r="D3903" s="8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1">
        <v>42005</v>
      </c>
      <c r="D3904" s="8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1">
        <v>42005</v>
      </c>
      <c r="D3905" s="8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1">
        <v>42005</v>
      </c>
      <c r="D3906" s="8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1">
        <v>42005</v>
      </c>
      <c r="D3907" s="8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1">
        <v>42005</v>
      </c>
      <c r="D3908" s="8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1">
        <v>42005</v>
      </c>
      <c r="D3909" s="8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1">
        <v>42005</v>
      </c>
      <c r="D3910" s="8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1">
        <v>42005</v>
      </c>
      <c r="D3911" s="8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1">
        <v>42005</v>
      </c>
      <c r="D3912" s="8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1">
        <v>42005</v>
      </c>
      <c r="D3913" s="8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1">
        <v>42005</v>
      </c>
      <c r="D3914" s="8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1">
        <v>42005</v>
      </c>
      <c r="D3915" s="8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1">
        <v>42005</v>
      </c>
      <c r="D3916" s="8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1">
        <v>42005</v>
      </c>
      <c r="D3917" s="8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1">
        <v>42005</v>
      </c>
      <c r="D3918" s="8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1">
        <v>42005</v>
      </c>
      <c r="D3919" s="8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1">
        <v>42005</v>
      </c>
      <c r="D3920" s="8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1">
        <v>42005</v>
      </c>
      <c r="D3921" s="8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1">
        <v>42005</v>
      </c>
      <c r="D3922" s="8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1">
        <v>42005</v>
      </c>
      <c r="D3923" s="8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1">
        <v>42005</v>
      </c>
      <c r="D3924" s="8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1">
        <v>42005</v>
      </c>
      <c r="D3925" s="8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1">
        <v>42005</v>
      </c>
      <c r="D3926" s="8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1">
        <v>42005</v>
      </c>
      <c r="D3927" s="8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1">
        <v>42005</v>
      </c>
      <c r="D3928" s="8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1">
        <v>42005</v>
      </c>
      <c r="D3929" s="8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1">
        <v>42005</v>
      </c>
      <c r="D3930" s="8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1">
        <v>42005</v>
      </c>
      <c r="D3931" s="8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1">
        <v>42005</v>
      </c>
      <c r="D3932" s="8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1">
        <v>42005</v>
      </c>
      <c r="D3933" s="8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1">
        <v>42005</v>
      </c>
      <c r="D3934" s="8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1">
        <v>42005</v>
      </c>
      <c r="D3935" s="8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1">
        <v>42005</v>
      </c>
      <c r="D3936" s="8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1">
        <v>42005</v>
      </c>
      <c r="D3937" s="8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1">
        <v>42005</v>
      </c>
      <c r="D3938" s="8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1">
        <v>42005</v>
      </c>
      <c r="D3939" s="8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1">
        <v>42005</v>
      </c>
      <c r="D3940" s="8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1">
        <v>42005</v>
      </c>
      <c r="D3941" s="8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1">
        <v>42005</v>
      </c>
      <c r="D3942" s="8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1">
        <v>42005</v>
      </c>
      <c r="D3943" s="8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1">
        <v>42005</v>
      </c>
      <c r="D3944" s="8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1">
        <v>42005</v>
      </c>
      <c r="D3945" s="8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1">
        <v>42005</v>
      </c>
      <c r="D3946" s="8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1">
        <v>42005</v>
      </c>
      <c r="D3947" s="8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1">
        <v>42005</v>
      </c>
      <c r="D3948" s="8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1">
        <v>42005</v>
      </c>
      <c r="D3949" s="8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1">
        <v>42005</v>
      </c>
      <c r="D3950" s="8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1">
        <v>42005</v>
      </c>
      <c r="D3951" s="8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1">
        <v>42005</v>
      </c>
      <c r="D3952" s="8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1">
        <v>42005</v>
      </c>
      <c r="D3953" s="8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1">
        <v>42005</v>
      </c>
      <c r="D3954" s="8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1">
        <v>42005</v>
      </c>
      <c r="D3955" s="8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1">
        <v>42005</v>
      </c>
      <c r="D3956" s="8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1">
        <v>42005</v>
      </c>
      <c r="D3957" s="8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1">
        <v>42005</v>
      </c>
      <c r="D3958" s="8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1">
        <v>42005</v>
      </c>
      <c r="D3959" s="8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1">
        <v>42005</v>
      </c>
      <c r="D3960" s="8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1">
        <v>42005</v>
      </c>
      <c r="D3961" s="8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1">
        <v>42005</v>
      </c>
      <c r="D3962" s="8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1">
        <v>42005</v>
      </c>
      <c r="D3963" s="8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1">
        <v>42005</v>
      </c>
      <c r="D3964" s="8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1">
        <v>42005</v>
      </c>
      <c r="D3965" s="8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1">
        <v>42005</v>
      </c>
      <c r="D3966" s="8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1">
        <v>42005</v>
      </c>
      <c r="D3967" s="8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1">
        <v>42005</v>
      </c>
      <c r="D3968" s="8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1">
        <v>42005</v>
      </c>
      <c r="D3969" s="8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1">
        <v>42005</v>
      </c>
      <c r="D3970" s="8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1">
        <v>42005</v>
      </c>
      <c r="D3971" s="8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1">
        <v>42005</v>
      </c>
      <c r="D3972" s="8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1">
        <v>42005</v>
      </c>
      <c r="D3973" s="8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1">
        <v>42005</v>
      </c>
      <c r="D3974" s="8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1">
        <v>42005</v>
      </c>
      <c r="D3975" s="8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1">
        <v>42005</v>
      </c>
      <c r="D3976" s="8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1">
        <v>42005</v>
      </c>
      <c r="D3977" s="8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1">
        <v>42005</v>
      </c>
      <c r="D3978" s="8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1">
        <v>42005</v>
      </c>
      <c r="D3979" s="8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1">
        <v>42005</v>
      </c>
      <c r="D3980" s="8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1">
        <v>42005</v>
      </c>
      <c r="D3981" s="8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1">
        <v>42005</v>
      </c>
      <c r="D3982" s="8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1">
        <v>42005</v>
      </c>
      <c r="D3983" s="8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1">
        <v>42005</v>
      </c>
      <c r="D3984" s="8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1">
        <v>42005</v>
      </c>
      <c r="D3985" s="8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1">
        <v>42005</v>
      </c>
      <c r="D3986" s="8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1">
        <v>42005</v>
      </c>
      <c r="D3987" s="8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1">
        <v>42005</v>
      </c>
      <c r="D3988" s="8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1">
        <v>42005</v>
      </c>
      <c r="D3989" s="8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1">
        <v>42005</v>
      </c>
      <c r="D3990" s="8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1">
        <v>42005</v>
      </c>
      <c r="D3991" s="8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1">
        <v>42005</v>
      </c>
      <c r="D3992" s="8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1">
        <v>42005</v>
      </c>
      <c r="D3993" s="8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1">
        <v>42005</v>
      </c>
      <c r="D3994" s="8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1">
        <v>42005</v>
      </c>
      <c r="D3995" s="8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1">
        <v>42005</v>
      </c>
      <c r="D3996" s="8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1">
        <v>42005</v>
      </c>
      <c r="D3997" s="8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1">
        <v>42005</v>
      </c>
      <c r="D3998" s="8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1">
        <v>42005</v>
      </c>
      <c r="D3999" s="8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1">
        <v>42005</v>
      </c>
      <c r="D4000" s="8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1">
        <v>42005</v>
      </c>
      <c r="D4001" s="8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1">
        <v>42005</v>
      </c>
      <c r="D4002" s="8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1">
        <v>42005</v>
      </c>
      <c r="D4003" s="8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1">
        <v>42005</v>
      </c>
      <c r="D4004" s="8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1">
        <v>42005</v>
      </c>
      <c r="D4005" s="8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1">
        <v>42005</v>
      </c>
      <c r="D4006" s="8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1">
        <v>42005</v>
      </c>
      <c r="D4007" s="8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1">
        <v>42005</v>
      </c>
      <c r="D4008" s="8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1">
        <v>42005</v>
      </c>
      <c r="D4009" s="8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1">
        <v>42005</v>
      </c>
      <c r="D4010" s="8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1">
        <v>42005</v>
      </c>
      <c r="D4011" s="8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1">
        <v>42005</v>
      </c>
      <c r="D4012" s="8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1">
        <v>42005</v>
      </c>
      <c r="D4013" s="8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1">
        <v>42005</v>
      </c>
      <c r="D4014" s="8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1">
        <v>42005</v>
      </c>
      <c r="D4015" s="8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1">
        <v>42005</v>
      </c>
      <c r="D4016" s="8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1">
        <v>42005</v>
      </c>
      <c r="D4017" s="8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1">
        <v>42005</v>
      </c>
      <c r="D4018" s="8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1">
        <v>42005</v>
      </c>
      <c r="D4019" s="8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1">
        <v>42005</v>
      </c>
      <c r="D4020" s="8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1">
        <v>42005</v>
      </c>
      <c r="D4021" s="8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1">
        <v>42005</v>
      </c>
      <c r="D4022" s="8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1">
        <v>42005</v>
      </c>
      <c r="D4023" s="8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1">
        <v>42005</v>
      </c>
      <c r="D4024" s="8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1">
        <v>42005</v>
      </c>
      <c r="D4025" s="8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C1:C3800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8"/>
  <sheetViews>
    <sheetView showGridLines="0" tabSelected="1" workbookViewId="0">
      <selection activeCell="B2" sqref="B2"/>
    </sheetView>
  </sheetViews>
  <sheetFormatPr baseColWidth="10" defaultColWidth="11.3828125" defaultRowHeight="14.6" x14ac:dyDescent="0.4"/>
  <cols>
    <col min="1" max="1" width="32.84375" style="2" bestFit="1" customWidth="1"/>
    <col min="2" max="2" width="11.69140625" style="2" customWidth="1"/>
    <col min="3" max="16384" width="11.3828125" style="2"/>
  </cols>
  <sheetData>
    <row r="1" spans="1:2" x14ac:dyDescent="0.4">
      <c r="A1" s="31" t="s">
        <v>4209</v>
      </c>
      <c r="B1" s="31" t="s">
        <v>4210</v>
      </c>
    </row>
    <row r="2" spans="1:2" x14ac:dyDescent="0.4">
      <c r="A2" s="29" t="s">
        <v>4207</v>
      </c>
      <c r="B2" s="30" t="str" cm="1">
        <f t="array" aca="1" ref="B2" ca="1">chemin()</f>
        <v>P:\Yvon\AAAAA-Mes-donnees\Mes-developpements\Python_tous_mes_tutoriels\projet_rgd_pas_a_pas\sources\source_active.xlsm</v>
      </c>
    </row>
    <row r="3" spans="1:2" x14ac:dyDescent="0.4">
      <c r="A3" s="12" t="s">
        <v>3949</v>
      </c>
      <c r="B3" s="4">
        <f ca="1">NOW()</f>
        <v>45929.313689120369</v>
      </c>
    </row>
    <row r="4" spans="1:2" x14ac:dyDescent="0.4">
      <c r="A4" s="10" t="s">
        <v>3948</v>
      </c>
      <c r="B4" s="5">
        <f ca="1">YEAR(B3)</f>
        <v>2025</v>
      </c>
    </row>
    <row r="5" spans="1:2" x14ac:dyDescent="0.4">
      <c r="A5" s="7" t="s">
        <v>3580</v>
      </c>
      <c r="B5" s="6">
        <f ca="1">COUNTIF(data!C:C,"1/1/"&amp;B4)</f>
        <v>313</v>
      </c>
    </row>
    <row r="6" spans="1:2" x14ac:dyDescent="0.4">
      <c r="A6" s="3" t="s">
        <v>3579</v>
      </c>
      <c r="B6" s="6">
        <f ca="1">COUNTIF(data!C:C,"&lt;1/1/"&amp;B4)</f>
        <v>3711</v>
      </c>
    </row>
    <row r="7" spans="1:2" x14ac:dyDescent="0.4">
      <c r="A7" s="28" t="s">
        <v>4206</v>
      </c>
      <c r="B7" s="6">
        <f>COUNTIF(F_agregation!A:A,"CC")</f>
        <v>132</v>
      </c>
    </row>
    <row r="8" spans="1:2" x14ac:dyDescent="0.4">
      <c r="A8" s="28" t="s">
        <v>4208</v>
      </c>
      <c r="B8" s="6">
        <f ca="1">SUM(B5:B7)</f>
        <v>4156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6A4C-5D50-4B02-AF6E-8B41F7DC4F3D}">
  <sheetPr codeName="Feuil3"/>
  <dimension ref="A1:R133"/>
  <sheetViews>
    <sheetView showGridLines="0" zoomScale="90" zoomScaleNormal="90" workbookViewId="0">
      <selection sqref="A1:XFD1"/>
    </sheetView>
  </sheetViews>
  <sheetFormatPr baseColWidth="10" defaultColWidth="11.3828125" defaultRowHeight="14.6" x14ac:dyDescent="0.4"/>
  <cols>
    <col min="1" max="1" width="9.61328125" style="13" customWidth="1"/>
    <col min="2" max="2" width="16" style="13" bestFit="1" customWidth="1"/>
    <col min="3" max="3" width="13.765625" style="15" customWidth="1"/>
    <col min="4" max="4" width="10.3046875" style="15" customWidth="1"/>
    <col min="5" max="5" width="15.07421875" style="13" bestFit="1" customWidth="1"/>
    <col min="6" max="6" width="7.53515625" style="16" customWidth="1"/>
    <col min="7" max="7" width="26" style="16" customWidth="1"/>
    <col min="8" max="8" width="7.4609375" style="16" customWidth="1"/>
    <col min="9" max="9" width="15.53515625" style="16" customWidth="1"/>
    <col min="10" max="10" width="8.15234375" style="16" customWidth="1"/>
    <col min="11" max="11" width="30.53515625" style="13" bestFit="1" customWidth="1"/>
    <col min="12" max="12" width="9.3046875" style="15" customWidth="1"/>
    <col min="13" max="13" width="21.23046875" style="14" customWidth="1"/>
    <col min="14" max="14" width="21.4609375" style="13" bestFit="1" customWidth="1"/>
    <col min="15" max="15" width="17.23046875" style="13" bestFit="1" customWidth="1"/>
    <col min="16" max="16" width="21.4609375" style="13" bestFit="1" customWidth="1"/>
    <col min="17" max="16384" width="11.3828125" style="13"/>
  </cols>
  <sheetData>
    <row r="1" spans="1:17" s="27" customFormat="1" x14ac:dyDescent="0.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</v>
      </c>
      <c r="N1" s="27" t="s">
        <v>12</v>
      </c>
      <c r="O1" s="27" t="s">
        <v>13</v>
      </c>
      <c r="P1" s="27" t="s">
        <v>14</v>
      </c>
    </row>
    <row r="2" spans="1:17" s="17" customFormat="1" x14ac:dyDescent="0.4">
      <c r="A2" s="25" t="s">
        <v>15</v>
      </c>
      <c r="B2" s="25" t="s">
        <v>16</v>
      </c>
      <c r="C2" s="24">
        <v>42005</v>
      </c>
      <c r="D2" s="24">
        <v>42369</v>
      </c>
      <c r="E2" s="23" t="s">
        <v>30</v>
      </c>
      <c r="F2" s="22">
        <f>'[1]2015'!B12+0</f>
        <v>0</v>
      </c>
      <c r="G2" s="22" t="s">
        <v>4205</v>
      </c>
      <c r="H2" s="22">
        <f>'[1]2015'!C12+0</f>
        <v>4</v>
      </c>
      <c r="I2" s="22" t="str">
        <f>VLOOKUP(H2,[1]Tables!$A$1:$B$3,2,FALSE)</f>
        <v>ASL + Monica</v>
      </c>
      <c r="J2" s="22" t="str">
        <f>'[1]2015'!D12</f>
        <v>301</v>
      </c>
      <c r="K2" s="21" t="str">
        <f>'[1]2015'!E12</f>
        <v>Entretien serrurerie</v>
      </c>
      <c r="L2" s="20">
        <f t="shared" ref="L2:L33" si="0">C2</f>
        <v>42005</v>
      </c>
      <c r="M2" s="18" t="s">
        <v>4204</v>
      </c>
      <c r="N2" s="18" t="s">
        <v>4204</v>
      </c>
      <c r="O2" s="19">
        <f>'[1]2015'!F12</f>
        <v>0</v>
      </c>
      <c r="P2" s="18" t="s">
        <v>4204</v>
      </c>
    </row>
    <row r="3" spans="1:17" x14ac:dyDescent="0.4">
      <c r="A3" s="25" t="s">
        <v>15</v>
      </c>
      <c r="B3" s="25" t="s">
        <v>16</v>
      </c>
      <c r="C3" s="24">
        <v>42005</v>
      </c>
      <c r="D3" s="24">
        <v>42369</v>
      </c>
      <c r="E3" s="23" t="s">
        <v>30</v>
      </c>
      <c r="F3" s="22">
        <f>'[1]2015'!B13+0</f>
        <v>0</v>
      </c>
      <c r="G3" s="22" t="s">
        <v>4205</v>
      </c>
      <c r="H3" s="22">
        <f>'[1]2015'!C13+0</f>
        <v>4</v>
      </c>
      <c r="I3" s="22" t="str">
        <f>VLOOKUP(H3,[1]Tables!$A$1:$B$3,2,FALSE)</f>
        <v>ASL + Monica</v>
      </c>
      <c r="J3" s="22" t="str">
        <f>'[1]2015'!D13</f>
        <v>341</v>
      </c>
      <c r="K3" s="21" t="str">
        <f>'[1]2015'!E13</f>
        <v>Fournitures diverses</v>
      </c>
      <c r="L3" s="20">
        <f t="shared" si="0"/>
        <v>42005</v>
      </c>
      <c r="M3" s="18" t="s">
        <v>4204</v>
      </c>
      <c r="N3" s="18" t="s">
        <v>4204</v>
      </c>
      <c r="O3" s="19">
        <f>'[1]2015'!F13</f>
        <v>88.28</v>
      </c>
      <c r="P3" s="18" t="s">
        <v>4204</v>
      </c>
      <c r="Q3" s="17"/>
    </row>
    <row r="4" spans="1:17" x14ac:dyDescent="0.4">
      <c r="A4" s="25" t="s">
        <v>15</v>
      </c>
      <c r="B4" s="25" t="s">
        <v>16</v>
      </c>
      <c r="C4" s="24">
        <v>42005</v>
      </c>
      <c r="D4" s="24">
        <v>42369</v>
      </c>
      <c r="E4" s="23" t="s">
        <v>30</v>
      </c>
      <c r="F4" s="22">
        <f>'[1]2015'!B14+0</f>
        <v>0</v>
      </c>
      <c r="G4" s="22" t="s">
        <v>4205</v>
      </c>
      <c r="H4" s="22">
        <f>'[1]2015'!C14+0</f>
        <v>4</v>
      </c>
      <c r="I4" s="22" t="str">
        <f>VLOOKUP(H4,[1]Tables!$A$1:$B$3,2,FALSE)</f>
        <v>ASL + Monica</v>
      </c>
      <c r="J4" s="22" t="str">
        <f>'[1]2015'!D14</f>
        <v>386</v>
      </c>
      <c r="K4" s="21" t="str">
        <f>'[1]2015'!E14</f>
        <v>Entretien extincteurs</v>
      </c>
      <c r="L4" s="20">
        <f t="shared" si="0"/>
        <v>42005</v>
      </c>
      <c r="M4" s="18" t="s">
        <v>4204</v>
      </c>
      <c r="N4" s="18" t="s">
        <v>4204</v>
      </c>
      <c r="O4" s="19">
        <f>'[1]2015'!F14</f>
        <v>26.05</v>
      </c>
      <c r="P4" s="18" t="s">
        <v>4204</v>
      </c>
      <c r="Q4" s="17"/>
    </row>
    <row r="5" spans="1:17" x14ac:dyDescent="0.4">
      <c r="A5" s="25" t="s">
        <v>15</v>
      </c>
      <c r="B5" s="25" t="s">
        <v>16</v>
      </c>
      <c r="C5" s="24">
        <v>42005</v>
      </c>
      <c r="D5" s="24">
        <v>42369</v>
      </c>
      <c r="E5" s="23" t="s">
        <v>30</v>
      </c>
      <c r="F5" s="22">
        <f>'[1]2015'!B15+0</f>
        <v>0</v>
      </c>
      <c r="G5" s="22" t="s">
        <v>4205</v>
      </c>
      <c r="H5" s="22">
        <f>'[1]2015'!C15+0</f>
        <v>4</v>
      </c>
      <c r="I5" s="22" t="str">
        <f>VLOOKUP(H5,[1]Tables!$A$1:$B$3,2,FALSE)</f>
        <v>ASL + Monica</v>
      </c>
      <c r="J5" s="22" t="str">
        <f>'[1]2015'!D15</f>
        <v>460</v>
      </c>
      <c r="K5" s="21" t="str">
        <f>'[1]2015'!E15</f>
        <v>Achat materiel divers</v>
      </c>
      <c r="L5" s="20">
        <f t="shared" si="0"/>
        <v>42005</v>
      </c>
      <c r="M5" s="18" t="s">
        <v>4204</v>
      </c>
      <c r="N5" s="18" t="s">
        <v>4204</v>
      </c>
      <c r="O5" s="19">
        <f>'[1]2015'!F15</f>
        <v>0</v>
      </c>
      <c r="P5" s="18" t="s">
        <v>4204</v>
      </c>
      <c r="Q5" s="17"/>
    </row>
    <row r="6" spans="1:17" x14ac:dyDescent="0.4">
      <c r="A6" s="25" t="s">
        <v>15</v>
      </c>
      <c r="B6" s="25" t="s">
        <v>16</v>
      </c>
      <c r="C6" s="24">
        <v>42005</v>
      </c>
      <c r="D6" s="24">
        <v>42369</v>
      </c>
      <c r="E6" s="23" t="s">
        <v>30</v>
      </c>
      <c r="F6" s="22">
        <f>'[1]2015'!B16+0</f>
        <v>0</v>
      </c>
      <c r="G6" s="22" t="s">
        <v>4205</v>
      </c>
      <c r="H6" s="22">
        <f>'[1]2015'!C16+0</f>
        <v>4</v>
      </c>
      <c r="I6" s="22" t="str">
        <f>VLOOKUP(H6,[1]Tables!$A$1:$B$3,2,FALSE)</f>
        <v>ASL + Monica</v>
      </c>
      <c r="J6" s="22" t="str">
        <f>'[1]2015'!D16</f>
        <v>461</v>
      </c>
      <c r="K6" s="21" t="str">
        <f>'[1]2015'!E16</f>
        <v>Regul. miroir signalisation</v>
      </c>
      <c r="L6" s="20">
        <f t="shared" si="0"/>
        <v>42005</v>
      </c>
      <c r="M6" s="18" t="s">
        <v>4204</v>
      </c>
      <c r="N6" s="18" t="s">
        <v>4204</v>
      </c>
      <c r="O6" s="19">
        <f>'[1]2015'!F16</f>
        <v>1155</v>
      </c>
      <c r="P6" s="18" t="s">
        <v>4204</v>
      </c>
      <c r="Q6" s="17"/>
    </row>
    <row r="7" spans="1:17" x14ac:dyDescent="0.4">
      <c r="A7" s="25" t="s">
        <v>15</v>
      </c>
      <c r="B7" s="25" t="s">
        <v>16</v>
      </c>
      <c r="C7" s="24">
        <v>42005</v>
      </c>
      <c r="D7" s="24">
        <v>42369</v>
      </c>
      <c r="E7" s="23" t="s">
        <v>30</v>
      </c>
      <c r="F7" s="22">
        <f>'[1]2015'!B17+0</f>
        <v>0</v>
      </c>
      <c r="G7" s="22" t="s">
        <v>4205</v>
      </c>
      <c r="H7" s="22">
        <f>'[1]2015'!C17+0</f>
        <v>4</v>
      </c>
      <c r="I7" s="22" t="str">
        <f>VLOOKUP(H7,[1]Tables!$A$1:$B$3,2,FALSE)</f>
        <v>ASL + Monica</v>
      </c>
      <c r="J7" s="22" t="str">
        <f>'[1]2015'!D17</f>
        <v>482</v>
      </c>
      <c r="K7" s="21" t="str">
        <f>'[1]2015'!E17</f>
        <v>Travaux piscine</v>
      </c>
      <c r="L7" s="20">
        <f t="shared" si="0"/>
        <v>42005</v>
      </c>
      <c r="M7" s="18" t="s">
        <v>4204</v>
      </c>
      <c r="N7" s="18" t="s">
        <v>4204</v>
      </c>
      <c r="O7" s="19">
        <f>'[1]2015'!F17</f>
        <v>0</v>
      </c>
      <c r="P7" s="18" t="s">
        <v>4204</v>
      </c>
      <c r="Q7" s="17"/>
    </row>
    <row r="8" spans="1:17" x14ac:dyDescent="0.4">
      <c r="A8" s="25" t="s">
        <v>15</v>
      </c>
      <c r="B8" s="25" t="s">
        <v>16</v>
      </c>
      <c r="C8" s="24">
        <v>42005</v>
      </c>
      <c r="D8" s="24">
        <v>42369</v>
      </c>
      <c r="E8" s="23" t="s">
        <v>30</v>
      </c>
      <c r="F8" s="22">
        <f>'[1]2015'!B18+0</f>
        <v>0</v>
      </c>
      <c r="G8" s="22" t="s">
        <v>4205</v>
      </c>
      <c r="H8" s="22">
        <f>'[1]2015'!C18+0</f>
        <v>4</v>
      </c>
      <c r="I8" s="22" t="str">
        <f>VLOOKUP(H8,[1]Tables!$A$1:$B$3,2,FALSE)</f>
        <v>ASL + Monica</v>
      </c>
      <c r="J8" s="22" t="str">
        <f>'[1]2015'!D18</f>
        <v>484</v>
      </c>
      <c r="K8" s="21" t="str">
        <f>'[1]2015'!E18</f>
        <v>Contrat piscine</v>
      </c>
      <c r="L8" s="20">
        <f t="shared" si="0"/>
        <v>42005</v>
      </c>
      <c r="M8" s="18" t="s">
        <v>4204</v>
      </c>
      <c r="N8" s="18" t="s">
        <v>4204</v>
      </c>
      <c r="O8" s="19">
        <f>'[1]2015'!F18</f>
        <v>0</v>
      </c>
      <c r="P8" s="18" t="s">
        <v>4204</v>
      </c>
      <c r="Q8" s="17"/>
    </row>
    <row r="9" spans="1:17" x14ac:dyDescent="0.4">
      <c r="A9" s="25" t="s">
        <v>15</v>
      </c>
      <c r="B9" s="25" t="s">
        <v>16</v>
      </c>
      <c r="C9" s="24">
        <v>42005</v>
      </c>
      <c r="D9" s="24">
        <v>42369</v>
      </c>
      <c r="E9" s="23" t="s">
        <v>30</v>
      </c>
      <c r="F9" s="22">
        <f>'[1]2015'!B19+0</f>
        <v>0</v>
      </c>
      <c r="G9" s="22" t="s">
        <v>4205</v>
      </c>
      <c r="H9" s="22">
        <f>'[1]2015'!C19+0</f>
        <v>4</v>
      </c>
      <c r="I9" s="22" t="str">
        <f>VLOOKUP(H9,[1]Tables!$A$1:$B$3,2,FALSE)</f>
        <v>ASL + Monica</v>
      </c>
      <c r="J9" s="22" t="str">
        <f>'[1]2015'!D19</f>
        <v>486</v>
      </c>
      <c r="K9" s="21" t="str">
        <f>'[1]2015'!E19</f>
        <v>Fournitures piscine</v>
      </c>
      <c r="L9" s="20">
        <f t="shared" si="0"/>
        <v>42005</v>
      </c>
      <c r="M9" s="18" t="s">
        <v>4204</v>
      </c>
      <c r="N9" s="18" t="s">
        <v>4204</v>
      </c>
      <c r="O9" s="19">
        <f>'[1]2015'!F19</f>
        <v>1140.5999999999999</v>
      </c>
      <c r="P9" s="18" t="s">
        <v>4204</v>
      </c>
      <c r="Q9" s="17"/>
    </row>
    <row r="10" spans="1:17" x14ac:dyDescent="0.4">
      <c r="A10" s="25" t="s">
        <v>15</v>
      </c>
      <c r="B10" s="25" t="s">
        <v>16</v>
      </c>
      <c r="C10" s="24">
        <v>42005</v>
      </c>
      <c r="D10" s="24">
        <v>42369</v>
      </c>
      <c r="E10" s="23" t="s">
        <v>30</v>
      </c>
      <c r="F10" s="22">
        <f>'[1]2015'!B20+0</f>
        <v>0</v>
      </c>
      <c r="G10" s="22" t="s">
        <v>4205</v>
      </c>
      <c r="H10" s="22">
        <f>'[1]2015'!C20+0</f>
        <v>4</v>
      </c>
      <c r="I10" s="22" t="str">
        <f>VLOOKUP(H10,[1]Tables!$A$1:$B$3,2,FALSE)</f>
        <v>ASL + Monica</v>
      </c>
      <c r="J10" s="22" t="str">
        <f>'[1]2015'!D20</f>
        <v>489</v>
      </c>
      <c r="K10" s="21" t="str">
        <f>'[1]2015'!E20</f>
        <v>Consommation eau piscine</v>
      </c>
      <c r="L10" s="20">
        <f t="shared" si="0"/>
        <v>42005</v>
      </c>
      <c r="M10" s="18" t="s">
        <v>4204</v>
      </c>
      <c r="N10" s="18" t="s">
        <v>4204</v>
      </c>
      <c r="O10" s="19">
        <f>'[1]2015'!F20</f>
        <v>202.22</v>
      </c>
      <c r="P10" s="18" t="s">
        <v>4204</v>
      </c>
      <c r="Q10" s="17"/>
    </row>
    <row r="11" spans="1:17" x14ac:dyDescent="0.4">
      <c r="A11" s="25" t="s">
        <v>15</v>
      </c>
      <c r="B11" s="25" t="s">
        <v>16</v>
      </c>
      <c r="C11" s="24">
        <v>42005</v>
      </c>
      <c r="D11" s="24">
        <v>42369</v>
      </c>
      <c r="E11" s="23" t="s">
        <v>30</v>
      </c>
      <c r="F11" s="22">
        <f>'[1]2015'!B21+0</f>
        <v>0</v>
      </c>
      <c r="G11" s="22" t="s">
        <v>4205</v>
      </c>
      <c r="H11" s="22">
        <f>'[1]2015'!C21+0</f>
        <v>4</v>
      </c>
      <c r="I11" s="22" t="str">
        <f>VLOOKUP(H11,[1]Tables!$A$1:$B$3,2,FALSE)</f>
        <v>ASL + Monica</v>
      </c>
      <c r="J11" s="22" t="str">
        <f>'[1]2015'!D21</f>
        <v>490</v>
      </c>
      <c r="K11" s="21" t="str">
        <f>'[1]2015'!E21</f>
        <v>Analyses Piscine</v>
      </c>
      <c r="L11" s="20">
        <f t="shared" si="0"/>
        <v>42005</v>
      </c>
      <c r="M11" s="18" t="s">
        <v>4204</v>
      </c>
      <c r="N11" s="18" t="s">
        <v>4204</v>
      </c>
      <c r="O11" s="19">
        <f>'[1]2015'!F21</f>
        <v>210.62</v>
      </c>
      <c r="P11" s="18" t="s">
        <v>4204</v>
      </c>
      <c r="Q11" s="17"/>
    </row>
    <row r="12" spans="1:17" x14ac:dyDescent="0.4">
      <c r="A12" s="25" t="s">
        <v>15</v>
      </c>
      <c r="B12" s="25" t="s">
        <v>16</v>
      </c>
      <c r="C12" s="24">
        <v>42005</v>
      </c>
      <c r="D12" s="24">
        <v>42369</v>
      </c>
      <c r="E12" s="23" t="s">
        <v>30</v>
      </c>
      <c r="F12" s="22">
        <f>'[1]2015'!B22+0</f>
        <v>0</v>
      </c>
      <c r="G12" s="22" t="s">
        <v>4205</v>
      </c>
      <c r="H12" s="22">
        <f>'[1]2015'!C22+0</f>
        <v>4</v>
      </c>
      <c r="I12" s="22" t="str">
        <f>VLOOKUP(H12,[1]Tables!$A$1:$B$3,2,FALSE)</f>
        <v>ASL + Monica</v>
      </c>
      <c r="J12" s="22" t="str">
        <f>'[1]2015'!D22</f>
        <v>681</v>
      </c>
      <c r="K12" s="21" t="str">
        <f>'[1]2015'!E22</f>
        <v>Taxe d'habitation</v>
      </c>
      <c r="L12" s="20">
        <f t="shared" si="0"/>
        <v>42005</v>
      </c>
      <c r="M12" s="18" t="s">
        <v>4204</v>
      </c>
      <c r="N12" s="18" t="s">
        <v>4204</v>
      </c>
      <c r="O12" s="19">
        <f>'[1]2015'!F22</f>
        <v>1255</v>
      </c>
      <c r="P12" s="18" t="s">
        <v>4204</v>
      </c>
      <c r="Q12" s="17"/>
    </row>
    <row r="13" spans="1:17" x14ac:dyDescent="0.4">
      <c r="A13" s="25" t="s">
        <v>15</v>
      </c>
      <c r="B13" s="25" t="s">
        <v>16</v>
      </c>
      <c r="C13" s="24">
        <v>42005</v>
      </c>
      <c r="D13" s="24">
        <v>42369</v>
      </c>
      <c r="E13" s="23" t="s">
        <v>30</v>
      </c>
      <c r="F13" s="22">
        <f>'[1]2015'!B23+0</f>
        <v>0</v>
      </c>
      <c r="G13" s="22" t="s">
        <v>4205</v>
      </c>
      <c r="H13" s="22">
        <f>'[1]2015'!C23+0</f>
        <v>4</v>
      </c>
      <c r="I13" s="22" t="str">
        <f>VLOOKUP(H13,[1]Tables!$A$1:$B$3,2,FALSE)</f>
        <v>ASL + Monica</v>
      </c>
      <c r="J13" s="22" t="str">
        <f>'[1]2015'!D23</f>
        <v>684</v>
      </c>
      <c r="K13" s="21" t="str">
        <f>'[1]2015'!E23</f>
        <v>Taxe fonciere</v>
      </c>
      <c r="L13" s="20">
        <f t="shared" si="0"/>
        <v>42005</v>
      </c>
      <c r="M13" s="18" t="s">
        <v>4204</v>
      </c>
      <c r="N13" s="18" t="s">
        <v>4204</v>
      </c>
      <c r="O13" s="19">
        <f>'[1]2015'!F23</f>
        <v>1387</v>
      </c>
      <c r="P13" s="18" t="s">
        <v>4204</v>
      </c>
      <c r="Q13" s="17"/>
    </row>
    <row r="14" spans="1:17" x14ac:dyDescent="0.4">
      <c r="A14" s="25" t="s">
        <v>15</v>
      </c>
      <c r="B14" s="25" t="s">
        <v>16</v>
      </c>
      <c r="C14" s="24">
        <v>42005</v>
      </c>
      <c r="D14" s="24">
        <v>42369</v>
      </c>
      <c r="E14" s="23" t="s">
        <v>30</v>
      </c>
      <c r="F14" s="22">
        <f>'[1]2015'!B24+0</f>
        <v>0</v>
      </c>
      <c r="G14" s="22" t="s">
        <v>4205</v>
      </c>
      <c r="H14" s="22">
        <f>'[1]2015'!C24+0</f>
        <v>4</v>
      </c>
      <c r="I14" s="22" t="str">
        <f>VLOOKUP(H14,[1]Tables!$A$1:$B$3,2,FALSE)</f>
        <v>ASL + Monica</v>
      </c>
      <c r="J14" s="22" t="str">
        <f>'[1]2015'!D24</f>
        <v>735</v>
      </c>
      <c r="K14" s="21" t="str">
        <f>'[1]2015'!E24</f>
        <v>EDF Piscine</v>
      </c>
      <c r="L14" s="20">
        <f t="shared" si="0"/>
        <v>42005</v>
      </c>
      <c r="M14" s="18" t="s">
        <v>4204</v>
      </c>
      <c r="N14" s="18" t="s">
        <v>4204</v>
      </c>
      <c r="O14" s="19">
        <f>'[1]2015'!F24</f>
        <v>1617.88</v>
      </c>
      <c r="P14" s="18" t="s">
        <v>4204</v>
      </c>
      <c r="Q14" s="17"/>
    </row>
    <row r="15" spans="1:17" x14ac:dyDescent="0.4">
      <c r="A15" s="25" t="s">
        <v>15</v>
      </c>
      <c r="B15" s="25" t="s">
        <v>16</v>
      </c>
      <c r="C15" s="24">
        <v>42005</v>
      </c>
      <c r="D15" s="24">
        <v>42369</v>
      </c>
      <c r="E15" s="23" t="s">
        <v>30</v>
      </c>
      <c r="F15" s="22">
        <f>'[1]2015'!B25+0</f>
        <v>0</v>
      </c>
      <c r="G15" s="22" t="s">
        <v>4205</v>
      </c>
      <c r="H15" s="22">
        <f>'[1]2015'!C25+0</f>
        <v>4</v>
      </c>
      <c r="I15" s="22" t="str">
        <f>VLOOKUP(H15,[1]Tables!$A$1:$B$3,2,FALSE)</f>
        <v>ASL + Monica</v>
      </c>
      <c r="J15" s="22" t="str">
        <f>'[1]2015'!D25</f>
        <v>844</v>
      </c>
      <c r="K15" s="21" t="str">
        <f>'[1]2015'!E25</f>
        <v>Honoraires Syndic</v>
      </c>
      <c r="L15" s="20">
        <f t="shared" si="0"/>
        <v>42005</v>
      </c>
      <c r="M15" s="18" t="s">
        <v>4204</v>
      </c>
      <c r="N15" s="18" t="s">
        <v>4204</v>
      </c>
      <c r="O15" s="19">
        <f>'[1]2015'!F25</f>
        <v>11190</v>
      </c>
      <c r="P15" s="18" t="s">
        <v>4204</v>
      </c>
      <c r="Q15" s="17"/>
    </row>
    <row r="16" spans="1:17" x14ac:dyDescent="0.4">
      <c r="A16" s="25" t="s">
        <v>15</v>
      </c>
      <c r="B16" s="25" t="s">
        <v>16</v>
      </c>
      <c r="C16" s="24">
        <v>42005</v>
      </c>
      <c r="D16" s="24">
        <v>42369</v>
      </c>
      <c r="E16" s="23" t="s">
        <v>30</v>
      </c>
      <c r="F16" s="22">
        <f>'[1]2015'!B26+0</f>
        <v>0</v>
      </c>
      <c r="G16" s="22" t="s">
        <v>4205</v>
      </c>
      <c r="H16" s="22">
        <f>'[1]2015'!C26+0</f>
        <v>4</v>
      </c>
      <c r="I16" s="22" t="str">
        <f>VLOOKUP(H16,[1]Tables!$A$1:$B$3,2,FALSE)</f>
        <v>ASL + Monica</v>
      </c>
      <c r="J16" s="22" t="str">
        <f>'[1]2015'!D26</f>
        <v>912</v>
      </c>
      <c r="K16" s="21" t="str">
        <f>'[1]2015'!E26</f>
        <v>Participation employe immeuble</v>
      </c>
      <c r="L16" s="20">
        <f t="shared" si="0"/>
        <v>42005</v>
      </c>
      <c r="M16" s="18" t="s">
        <v>4204</v>
      </c>
      <c r="N16" s="18" t="s">
        <v>4204</v>
      </c>
      <c r="O16" s="19">
        <f>'[1]2015'!F26</f>
        <v>6287.19</v>
      </c>
      <c r="P16" s="18" t="s">
        <v>4204</v>
      </c>
      <c r="Q16" s="17"/>
    </row>
    <row r="17" spans="1:18" x14ac:dyDescent="0.4">
      <c r="A17" s="25" t="s">
        <v>15</v>
      </c>
      <c r="B17" s="25" t="s">
        <v>16</v>
      </c>
      <c r="C17" s="24">
        <v>42005</v>
      </c>
      <c r="D17" s="24">
        <v>42369</v>
      </c>
      <c r="E17" s="23" t="s">
        <v>30</v>
      </c>
      <c r="F17" s="22">
        <f>'[1]2015'!B27+0</f>
        <v>0</v>
      </c>
      <c r="G17" s="22" t="s">
        <v>4205</v>
      </c>
      <c r="H17" s="22">
        <f>'[1]2015'!C27+0</f>
        <v>4</v>
      </c>
      <c r="I17" s="22" t="str">
        <f>VLOOKUP(H17,[1]Tables!$A$1:$B$3,2,FALSE)</f>
        <v>ASL + Monica</v>
      </c>
      <c r="J17" s="22" t="str">
        <f>'[1]2015'!D27</f>
        <v>951</v>
      </c>
      <c r="K17" s="21" t="str">
        <f>'[1]2015'!E27</f>
        <v>Deduct. Q/P Honoraires L/ER</v>
      </c>
      <c r="L17" s="20">
        <f t="shared" si="0"/>
        <v>42005</v>
      </c>
      <c r="M17" s="18" t="s">
        <v>4204</v>
      </c>
      <c r="N17" s="18" t="s">
        <v>4204</v>
      </c>
      <c r="O17" s="19">
        <f>'[1]2015'!F27</f>
        <v>-6797.48</v>
      </c>
      <c r="P17" s="18" t="s">
        <v>4204</v>
      </c>
      <c r="Q17" s="17"/>
    </row>
    <row r="18" spans="1:18" x14ac:dyDescent="0.4">
      <c r="A18" s="25" t="s">
        <v>15</v>
      </c>
      <c r="B18" s="25" t="s">
        <v>16</v>
      </c>
      <c r="C18" s="24">
        <v>42005</v>
      </c>
      <c r="D18" s="24">
        <v>42369</v>
      </c>
      <c r="E18" s="23" t="s">
        <v>30</v>
      </c>
      <c r="F18" s="22">
        <f>'[1]2015'!B28+0</f>
        <v>0</v>
      </c>
      <c r="G18" s="22" t="s">
        <v>4205</v>
      </c>
      <c r="H18" s="22">
        <f>'[1]2015'!C28+0</f>
        <v>4</v>
      </c>
      <c r="I18" s="22" t="str">
        <f>VLOOKUP(H18,[1]Tables!$A$1:$B$3,2,FALSE)</f>
        <v>ASL + Monica</v>
      </c>
      <c r="J18" s="22" t="str">
        <f>'[1]2015'!D28</f>
        <v>935</v>
      </c>
      <c r="K18" s="21" t="str">
        <f>'[1]2015'!E28</f>
        <v>Deduct. Q/P Honoraires VILLAGE</v>
      </c>
      <c r="L18" s="20">
        <f t="shared" si="0"/>
        <v>42005</v>
      </c>
      <c r="M18" s="18" t="s">
        <v>4204</v>
      </c>
      <c r="N18" s="18" t="s">
        <v>4204</v>
      </c>
      <c r="O18" s="19">
        <f>'[1]2015'!F28</f>
        <v>-1212.42</v>
      </c>
      <c r="P18" s="18" t="s">
        <v>4204</v>
      </c>
      <c r="Q18" s="17"/>
    </row>
    <row r="19" spans="1:18" ht="29.15" x14ac:dyDescent="0.4">
      <c r="A19" s="25" t="s">
        <v>15</v>
      </c>
      <c r="B19" s="25" t="s">
        <v>16</v>
      </c>
      <c r="C19" s="24">
        <v>42005</v>
      </c>
      <c r="D19" s="24">
        <v>42369</v>
      </c>
      <c r="E19" s="23" t="s">
        <v>30</v>
      </c>
      <c r="F19" s="22">
        <f>'[1]2015'!B31+0</f>
        <v>0</v>
      </c>
      <c r="G19" s="22" t="s">
        <v>4205</v>
      </c>
      <c r="H19" s="22">
        <f>'[1]2015'!C31+0</f>
        <v>3</v>
      </c>
      <c r="I19" s="22" t="str">
        <f>VLOOKUP(H19,[1]Tables!$A$1:$B$3,2,FALSE)</f>
        <v>Charges d'administration</v>
      </c>
      <c r="J19" s="22" t="str">
        <f>'[1]2015'!D31</f>
        <v>868</v>
      </c>
      <c r="K19" s="21" t="str">
        <f>'[1]2015'!E31</f>
        <v>Frais tirage comptes convoc</v>
      </c>
      <c r="L19" s="20">
        <f t="shared" si="0"/>
        <v>42005</v>
      </c>
      <c r="M19" s="18" t="s">
        <v>4204</v>
      </c>
      <c r="N19" s="18" t="s">
        <v>4204</v>
      </c>
      <c r="O19" s="19">
        <f>'[1]2015'!F31</f>
        <v>1415.16</v>
      </c>
      <c r="P19" s="18" t="s">
        <v>4204</v>
      </c>
      <c r="Q19" s="17"/>
    </row>
    <row r="20" spans="1:18" ht="29.15" x14ac:dyDescent="0.4">
      <c r="A20" s="25" t="s">
        <v>15</v>
      </c>
      <c r="B20" s="25" t="s">
        <v>16</v>
      </c>
      <c r="C20" s="24">
        <v>42005</v>
      </c>
      <c r="D20" s="24">
        <v>42369</v>
      </c>
      <c r="E20" s="23" t="s">
        <v>30</v>
      </c>
      <c r="F20" s="22">
        <f>'[1]2015'!B32+0</f>
        <v>0</v>
      </c>
      <c r="G20" s="22" t="s">
        <v>4205</v>
      </c>
      <c r="H20" s="22">
        <f>'[1]2015'!C32+0</f>
        <v>3</v>
      </c>
      <c r="I20" s="22" t="str">
        <f>VLOOKUP(H20,[1]Tables!$A$1:$B$3,2,FALSE)</f>
        <v>Charges d'administration</v>
      </c>
      <c r="J20" s="22" t="str">
        <f>'[1]2015'!D32</f>
        <v>869</v>
      </c>
      <c r="K20" s="21" t="str">
        <f>'[1]2015'!E32</f>
        <v>Gestion archives du Syndicat</v>
      </c>
      <c r="L20" s="20">
        <f t="shared" si="0"/>
        <v>42005</v>
      </c>
      <c r="M20" s="18" t="s">
        <v>4204</v>
      </c>
      <c r="N20" s="18" t="s">
        <v>4204</v>
      </c>
      <c r="O20" s="19">
        <f>'[1]2015'!F32</f>
        <v>234.62</v>
      </c>
      <c r="P20" s="18" t="s">
        <v>4204</v>
      </c>
      <c r="Q20" s="17"/>
    </row>
    <row r="21" spans="1:18" ht="29.15" x14ac:dyDescent="0.4">
      <c r="A21" s="25" t="s">
        <v>15</v>
      </c>
      <c r="B21" s="25" t="s">
        <v>16</v>
      </c>
      <c r="C21" s="24">
        <v>42005</v>
      </c>
      <c r="D21" s="24">
        <v>42369</v>
      </c>
      <c r="E21" s="23" t="s">
        <v>30</v>
      </c>
      <c r="F21" s="22">
        <f>'[1]2015'!B33+0</f>
        <v>0</v>
      </c>
      <c r="G21" s="22" t="s">
        <v>4205</v>
      </c>
      <c r="H21" s="22">
        <f>'[1]2015'!C33+0</f>
        <v>3</v>
      </c>
      <c r="I21" s="22" t="str">
        <f>VLOOKUP(H21,[1]Tables!$A$1:$B$3,2,FALSE)</f>
        <v>Charges d'administration</v>
      </c>
      <c r="J21" s="22" t="str">
        <f>'[1]2015'!D33</f>
        <v>871</v>
      </c>
      <c r="K21" s="21" t="str">
        <f>'[1]2015'!E33</f>
        <v>Frais Affranchissements</v>
      </c>
      <c r="L21" s="20">
        <f t="shared" si="0"/>
        <v>42005</v>
      </c>
      <c r="M21" s="18" t="s">
        <v>4204</v>
      </c>
      <c r="N21" s="18" t="s">
        <v>4204</v>
      </c>
      <c r="O21" s="19">
        <f>'[1]2015'!F33</f>
        <v>830.98</v>
      </c>
      <c r="P21" s="18" t="s">
        <v>4204</v>
      </c>
      <c r="Q21" s="17"/>
      <c r="R21" s="26"/>
    </row>
    <row r="22" spans="1:18" ht="29.15" x14ac:dyDescent="0.4">
      <c r="A22" s="25" t="s">
        <v>15</v>
      </c>
      <c r="B22" s="25" t="s">
        <v>16</v>
      </c>
      <c r="C22" s="24">
        <v>42005</v>
      </c>
      <c r="D22" s="24">
        <v>42369</v>
      </c>
      <c r="E22" s="23" t="s">
        <v>30</v>
      </c>
      <c r="F22" s="22">
        <f>'[1]2015'!B34+0</f>
        <v>0</v>
      </c>
      <c r="G22" s="22" t="s">
        <v>4205</v>
      </c>
      <c r="H22" s="22">
        <f>'[1]2015'!C34+0</f>
        <v>3</v>
      </c>
      <c r="I22" s="22" t="str">
        <f>VLOOKUP(H22,[1]Tables!$A$1:$B$3,2,FALSE)</f>
        <v>Charges d'administration</v>
      </c>
      <c r="J22" s="22" t="str">
        <f>'[1]2015'!D34</f>
        <v>872</v>
      </c>
      <c r="K22" s="21" t="str">
        <f>'[1]2015'!E34</f>
        <v>Location salle AG</v>
      </c>
      <c r="L22" s="20">
        <f t="shared" si="0"/>
        <v>42005</v>
      </c>
      <c r="M22" s="18" t="s">
        <v>4204</v>
      </c>
      <c r="N22" s="18" t="s">
        <v>4204</v>
      </c>
      <c r="O22" s="19">
        <f>'[1]2015'!F34</f>
        <v>0</v>
      </c>
      <c r="P22" s="18" t="s">
        <v>4204</v>
      </c>
      <c r="Q22" s="17"/>
      <c r="R22" s="26"/>
    </row>
    <row r="23" spans="1:18" x14ac:dyDescent="0.4">
      <c r="A23" s="25" t="s">
        <v>15</v>
      </c>
      <c r="B23" s="25" t="s">
        <v>16</v>
      </c>
      <c r="C23" s="24">
        <v>42005</v>
      </c>
      <c r="D23" s="24">
        <v>42369</v>
      </c>
      <c r="E23" s="23" t="s">
        <v>30</v>
      </c>
      <c r="F23" s="22">
        <f>'[1]2015'!B37+0</f>
        <v>0</v>
      </c>
      <c r="G23" s="22" t="s">
        <v>4205</v>
      </c>
      <c r="H23" s="22">
        <f>'[1]2015'!C37+0</f>
        <v>4</v>
      </c>
      <c r="I23" s="22" t="str">
        <f>VLOOKUP(H23,[1]Tables!$A$1:$B$3,2,FALSE)</f>
        <v>ASL + Monica</v>
      </c>
      <c r="J23" s="22" t="str">
        <f>'[1]2015'!D37</f>
        <v>341</v>
      </c>
      <c r="K23" s="21" t="str">
        <f>'[1]2015'!E37</f>
        <v>Fournitures diverses</v>
      </c>
      <c r="L23" s="20">
        <f t="shared" si="0"/>
        <v>42005</v>
      </c>
      <c r="M23" s="18" t="s">
        <v>4204</v>
      </c>
      <c r="N23" s="18" t="s">
        <v>4204</v>
      </c>
      <c r="O23" s="19">
        <f>'[1]2015'!F37</f>
        <v>0</v>
      </c>
      <c r="P23" s="18" t="s">
        <v>4204</v>
      </c>
      <c r="Q23" s="17"/>
    </row>
    <row r="24" spans="1:18" x14ac:dyDescent="0.4">
      <c r="A24" s="25" t="s">
        <v>15</v>
      </c>
      <c r="B24" s="25" t="s">
        <v>16</v>
      </c>
      <c r="C24" s="24">
        <v>42005</v>
      </c>
      <c r="D24" s="24">
        <v>42369</v>
      </c>
      <c r="E24" s="23" t="s">
        <v>30</v>
      </c>
      <c r="F24" s="22">
        <f>'[1]2015'!B38+0</f>
        <v>0</v>
      </c>
      <c r="G24" s="22" t="s">
        <v>4205</v>
      </c>
      <c r="H24" s="22">
        <f>'[1]2015'!C38+0</f>
        <v>4</v>
      </c>
      <c r="I24" s="22" t="str">
        <f>VLOOKUP(H24,[1]Tables!$A$1:$B$3,2,FALSE)</f>
        <v>ASL + Monica</v>
      </c>
      <c r="J24" s="22" t="str">
        <f>'[1]2015'!D38</f>
        <v>461</v>
      </c>
      <c r="K24" s="21" t="str">
        <f>'[1]2015'!E38</f>
        <v>Travaux divers</v>
      </c>
      <c r="L24" s="20">
        <f t="shared" si="0"/>
        <v>42005</v>
      </c>
      <c r="M24" s="18" t="s">
        <v>4204</v>
      </c>
      <c r="N24" s="18" t="s">
        <v>4204</v>
      </c>
      <c r="O24" s="19">
        <f>'[1]2015'!F38</f>
        <v>0</v>
      </c>
      <c r="P24" s="18" t="s">
        <v>4204</v>
      </c>
      <c r="Q24" s="17"/>
    </row>
    <row r="25" spans="1:18" x14ac:dyDescent="0.4">
      <c r="A25" s="25" t="s">
        <v>15</v>
      </c>
      <c r="B25" s="25" t="s">
        <v>16</v>
      </c>
      <c r="C25" s="24">
        <v>42005</v>
      </c>
      <c r="D25" s="24">
        <v>42369</v>
      </c>
      <c r="E25" s="23" t="s">
        <v>30</v>
      </c>
      <c r="F25" s="22">
        <f>'[1]2015'!B39+0</f>
        <v>0</v>
      </c>
      <c r="G25" s="22" t="s">
        <v>4205</v>
      </c>
      <c r="H25" s="22">
        <f>'[1]2015'!C39+0</f>
        <v>4</v>
      </c>
      <c r="I25" s="22" t="str">
        <f>VLOOKUP(H25,[1]Tables!$A$1:$B$3,2,FALSE)</f>
        <v>ASL + Monica</v>
      </c>
      <c r="J25" s="22" t="str">
        <f>'[1]2015'!D39</f>
        <v>521</v>
      </c>
      <c r="K25" s="21" t="str">
        <f>'[1]2015'!E39</f>
        <v>Enlevement déchets végétaux</v>
      </c>
      <c r="L25" s="20">
        <f t="shared" si="0"/>
        <v>42005</v>
      </c>
      <c r="M25" s="18" t="s">
        <v>4204</v>
      </c>
      <c r="N25" s="18" t="s">
        <v>4204</v>
      </c>
      <c r="O25" s="19">
        <f>'[1]2015'!F39</f>
        <v>0</v>
      </c>
      <c r="P25" s="18" t="s">
        <v>4204</v>
      </c>
      <c r="Q25" s="17"/>
    </row>
    <row r="26" spans="1:18" x14ac:dyDescent="0.4">
      <c r="A26" s="25" t="s">
        <v>15</v>
      </c>
      <c r="B26" s="25" t="s">
        <v>16</v>
      </c>
      <c r="C26" s="24">
        <v>42005</v>
      </c>
      <c r="D26" s="24">
        <v>42369</v>
      </c>
      <c r="E26" s="23" t="s">
        <v>30</v>
      </c>
      <c r="F26" s="22">
        <f>'[1]2015'!B40+0</f>
        <v>0</v>
      </c>
      <c r="G26" s="22" t="s">
        <v>4205</v>
      </c>
      <c r="H26" s="22">
        <f>'[1]2015'!C40+0</f>
        <v>4</v>
      </c>
      <c r="I26" s="22" t="str">
        <f>VLOOKUP(H26,[1]Tables!$A$1:$B$3,2,FALSE)</f>
        <v>ASL + Monica</v>
      </c>
      <c r="J26" s="22" t="str">
        <f>'[1]2015'!D40</f>
        <v>526</v>
      </c>
      <c r="K26" s="21" t="str">
        <f>'[1]2015'!E40</f>
        <v>Fourniture arrosage automat.</v>
      </c>
      <c r="L26" s="20">
        <f t="shared" si="0"/>
        <v>42005</v>
      </c>
      <c r="M26" s="18" t="s">
        <v>4204</v>
      </c>
      <c r="N26" s="18" t="s">
        <v>4204</v>
      </c>
      <c r="O26" s="19">
        <f>'[1]2015'!F40</f>
        <v>215</v>
      </c>
      <c r="P26" s="18" t="s">
        <v>4204</v>
      </c>
      <c r="Q26" s="17"/>
    </row>
    <row r="27" spans="1:18" x14ac:dyDescent="0.4">
      <c r="A27" s="25" t="s">
        <v>15</v>
      </c>
      <c r="B27" s="25" t="s">
        <v>16</v>
      </c>
      <c r="C27" s="24">
        <v>42005</v>
      </c>
      <c r="D27" s="24">
        <v>42369</v>
      </c>
      <c r="E27" s="23" t="s">
        <v>30</v>
      </c>
      <c r="F27" s="22">
        <f>'[1]2015'!B41+0</f>
        <v>0</v>
      </c>
      <c r="G27" s="22" t="s">
        <v>4205</v>
      </c>
      <c r="H27" s="22">
        <f>'[1]2015'!C41+0</f>
        <v>4</v>
      </c>
      <c r="I27" s="22" t="str">
        <f>VLOOKUP(H27,[1]Tables!$A$1:$B$3,2,FALSE)</f>
        <v>ASL + Monica</v>
      </c>
      <c r="J27" s="22" t="str">
        <f>'[1]2015'!D41</f>
        <v>621</v>
      </c>
      <c r="K27" s="21" t="str">
        <f>'[1]2015'!E41</f>
        <v>Traitement chenilles process.</v>
      </c>
      <c r="L27" s="20">
        <f t="shared" si="0"/>
        <v>42005</v>
      </c>
      <c r="M27" s="18" t="s">
        <v>4204</v>
      </c>
      <c r="N27" s="18" t="s">
        <v>4204</v>
      </c>
      <c r="O27" s="19">
        <f>'[1]2015'!F41</f>
        <v>1844.4</v>
      </c>
      <c r="P27" s="18" t="s">
        <v>4204</v>
      </c>
      <c r="Q27" s="17"/>
    </row>
    <row r="28" spans="1:18" x14ac:dyDescent="0.4">
      <c r="A28" s="25" t="s">
        <v>15</v>
      </c>
      <c r="B28" s="25" t="s">
        <v>16</v>
      </c>
      <c r="C28" s="24">
        <v>42005</v>
      </c>
      <c r="D28" s="24">
        <v>42369</v>
      </c>
      <c r="E28" s="23" t="s">
        <v>30</v>
      </c>
      <c r="F28" s="22">
        <f>'[1]2015'!B42+0</f>
        <v>0</v>
      </c>
      <c r="G28" s="22" t="s">
        <v>4205</v>
      </c>
      <c r="H28" s="22">
        <f>'[1]2015'!C42+0</f>
        <v>4</v>
      </c>
      <c r="I28" s="22" t="str">
        <f>VLOOKUP(H28,[1]Tables!$A$1:$B$3,2,FALSE)</f>
        <v>ASL + Monica</v>
      </c>
      <c r="J28" s="22" t="str">
        <f>'[1]2015'!D42</f>
        <v>622</v>
      </c>
      <c r="K28" s="21" t="str">
        <f>'[1]2015'!E42</f>
        <v>Travaux elagage et abattage</v>
      </c>
      <c r="L28" s="20">
        <f t="shared" si="0"/>
        <v>42005</v>
      </c>
      <c r="M28" s="18" t="s">
        <v>4204</v>
      </c>
      <c r="N28" s="18" t="s">
        <v>4204</v>
      </c>
      <c r="O28" s="19">
        <f>'[1]2015'!F42</f>
        <v>3481.6</v>
      </c>
      <c r="P28" s="18" t="s">
        <v>4204</v>
      </c>
      <c r="Q28" s="17"/>
    </row>
    <row r="29" spans="1:18" x14ac:dyDescent="0.4">
      <c r="A29" s="25" t="s">
        <v>15</v>
      </c>
      <c r="B29" s="25" t="s">
        <v>16</v>
      </c>
      <c r="C29" s="24">
        <v>42005</v>
      </c>
      <c r="D29" s="24">
        <v>42369</v>
      </c>
      <c r="E29" s="23" t="s">
        <v>30</v>
      </c>
      <c r="F29" s="22">
        <f>'[1]2015'!B43+0</f>
        <v>0</v>
      </c>
      <c r="G29" s="22" t="s">
        <v>4205</v>
      </c>
      <c r="H29" s="22">
        <f>'[1]2015'!C43+0</f>
        <v>4</v>
      </c>
      <c r="I29" s="22" t="str">
        <f>VLOOKUP(H29,[1]Tables!$A$1:$B$3,2,FALSE)</f>
        <v>ASL + Monica</v>
      </c>
      <c r="J29" s="22" t="str">
        <f>'[1]2015'!D43</f>
        <v>624</v>
      </c>
      <c r="K29" s="21" t="str">
        <f>'[1]2015'!E43</f>
        <v>Contrat espaces verts</v>
      </c>
      <c r="L29" s="20">
        <f t="shared" si="0"/>
        <v>42005</v>
      </c>
      <c r="M29" s="18" t="s">
        <v>4204</v>
      </c>
      <c r="N29" s="18" t="s">
        <v>4204</v>
      </c>
      <c r="O29" s="19">
        <f>'[1]2015'!F43</f>
        <v>0</v>
      </c>
      <c r="P29" s="18" t="s">
        <v>4204</v>
      </c>
      <c r="Q29" s="17"/>
    </row>
    <row r="30" spans="1:18" x14ac:dyDescent="0.4">
      <c r="A30" s="25" t="s">
        <v>15</v>
      </c>
      <c r="B30" s="25" t="s">
        <v>16</v>
      </c>
      <c r="C30" s="24">
        <v>42005</v>
      </c>
      <c r="D30" s="24">
        <v>42369</v>
      </c>
      <c r="E30" s="23" t="s">
        <v>30</v>
      </c>
      <c r="F30" s="22">
        <f>'[1]2015'!B44+0</f>
        <v>0</v>
      </c>
      <c r="G30" s="22" t="s">
        <v>4205</v>
      </c>
      <c r="H30" s="22">
        <f>'[1]2015'!C44+0</f>
        <v>4</v>
      </c>
      <c r="I30" s="22" t="str">
        <f>VLOOKUP(H30,[1]Tables!$A$1:$B$3,2,FALSE)</f>
        <v>ASL + Monica</v>
      </c>
      <c r="J30" s="22" t="str">
        <f>'[1]2015'!D44</f>
        <v>625</v>
      </c>
      <c r="K30" s="21" t="str">
        <f>'[1]2015'!E44</f>
        <v>Fourniture vegetaux</v>
      </c>
      <c r="L30" s="20">
        <f t="shared" si="0"/>
        <v>42005</v>
      </c>
      <c r="M30" s="18" t="s">
        <v>4204</v>
      </c>
      <c r="N30" s="18" t="s">
        <v>4204</v>
      </c>
      <c r="O30" s="19">
        <f>'[1]2015'!F44</f>
        <v>489.56</v>
      </c>
      <c r="P30" s="18" t="s">
        <v>4204</v>
      </c>
      <c r="Q30" s="17"/>
    </row>
    <row r="31" spans="1:18" x14ac:dyDescent="0.4">
      <c r="A31" s="25" t="s">
        <v>15</v>
      </c>
      <c r="B31" s="25" t="s">
        <v>16</v>
      </c>
      <c r="C31" s="24">
        <v>42005</v>
      </c>
      <c r="D31" s="24">
        <v>42369</v>
      </c>
      <c r="E31" s="23" t="s">
        <v>30</v>
      </c>
      <c r="F31" s="22">
        <f>'[1]2015'!B45+0</f>
        <v>0</v>
      </c>
      <c r="G31" s="22" t="s">
        <v>4205</v>
      </c>
      <c r="H31" s="22">
        <f>'[1]2015'!C45+0</f>
        <v>4</v>
      </c>
      <c r="I31" s="22" t="str">
        <f>VLOOKUP(H31,[1]Tables!$A$1:$B$3,2,FALSE)</f>
        <v>ASL + Monica</v>
      </c>
      <c r="J31" s="22" t="str">
        <f>'[1]2015'!D45</f>
        <v>626</v>
      </c>
      <c r="K31" s="21" t="str">
        <f>'[1]2015'!E45</f>
        <v>Surv. cpteur jardins</v>
      </c>
      <c r="L31" s="20">
        <f t="shared" si="0"/>
        <v>42005</v>
      </c>
      <c r="M31" s="18" t="s">
        <v>4204</v>
      </c>
      <c r="N31" s="18" t="s">
        <v>4204</v>
      </c>
      <c r="O31" s="19">
        <f>'[1]2015'!F45</f>
        <v>108.01</v>
      </c>
      <c r="P31" s="18" t="s">
        <v>4204</v>
      </c>
      <c r="Q31" s="17"/>
    </row>
    <row r="32" spans="1:18" x14ac:dyDescent="0.4">
      <c r="A32" s="25" t="s">
        <v>15</v>
      </c>
      <c r="B32" s="25" t="s">
        <v>16</v>
      </c>
      <c r="C32" s="24">
        <v>42005</v>
      </c>
      <c r="D32" s="24">
        <v>42369</v>
      </c>
      <c r="E32" s="23" t="s">
        <v>30</v>
      </c>
      <c r="F32" s="22">
        <f>'[1]2015'!B46+0</f>
        <v>0</v>
      </c>
      <c r="G32" s="22" t="s">
        <v>4205</v>
      </c>
      <c r="H32" s="22">
        <f>'[1]2015'!C46+0</f>
        <v>4</v>
      </c>
      <c r="I32" s="22" t="str">
        <f>VLOOKUP(H32,[1]Tables!$A$1:$B$3,2,FALSE)</f>
        <v>ASL + Monica</v>
      </c>
      <c r="J32" s="22" t="str">
        <f>'[1]2015'!D46</f>
        <v>646</v>
      </c>
      <c r="K32" s="21" t="str">
        <f>'[1]2015'!E46</f>
        <v>Traitement chenilles process.</v>
      </c>
      <c r="L32" s="20">
        <f t="shared" si="0"/>
        <v>42005</v>
      </c>
      <c r="M32" s="18" t="s">
        <v>4204</v>
      </c>
      <c r="N32" s="18" t="s">
        <v>4204</v>
      </c>
      <c r="O32" s="19">
        <f>'[1]2015'!F46</f>
        <v>0</v>
      </c>
      <c r="P32" s="18" t="s">
        <v>4204</v>
      </c>
      <c r="Q32" s="17"/>
    </row>
    <row r="33" spans="1:17" x14ac:dyDescent="0.4">
      <c r="A33" s="25" t="s">
        <v>15</v>
      </c>
      <c r="B33" s="25" t="s">
        <v>16</v>
      </c>
      <c r="C33" s="24">
        <v>42005</v>
      </c>
      <c r="D33" s="24">
        <v>42369</v>
      </c>
      <c r="E33" s="23" t="s">
        <v>30</v>
      </c>
      <c r="F33" s="22">
        <f>'[1]2015'!B47+0</f>
        <v>0</v>
      </c>
      <c r="G33" s="22" t="s">
        <v>4205</v>
      </c>
      <c r="H33" s="22">
        <f>'[1]2015'!C47+0</f>
        <v>4</v>
      </c>
      <c r="I33" s="22" t="str">
        <f>VLOOKUP(H33,[1]Tables!$A$1:$B$3,2,FALSE)</f>
        <v>ASL + Monica</v>
      </c>
      <c r="J33" s="22" t="str">
        <f>'[1]2015'!D47</f>
        <v>784</v>
      </c>
      <c r="K33" s="21" t="str">
        <f>'[1]2015'!E47</f>
        <v>Eau d'arrosage</v>
      </c>
      <c r="L33" s="20">
        <f t="shared" si="0"/>
        <v>42005</v>
      </c>
      <c r="M33" s="18" t="s">
        <v>4204</v>
      </c>
      <c r="N33" s="18" t="s">
        <v>4204</v>
      </c>
      <c r="O33" s="19">
        <f>'[1]2015'!F47</f>
        <v>3744.94</v>
      </c>
      <c r="P33" s="18" t="s">
        <v>4204</v>
      </c>
      <c r="Q33" s="17"/>
    </row>
    <row r="34" spans="1:17" ht="29.15" x14ac:dyDescent="0.4">
      <c r="A34" s="25" t="s">
        <v>15</v>
      </c>
      <c r="B34" s="25" t="s">
        <v>16</v>
      </c>
      <c r="C34" s="24">
        <v>42005</v>
      </c>
      <c r="D34" s="24">
        <v>42369</v>
      </c>
      <c r="E34" s="23" t="s">
        <v>30</v>
      </c>
      <c r="F34" s="22">
        <f>'[1]2015'!B50+0</f>
        <v>0</v>
      </c>
      <c r="G34" s="22" t="s">
        <v>4205</v>
      </c>
      <c r="H34" s="22">
        <f>'[1]2015'!C50+0</f>
        <v>46</v>
      </c>
      <c r="I34" s="22" t="str">
        <f>VLOOKUP(H34,[1]Tables!$A$1:$B$3,2,FALSE)</f>
        <v>Charges spéciales Villa 1</v>
      </c>
      <c r="J34" s="22" t="str">
        <f>'[1]2015'!D50</f>
        <v>521</v>
      </c>
      <c r="K34" s="21" t="str">
        <f>'[1]2015'!E50</f>
        <v>Entretien jardins</v>
      </c>
      <c r="L34" s="20">
        <f t="shared" ref="L34:L65" si="1">C34</f>
        <v>42005</v>
      </c>
      <c r="M34" s="18" t="s">
        <v>4204</v>
      </c>
      <c r="N34" s="18" t="s">
        <v>4204</v>
      </c>
      <c r="O34" s="19">
        <f>'[1]2015'!F50</f>
        <v>1837.91</v>
      </c>
      <c r="P34" s="18" t="s">
        <v>4204</v>
      </c>
      <c r="Q34" s="17"/>
    </row>
    <row r="35" spans="1:17" x14ac:dyDescent="0.4">
      <c r="A35" s="25" t="s">
        <v>15</v>
      </c>
      <c r="B35" s="25" t="s">
        <v>16</v>
      </c>
      <c r="C35" s="24">
        <v>42370</v>
      </c>
      <c r="D35" s="24">
        <v>42735</v>
      </c>
      <c r="E35" s="23" t="s">
        <v>30</v>
      </c>
      <c r="F35" s="22">
        <f>'[1]2016'!B12+0</f>
        <v>0</v>
      </c>
      <c r="G35" s="22" t="s">
        <v>4205</v>
      </c>
      <c r="H35" s="22">
        <f>'[1]2016'!C12+0</f>
        <v>4</v>
      </c>
      <c r="I35" s="22" t="str">
        <f>VLOOKUP(H35,[1]Tables!$A$1:$B$3,2,FALSE)</f>
        <v>ASL + Monica</v>
      </c>
      <c r="J35" s="22">
        <f>'[1]2016'!D12</f>
        <v>856</v>
      </c>
      <c r="K35" s="21" t="str">
        <f>'[1]2016'!E12</f>
        <v xml:space="preserve"> Travaux plomberie piscine</v>
      </c>
      <c r="L35" s="20">
        <f t="shared" si="1"/>
        <v>42370</v>
      </c>
      <c r="M35" s="18" t="s">
        <v>4204</v>
      </c>
      <c r="N35" s="18" t="s">
        <v>4204</v>
      </c>
      <c r="O35" s="19">
        <f>'[1]2016'!F12</f>
        <v>1017.5</v>
      </c>
      <c r="P35" s="18" t="s">
        <v>4204</v>
      </c>
      <c r="Q35" s="17"/>
    </row>
    <row r="36" spans="1:17" x14ac:dyDescent="0.4">
      <c r="A36" s="25" t="s">
        <v>15</v>
      </c>
      <c r="B36" s="25" t="s">
        <v>16</v>
      </c>
      <c r="C36" s="24">
        <v>42370</v>
      </c>
      <c r="D36" s="24">
        <v>42735</v>
      </c>
      <c r="E36" s="23" t="s">
        <v>30</v>
      </c>
      <c r="F36" s="22">
        <f>'[1]2016'!B13+0</f>
        <v>0</v>
      </c>
      <c r="G36" s="22" t="s">
        <v>4205</v>
      </c>
      <c r="H36" s="22">
        <f>'[1]2016'!C13+0</f>
        <v>4</v>
      </c>
      <c r="I36" s="22" t="str">
        <f>VLOOKUP(H36,[1]Tables!$A$1:$B$3,2,FALSE)</f>
        <v>ASL + Monica</v>
      </c>
      <c r="J36" s="22" t="str">
        <f>'[1]2016'!D13</f>
        <v>301</v>
      </c>
      <c r="K36" s="21" t="str">
        <f>'[1]2016'!E13</f>
        <v xml:space="preserve">Entretien serrurerie </v>
      </c>
      <c r="L36" s="20">
        <f t="shared" si="1"/>
        <v>42370</v>
      </c>
      <c r="M36" s="18" t="s">
        <v>4204</v>
      </c>
      <c r="N36" s="18" t="s">
        <v>4204</v>
      </c>
      <c r="O36" s="19">
        <f>'[1]2016'!F13</f>
        <v>0</v>
      </c>
      <c r="P36" s="18" t="s">
        <v>4204</v>
      </c>
      <c r="Q36" s="17"/>
    </row>
    <row r="37" spans="1:17" x14ac:dyDescent="0.4">
      <c r="A37" s="25" t="s">
        <v>15</v>
      </c>
      <c r="B37" s="25" t="s">
        <v>16</v>
      </c>
      <c r="C37" s="24">
        <v>42370</v>
      </c>
      <c r="D37" s="24">
        <v>42735</v>
      </c>
      <c r="E37" s="23" t="s">
        <v>30</v>
      </c>
      <c r="F37" s="22">
        <f>'[1]2016'!B14+0</f>
        <v>0</v>
      </c>
      <c r="G37" s="22" t="s">
        <v>4205</v>
      </c>
      <c r="H37" s="22">
        <f>'[1]2016'!C14+0</f>
        <v>4</v>
      </c>
      <c r="I37" s="22" t="str">
        <f>VLOOKUP(H37,[1]Tables!$A$1:$B$3,2,FALSE)</f>
        <v>ASL + Monica</v>
      </c>
      <c r="J37" s="22" t="str">
        <f>'[1]2016'!D14</f>
        <v>341</v>
      </c>
      <c r="K37" s="21" t="str">
        <f>'[1]2016'!E14</f>
        <v xml:space="preserve">Fournitures diverses </v>
      </c>
      <c r="L37" s="20">
        <f t="shared" si="1"/>
        <v>42370</v>
      </c>
      <c r="M37" s="18" t="s">
        <v>4204</v>
      </c>
      <c r="N37" s="18" t="s">
        <v>4204</v>
      </c>
      <c r="O37" s="19">
        <f>'[1]2016'!F14</f>
        <v>0</v>
      </c>
      <c r="P37" s="18" t="s">
        <v>4204</v>
      </c>
      <c r="Q37" s="17"/>
    </row>
    <row r="38" spans="1:17" x14ac:dyDescent="0.4">
      <c r="A38" s="25" t="s">
        <v>15</v>
      </c>
      <c r="B38" s="25" t="s">
        <v>16</v>
      </c>
      <c r="C38" s="24">
        <v>42370</v>
      </c>
      <c r="D38" s="24">
        <v>42735</v>
      </c>
      <c r="E38" s="23" t="s">
        <v>30</v>
      </c>
      <c r="F38" s="22">
        <f>'[1]2016'!B15+0</f>
        <v>0</v>
      </c>
      <c r="G38" s="22" t="s">
        <v>4205</v>
      </c>
      <c r="H38" s="22">
        <f>'[1]2016'!C15+0</f>
        <v>4</v>
      </c>
      <c r="I38" s="22" t="str">
        <f>VLOOKUP(H38,[1]Tables!$A$1:$B$3,2,FALSE)</f>
        <v>ASL + Monica</v>
      </c>
      <c r="J38" s="22" t="str">
        <f>'[1]2016'!D15</f>
        <v>386</v>
      </c>
      <c r="K38" s="21" t="str">
        <f>'[1]2016'!E15</f>
        <v>Entretien extincteurs</v>
      </c>
      <c r="L38" s="20">
        <f t="shared" si="1"/>
        <v>42370</v>
      </c>
      <c r="M38" s="18" t="s">
        <v>4204</v>
      </c>
      <c r="N38" s="18" t="s">
        <v>4204</v>
      </c>
      <c r="O38" s="19">
        <f>'[1]2016'!F15</f>
        <v>24.59</v>
      </c>
      <c r="P38" s="18" t="s">
        <v>4204</v>
      </c>
      <c r="Q38" s="17"/>
    </row>
    <row r="39" spans="1:17" x14ac:dyDescent="0.4">
      <c r="A39" s="25" t="s">
        <v>15</v>
      </c>
      <c r="B39" s="25" t="s">
        <v>16</v>
      </c>
      <c r="C39" s="24">
        <v>42370</v>
      </c>
      <c r="D39" s="24">
        <v>42735</v>
      </c>
      <c r="E39" s="23" t="s">
        <v>30</v>
      </c>
      <c r="F39" s="22">
        <f>'[1]2016'!B16+0</f>
        <v>0</v>
      </c>
      <c r="G39" s="22" t="s">
        <v>4205</v>
      </c>
      <c r="H39" s="22">
        <f>'[1]2016'!C16+0</f>
        <v>4</v>
      </c>
      <c r="I39" s="22" t="str">
        <f>VLOOKUP(H39,[1]Tables!$A$1:$B$3,2,FALSE)</f>
        <v>ASL + Monica</v>
      </c>
      <c r="J39" s="22" t="str">
        <f>'[1]2016'!D16</f>
        <v>460</v>
      </c>
      <c r="K39" s="21" t="str">
        <f>'[1]2016'!E16</f>
        <v>Achat materiel divers</v>
      </c>
      <c r="L39" s="20">
        <f t="shared" si="1"/>
        <v>42370</v>
      </c>
      <c r="M39" s="18" t="s">
        <v>4204</v>
      </c>
      <c r="N39" s="18" t="s">
        <v>4204</v>
      </c>
      <c r="O39" s="19">
        <f>'[1]2016'!F16</f>
        <v>228</v>
      </c>
      <c r="P39" s="18" t="s">
        <v>4204</v>
      </c>
      <c r="Q39" s="17"/>
    </row>
    <row r="40" spans="1:17" x14ac:dyDescent="0.4">
      <c r="A40" s="25" t="s">
        <v>15</v>
      </c>
      <c r="B40" s="25" t="s">
        <v>16</v>
      </c>
      <c r="C40" s="24">
        <v>42370</v>
      </c>
      <c r="D40" s="24">
        <v>42735</v>
      </c>
      <c r="E40" s="23" t="s">
        <v>30</v>
      </c>
      <c r="F40" s="22">
        <f>'[1]2016'!B17+0</f>
        <v>0</v>
      </c>
      <c r="G40" s="22" t="s">
        <v>4205</v>
      </c>
      <c r="H40" s="22">
        <f>'[1]2016'!C17+0</f>
        <v>4</v>
      </c>
      <c r="I40" s="22" t="str">
        <f>VLOOKUP(H40,[1]Tables!$A$1:$B$3,2,FALSE)</f>
        <v>ASL + Monica</v>
      </c>
      <c r="J40" s="22" t="str">
        <f>'[1]2016'!D17</f>
        <v>461</v>
      </c>
      <c r="K40" s="21" t="str">
        <f>'[1]2016'!E17</f>
        <v>Regul. miroir signalisation</v>
      </c>
      <c r="L40" s="20">
        <f t="shared" si="1"/>
        <v>42370</v>
      </c>
      <c r="M40" s="18" t="s">
        <v>4204</v>
      </c>
      <c r="N40" s="18" t="s">
        <v>4204</v>
      </c>
      <c r="O40" s="19">
        <f>'[1]2016'!F17</f>
        <v>0</v>
      </c>
      <c r="P40" s="18" t="s">
        <v>4204</v>
      </c>
      <c r="Q40" s="17"/>
    </row>
    <row r="41" spans="1:17" x14ac:dyDescent="0.4">
      <c r="A41" s="25" t="s">
        <v>15</v>
      </c>
      <c r="B41" s="25" t="s">
        <v>16</v>
      </c>
      <c r="C41" s="24">
        <v>42370</v>
      </c>
      <c r="D41" s="24">
        <v>42735</v>
      </c>
      <c r="E41" s="23" t="s">
        <v>30</v>
      </c>
      <c r="F41" s="22">
        <f>'[1]2016'!B18+0</f>
        <v>0</v>
      </c>
      <c r="G41" s="22" t="s">
        <v>4205</v>
      </c>
      <c r="H41" s="22">
        <f>'[1]2016'!C18+0</f>
        <v>4</v>
      </c>
      <c r="I41" s="22" t="str">
        <f>VLOOKUP(H41,[1]Tables!$A$1:$B$3,2,FALSE)</f>
        <v>ASL + Monica</v>
      </c>
      <c r="J41" s="22" t="str">
        <f>'[1]2016'!D18</f>
        <v>462</v>
      </c>
      <c r="K41" s="21" t="str">
        <f>'[1]2016'!E18</f>
        <v xml:space="preserve">Travaux piscine </v>
      </c>
      <c r="L41" s="20">
        <f t="shared" si="1"/>
        <v>42370</v>
      </c>
      <c r="M41" s="18" t="s">
        <v>4204</v>
      </c>
      <c r="N41" s="18" t="s">
        <v>4204</v>
      </c>
      <c r="O41" s="19">
        <f>'[1]2016'!F18</f>
        <v>0</v>
      </c>
      <c r="P41" s="18" t="s">
        <v>4204</v>
      </c>
      <c r="Q41" s="17"/>
    </row>
    <row r="42" spans="1:17" x14ac:dyDescent="0.4">
      <c r="A42" s="25" t="s">
        <v>15</v>
      </c>
      <c r="B42" s="25" t="s">
        <v>16</v>
      </c>
      <c r="C42" s="24">
        <v>42370</v>
      </c>
      <c r="D42" s="24">
        <v>42735</v>
      </c>
      <c r="E42" s="23" t="s">
        <v>30</v>
      </c>
      <c r="F42" s="22">
        <f>'[1]2016'!B19+0</f>
        <v>0</v>
      </c>
      <c r="G42" s="22" t="s">
        <v>4205</v>
      </c>
      <c r="H42" s="22">
        <f>'[1]2016'!C19+0</f>
        <v>4</v>
      </c>
      <c r="I42" s="22" t="str">
        <f>VLOOKUP(H42,[1]Tables!$A$1:$B$3,2,FALSE)</f>
        <v>ASL + Monica</v>
      </c>
      <c r="J42" s="22" t="str">
        <f>'[1]2016'!D19</f>
        <v>484</v>
      </c>
      <c r="K42" s="21" t="str">
        <f>'[1]2016'!E19</f>
        <v xml:space="preserve">Contrat piscine </v>
      </c>
      <c r="L42" s="20">
        <f t="shared" si="1"/>
        <v>42370</v>
      </c>
      <c r="M42" s="18" t="s">
        <v>4204</v>
      </c>
      <c r="N42" s="18" t="s">
        <v>4204</v>
      </c>
      <c r="O42" s="19">
        <f>'[1]2016'!F19</f>
        <v>0</v>
      </c>
      <c r="P42" s="18" t="s">
        <v>4204</v>
      </c>
      <c r="Q42" s="17"/>
    </row>
    <row r="43" spans="1:17" x14ac:dyDescent="0.4">
      <c r="A43" s="25" t="s">
        <v>15</v>
      </c>
      <c r="B43" s="25" t="s">
        <v>16</v>
      </c>
      <c r="C43" s="24">
        <v>42370</v>
      </c>
      <c r="D43" s="24">
        <v>42735</v>
      </c>
      <c r="E43" s="23" t="s">
        <v>30</v>
      </c>
      <c r="F43" s="22">
        <f>'[1]2016'!B20+0</f>
        <v>0</v>
      </c>
      <c r="G43" s="22" t="s">
        <v>4205</v>
      </c>
      <c r="H43" s="22">
        <f>'[1]2016'!C20+0</f>
        <v>4</v>
      </c>
      <c r="I43" s="22" t="str">
        <f>VLOOKUP(H43,[1]Tables!$A$1:$B$3,2,FALSE)</f>
        <v>ASL + Monica</v>
      </c>
      <c r="J43" s="22" t="str">
        <f>'[1]2016'!D20</f>
        <v>486</v>
      </c>
      <c r="K43" s="21" t="str">
        <f>'[1]2016'!E20</f>
        <v>Fournitures piscine</v>
      </c>
      <c r="L43" s="20">
        <f t="shared" si="1"/>
        <v>42370</v>
      </c>
      <c r="M43" s="18" t="s">
        <v>4204</v>
      </c>
      <c r="N43" s="18" t="s">
        <v>4204</v>
      </c>
      <c r="O43" s="19">
        <f>'[1]2016'!F20</f>
        <v>942.85</v>
      </c>
      <c r="P43" s="18" t="s">
        <v>4204</v>
      </c>
      <c r="Q43" s="17"/>
    </row>
    <row r="44" spans="1:17" x14ac:dyDescent="0.4">
      <c r="A44" s="25" t="s">
        <v>15</v>
      </c>
      <c r="B44" s="25" t="s">
        <v>16</v>
      </c>
      <c r="C44" s="24">
        <v>42370</v>
      </c>
      <c r="D44" s="24">
        <v>42735</v>
      </c>
      <c r="E44" s="23" t="s">
        <v>30</v>
      </c>
      <c r="F44" s="22">
        <f>'[1]2016'!B21+0</f>
        <v>0</v>
      </c>
      <c r="G44" s="22" t="s">
        <v>4205</v>
      </c>
      <c r="H44" s="22">
        <f>'[1]2016'!C21+0</f>
        <v>4</v>
      </c>
      <c r="I44" s="22" t="str">
        <f>VLOOKUP(H44,[1]Tables!$A$1:$B$3,2,FALSE)</f>
        <v>ASL + Monica</v>
      </c>
      <c r="J44" s="22" t="str">
        <f>'[1]2016'!D21</f>
        <v>489</v>
      </c>
      <c r="K44" s="21" t="str">
        <f>'[1]2016'!E21</f>
        <v>Consommation eau piscine</v>
      </c>
      <c r="L44" s="20">
        <f t="shared" si="1"/>
        <v>42370</v>
      </c>
      <c r="M44" s="18" t="s">
        <v>4204</v>
      </c>
      <c r="N44" s="18" t="s">
        <v>4204</v>
      </c>
      <c r="O44" s="19">
        <f>'[1]2016'!F21</f>
        <v>188.28</v>
      </c>
      <c r="P44" s="18" t="s">
        <v>4204</v>
      </c>
      <c r="Q44" s="17"/>
    </row>
    <row r="45" spans="1:17" x14ac:dyDescent="0.4">
      <c r="A45" s="25" t="s">
        <v>15</v>
      </c>
      <c r="B45" s="25" t="s">
        <v>16</v>
      </c>
      <c r="C45" s="24">
        <v>42370</v>
      </c>
      <c r="D45" s="24">
        <v>42735</v>
      </c>
      <c r="E45" s="23" t="s">
        <v>30</v>
      </c>
      <c r="F45" s="22">
        <f>'[1]2016'!B22+0</f>
        <v>0</v>
      </c>
      <c r="G45" s="22" t="s">
        <v>4205</v>
      </c>
      <c r="H45" s="22">
        <f>'[1]2016'!C22+0</f>
        <v>4</v>
      </c>
      <c r="I45" s="22" t="str">
        <f>VLOOKUP(H45,[1]Tables!$A$1:$B$3,2,FALSE)</f>
        <v>ASL + Monica</v>
      </c>
      <c r="J45" s="22" t="str">
        <f>'[1]2016'!D22</f>
        <v>490</v>
      </c>
      <c r="K45" s="21" t="str">
        <f>'[1]2016'!E22</f>
        <v>Analyses Piscine</v>
      </c>
      <c r="L45" s="20">
        <f t="shared" si="1"/>
        <v>42370</v>
      </c>
      <c r="M45" s="18" t="s">
        <v>4204</v>
      </c>
      <c r="N45" s="18" t="s">
        <v>4204</v>
      </c>
      <c r="O45" s="19">
        <f>'[1]2016'!F22</f>
        <v>209.9</v>
      </c>
      <c r="P45" s="18" t="s">
        <v>4204</v>
      </c>
      <c r="Q45" s="17"/>
    </row>
    <row r="46" spans="1:17" x14ac:dyDescent="0.4">
      <c r="A46" s="25" t="s">
        <v>15</v>
      </c>
      <c r="B46" s="25" t="s">
        <v>16</v>
      </c>
      <c r="C46" s="24">
        <v>42370</v>
      </c>
      <c r="D46" s="24">
        <v>42735</v>
      </c>
      <c r="E46" s="23" t="s">
        <v>30</v>
      </c>
      <c r="F46" s="22">
        <f>'[1]2016'!B23+0</f>
        <v>0</v>
      </c>
      <c r="G46" s="22" t="s">
        <v>4205</v>
      </c>
      <c r="H46" s="22">
        <f>'[1]2016'!C23+0</f>
        <v>4</v>
      </c>
      <c r="I46" s="22" t="str">
        <f>VLOOKUP(H46,[1]Tables!$A$1:$B$3,2,FALSE)</f>
        <v>ASL + Monica</v>
      </c>
      <c r="J46" s="22" t="str">
        <f>'[1]2016'!D23</f>
        <v>681</v>
      </c>
      <c r="K46" s="21" t="str">
        <f>'[1]2016'!E23</f>
        <v>Taxe d'habitation</v>
      </c>
      <c r="L46" s="20">
        <f t="shared" si="1"/>
        <v>42370</v>
      </c>
      <c r="M46" s="18" t="s">
        <v>4204</v>
      </c>
      <c r="N46" s="18" t="s">
        <v>4204</v>
      </c>
      <c r="O46" s="19">
        <f>'[1]2016'!F23</f>
        <v>1259</v>
      </c>
      <c r="P46" s="18" t="s">
        <v>4204</v>
      </c>
      <c r="Q46" s="17"/>
    </row>
    <row r="47" spans="1:17" x14ac:dyDescent="0.4">
      <c r="A47" s="25" t="s">
        <v>15</v>
      </c>
      <c r="B47" s="25" t="s">
        <v>16</v>
      </c>
      <c r="C47" s="24">
        <v>42370</v>
      </c>
      <c r="D47" s="24">
        <v>42735</v>
      </c>
      <c r="E47" s="23" t="s">
        <v>30</v>
      </c>
      <c r="F47" s="22">
        <f>'[1]2016'!B24+0</f>
        <v>0</v>
      </c>
      <c r="G47" s="22" t="s">
        <v>4205</v>
      </c>
      <c r="H47" s="22">
        <f>'[1]2016'!C24+0</f>
        <v>4</v>
      </c>
      <c r="I47" s="22" t="str">
        <f>VLOOKUP(H47,[1]Tables!$A$1:$B$3,2,FALSE)</f>
        <v>ASL + Monica</v>
      </c>
      <c r="J47" s="22" t="str">
        <f>'[1]2016'!D24</f>
        <v>684</v>
      </c>
      <c r="K47" s="21" t="str">
        <f>'[1]2016'!E24</f>
        <v>Taxe fonciere</v>
      </c>
      <c r="L47" s="20">
        <f t="shared" si="1"/>
        <v>42370</v>
      </c>
      <c r="M47" s="18" t="s">
        <v>4204</v>
      </c>
      <c r="N47" s="18" t="s">
        <v>4204</v>
      </c>
      <c r="O47" s="19">
        <f>'[1]2016'!F24</f>
        <v>1399</v>
      </c>
      <c r="P47" s="18" t="s">
        <v>4204</v>
      </c>
      <c r="Q47" s="17"/>
    </row>
    <row r="48" spans="1:17" x14ac:dyDescent="0.4">
      <c r="A48" s="25" t="s">
        <v>15</v>
      </c>
      <c r="B48" s="25" t="s">
        <v>16</v>
      </c>
      <c r="C48" s="24">
        <v>42370</v>
      </c>
      <c r="D48" s="24">
        <v>42735</v>
      </c>
      <c r="E48" s="23" t="s">
        <v>30</v>
      </c>
      <c r="F48" s="22">
        <f>'[1]2016'!B25+0</f>
        <v>0</v>
      </c>
      <c r="G48" s="22" t="s">
        <v>4205</v>
      </c>
      <c r="H48" s="22">
        <f>'[1]2016'!C25+0</f>
        <v>4</v>
      </c>
      <c r="I48" s="22" t="str">
        <f>VLOOKUP(H48,[1]Tables!$A$1:$B$3,2,FALSE)</f>
        <v>ASL + Monica</v>
      </c>
      <c r="J48" s="22" t="str">
        <f>'[1]2016'!D25</f>
        <v>735</v>
      </c>
      <c r="K48" s="21" t="str">
        <f>'[1]2016'!E25</f>
        <v>EDF Piscine</v>
      </c>
      <c r="L48" s="20">
        <f t="shared" si="1"/>
        <v>42370</v>
      </c>
      <c r="M48" s="18" t="s">
        <v>4204</v>
      </c>
      <c r="N48" s="18" t="s">
        <v>4204</v>
      </c>
      <c r="O48" s="19">
        <f>'[1]2016'!F25</f>
        <v>1839.83</v>
      </c>
      <c r="P48" s="18" t="s">
        <v>4204</v>
      </c>
      <c r="Q48" s="17"/>
    </row>
    <row r="49" spans="1:17" x14ac:dyDescent="0.4">
      <c r="A49" s="25" t="s">
        <v>15</v>
      </c>
      <c r="B49" s="25" t="s">
        <v>16</v>
      </c>
      <c r="C49" s="24">
        <v>42370</v>
      </c>
      <c r="D49" s="24">
        <v>42735</v>
      </c>
      <c r="E49" s="23" t="s">
        <v>30</v>
      </c>
      <c r="F49" s="22">
        <f>'[1]2016'!B26+0</f>
        <v>0</v>
      </c>
      <c r="G49" s="22" t="s">
        <v>4205</v>
      </c>
      <c r="H49" s="22">
        <f>'[1]2016'!C26+0</f>
        <v>4</v>
      </c>
      <c r="I49" s="22" t="str">
        <f>VLOOKUP(H49,[1]Tables!$A$1:$B$3,2,FALSE)</f>
        <v>ASL + Monica</v>
      </c>
      <c r="J49" s="22" t="str">
        <f>'[1]2016'!D26</f>
        <v>844</v>
      </c>
      <c r="K49" s="21" t="str">
        <f>'[1]2016'!E26</f>
        <v>Honoraires Syndic</v>
      </c>
      <c r="L49" s="20">
        <f t="shared" si="1"/>
        <v>42370</v>
      </c>
      <c r="M49" s="18" t="s">
        <v>4204</v>
      </c>
      <c r="N49" s="18" t="s">
        <v>4204</v>
      </c>
      <c r="O49" s="19">
        <f>'[1]2016'!F26</f>
        <v>11190</v>
      </c>
      <c r="P49" s="18" t="s">
        <v>4204</v>
      </c>
      <c r="Q49" s="17"/>
    </row>
    <row r="50" spans="1:17" x14ac:dyDescent="0.4">
      <c r="A50" s="25" t="s">
        <v>15</v>
      </c>
      <c r="B50" s="25" t="s">
        <v>16</v>
      </c>
      <c r="C50" s="24">
        <v>42370</v>
      </c>
      <c r="D50" s="24">
        <v>42735</v>
      </c>
      <c r="E50" s="23" t="s">
        <v>30</v>
      </c>
      <c r="F50" s="22">
        <f>'[1]2016'!B27+0</f>
        <v>0</v>
      </c>
      <c r="G50" s="22" t="s">
        <v>4205</v>
      </c>
      <c r="H50" s="22">
        <f>'[1]2016'!C27+0</f>
        <v>4</v>
      </c>
      <c r="I50" s="22" t="str">
        <f>VLOOKUP(H50,[1]Tables!$A$1:$B$3,2,FALSE)</f>
        <v>ASL + Monica</v>
      </c>
      <c r="J50" s="22" t="str">
        <f>'[1]2016'!D27</f>
        <v>912</v>
      </c>
      <c r="K50" s="21" t="str">
        <f>'[1]2016'!E27</f>
        <v>Participation emptoye immeuble</v>
      </c>
      <c r="L50" s="20">
        <f t="shared" si="1"/>
        <v>42370</v>
      </c>
      <c r="M50" s="18" t="s">
        <v>4204</v>
      </c>
      <c r="N50" s="18" t="s">
        <v>4204</v>
      </c>
      <c r="O50" s="19">
        <f>'[1]2016'!F27</f>
        <v>6812.99</v>
      </c>
      <c r="P50" s="18" t="s">
        <v>4204</v>
      </c>
      <c r="Q50" s="17"/>
    </row>
    <row r="51" spans="1:17" x14ac:dyDescent="0.4">
      <c r="A51" s="25" t="s">
        <v>15</v>
      </c>
      <c r="B51" s="25" t="s">
        <v>16</v>
      </c>
      <c r="C51" s="24">
        <v>42370</v>
      </c>
      <c r="D51" s="24">
        <v>42735</v>
      </c>
      <c r="E51" s="23" t="s">
        <v>30</v>
      </c>
      <c r="F51" s="22">
        <f>'[1]2016'!B28+0</f>
        <v>0</v>
      </c>
      <c r="G51" s="22" t="s">
        <v>4205</v>
      </c>
      <c r="H51" s="22">
        <f>'[1]2016'!C28+0</f>
        <v>4</v>
      </c>
      <c r="I51" s="22" t="str">
        <f>VLOOKUP(H51,[1]Tables!$A$1:$B$3,2,FALSE)</f>
        <v>ASL + Monica</v>
      </c>
      <c r="J51" s="22" t="str">
        <f>'[1]2016'!D28</f>
        <v>951</v>
      </c>
      <c r="K51" s="21" t="str">
        <f>'[1]2016'!E28</f>
        <v>Deduct. QIP Honoraires GIER</v>
      </c>
      <c r="L51" s="20">
        <f t="shared" si="1"/>
        <v>42370</v>
      </c>
      <c r="M51" s="18" t="s">
        <v>4204</v>
      </c>
      <c r="N51" s="18" t="s">
        <v>4204</v>
      </c>
      <c r="O51" s="19">
        <f>'[1]2016'!F28</f>
        <v>-6797.48</v>
      </c>
      <c r="P51" s="18" t="s">
        <v>4204</v>
      </c>
      <c r="Q51" s="17"/>
    </row>
    <row r="52" spans="1:17" x14ac:dyDescent="0.4">
      <c r="A52" s="25" t="s">
        <v>15</v>
      </c>
      <c r="B52" s="25" t="s">
        <v>16</v>
      </c>
      <c r="C52" s="24">
        <v>42370</v>
      </c>
      <c r="D52" s="24">
        <v>42735</v>
      </c>
      <c r="E52" s="23" t="s">
        <v>30</v>
      </c>
      <c r="F52" s="22">
        <f>'[1]2016'!B29+0</f>
        <v>0</v>
      </c>
      <c r="G52" s="22" t="s">
        <v>4205</v>
      </c>
      <c r="H52" s="22">
        <f>'[1]2016'!C29+0</f>
        <v>4</v>
      </c>
      <c r="I52" s="22" t="str">
        <f>VLOOKUP(H52,[1]Tables!$A$1:$B$3,2,FALSE)</f>
        <v>ASL + Monica</v>
      </c>
      <c r="J52" s="22" t="str">
        <f>'[1]2016'!D29</f>
        <v>935</v>
      </c>
      <c r="K52" s="21" t="str">
        <f>'[1]2016'!E29</f>
        <v xml:space="preserve">Deduct. Q/P Honoraires VILLAGE </v>
      </c>
      <c r="L52" s="20">
        <f t="shared" si="1"/>
        <v>42370</v>
      </c>
      <c r="M52" s="18" t="s">
        <v>4204</v>
      </c>
      <c r="N52" s="18" t="s">
        <v>4204</v>
      </c>
      <c r="O52" s="19">
        <f>'[1]2016'!F29</f>
        <v>-1212.42</v>
      </c>
      <c r="P52" s="18" t="s">
        <v>4204</v>
      </c>
      <c r="Q52" s="17"/>
    </row>
    <row r="53" spans="1:17" x14ac:dyDescent="0.4">
      <c r="A53" s="25" t="s">
        <v>15</v>
      </c>
      <c r="B53" s="25" t="s">
        <v>16</v>
      </c>
      <c r="C53" s="24">
        <v>42370</v>
      </c>
      <c r="D53" s="24">
        <v>42735</v>
      </c>
      <c r="E53" s="23" t="s">
        <v>30</v>
      </c>
      <c r="F53" s="22">
        <f>'[1]2016'!B30+0</f>
        <v>0</v>
      </c>
      <c r="G53" s="22" t="s">
        <v>4205</v>
      </c>
      <c r="H53" s="22">
        <f>'[1]2016'!C30+0</f>
        <v>4</v>
      </c>
      <c r="I53" s="22" t="str">
        <f>VLOOKUP(H53,[1]Tables!$A$1:$B$3,2,FALSE)</f>
        <v>ASL + Monica</v>
      </c>
      <c r="J53" s="22" t="str">
        <f>'[1]2016'!D30</f>
        <v>999</v>
      </c>
      <c r="K53" s="21" t="str">
        <f>'[1]2016'!E30</f>
        <v>Rompus sur repartition</v>
      </c>
      <c r="L53" s="20">
        <f t="shared" si="1"/>
        <v>42370</v>
      </c>
      <c r="M53" s="18" t="s">
        <v>4204</v>
      </c>
      <c r="N53" s="18" t="s">
        <v>4204</v>
      </c>
      <c r="O53" s="19">
        <f>'[1]2016'!F30</f>
        <v>0.01</v>
      </c>
      <c r="P53" s="18" t="s">
        <v>4204</v>
      </c>
      <c r="Q53" s="17"/>
    </row>
    <row r="54" spans="1:17" ht="29.15" x14ac:dyDescent="0.4">
      <c r="A54" s="25" t="s">
        <v>15</v>
      </c>
      <c r="B54" s="25" t="s">
        <v>16</v>
      </c>
      <c r="C54" s="24">
        <v>42370</v>
      </c>
      <c r="D54" s="24">
        <v>42735</v>
      </c>
      <c r="E54" s="23" t="s">
        <v>30</v>
      </c>
      <c r="F54" s="22">
        <f>'[1]2016'!B33+0</f>
        <v>0</v>
      </c>
      <c r="G54" s="22" t="s">
        <v>4205</v>
      </c>
      <c r="H54" s="22">
        <f>'[1]2016'!C33+0</f>
        <v>3</v>
      </c>
      <c r="I54" s="22" t="str">
        <f>VLOOKUP(H54,[1]Tables!$A$1:$B$3,2,FALSE)</f>
        <v>Charges d'administration</v>
      </c>
      <c r="J54" s="22" t="str">
        <f>'[1]2016'!D33</f>
        <v>868</v>
      </c>
      <c r="K54" s="21" t="str">
        <f>'[1]2016'!E33</f>
        <v>Frais tirage comptes convoc</v>
      </c>
      <c r="L54" s="20">
        <f t="shared" si="1"/>
        <v>42370</v>
      </c>
      <c r="M54" s="18" t="s">
        <v>4204</v>
      </c>
      <c r="N54" s="18" t="s">
        <v>4204</v>
      </c>
      <c r="O54" s="19">
        <f>'[1]2016'!F33</f>
        <v>1203.6600000000001</v>
      </c>
      <c r="P54" s="18" t="s">
        <v>4204</v>
      </c>
      <c r="Q54" s="17"/>
    </row>
    <row r="55" spans="1:17" ht="29.15" x14ac:dyDescent="0.4">
      <c r="A55" s="25" t="s">
        <v>15</v>
      </c>
      <c r="B55" s="25" t="s">
        <v>16</v>
      </c>
      <c r="C55" s="24">
        <v>42370</v>
      </c>
      <c r="D55" s="24">
        <v>42735</v>
      </c>
      <c r="E55" s="23" t="s">
        <v>30</v>
      </c>
      <c r="F55" s="22">
        <f>'[1]2016'!B34+0</f>
        <v>0</v>
      </c>
      <c r="G55" s="22" t="s">
        <v>4205</v>
      </c>
      <c r="H55" s="22">
        <f>'[1]2016'!C34+0</f>
        <v>3</v>
      </c>
      <c r="I55" s="22" t="str">
        <f>VLOOKUP(H55,[1]Tables!$A$1:$B$3,2,FALSE)</f>
        <v>Charges d'administration</v>
      </c>
      <c r="J55" s="22" t="str">
        <f>'[1]2016'!D34</f>
        <v>869</v>
      </c>
      <c r="K55" s="21" t="str">
        <f>'[1]2016'!E34</f>
        <v>Gestion archives du Syndicat</v>
      </c>
      <c r="L55" s="20">
        <f t="shared" si="1"/>
        <v>42370</v>
      </c>
      <c r="M55" s="18" t="s">
        <v>4204</v>
      </c>
      <c r="N55" s="18" t="s">
        <v>4204</v>
      </c>
      <c r="O55" s="19">
        <f>'[1]2016'!F34</f>
        <v>235.87</v>
      </c>
      <c r="P55" s="18" t="s">
        <v>4204</v>
      </c>
      <c r="Q55" s="17"/>
    </row>
    <row r="56" spans="1:17" ht="29.15" x14ac:dyDescent="0.4">
      <c r="A56" s="25" t="s">
        <v>15</v>
      </c>
      <c r="B56" s="25" t="s">
        <v>16</v>
      </c>
      <c r="C56" s="24">
        <v>42370</v>
      </c>
      <c r="D56" s="24">
        <v>42735</v>
      </c>
      <c r="E56" s="23" t="s">
        <v>30</v>
      </c>
      <c r="F56" s="22">
        <f>'[1]2016'!B35+0</f>
        <v>0</v>
      </c>
      <c r="G56" s="22" t="s">
        <v>4205</v>
      </c>
      <c r="H56" s="22">
        <f>'[1]2016'!C35+0</f>
        <v>3</v>
      </c>
      <c r="I56" s="22" t="str">
        <f>VLOOKUP(H56,[1]Tables!$A$1:$B$3,2,FALSE)</f>
        <v>Charges d'administration</v>
      </c>
      <c r="J56" s="22" t="str">
        <f>'[1]2016'!D35</f>
        <v>871</v>
      </c>
      <c r="K56" s="21" t="str">
        <f>'[1]2016'!E35</f>
        <v>Frais Affranchissements</v>
      </c>
      <c r="L56" s="20">
        <f t="shared" si="1"/>
        <v>42370</v>
      </c>
      <c r="M56" s="18" t="s">
        <v>4204</v>
      </c>
      <c r="N56" s="18" t="s">
        <v>4204</v>
      </c>
      <c r="O56" s="19">
        <f>'[1]2016'!F35</f>
        <v>1073.55</v>
      </c>
      <c r="P56" s="18" t="s">
        <v>4204</v>
      </c>
      <c r="Q56" s="17"/>
    </row>
    <row r="57" spans="1:17" ht="29.15" x14ac:dyDescent="0.4">
      <c r="A57" s="25" t="s">
        <v>15</v>
      </c>
      <c r="B57" s="25" t="s">
        <v>16</v>
      </c>
      <c r="C57" s="24">
        <v>42370</v>
      </c>
      <c r="D57" s="24">
        <v>42735</v>
      </c>
      <c r="E57" s="23" t="s">
        <v>30</v>
      </c>
      <c r="F57" s="22">
        <f>'[1]2016'!B36+0</f>
        <v>0</v>
      </c>
      <c r="G57" s="22" t="s">
        <v>4205</v>
      </c>
      <c r="H57" s="22">
        <f>'[1]2016'!C36+0</f>
        <v>3</v>
      </c>
      <c r="I57" s="22" t="str">
        <f>VLOOKUP(H57,[1]Tables!$A$1:$B$3,2,FALSE)</f>
        <v>Charges d'administration</v>
      </c>
      <c r="J57" s="22" t="str">
        <f>'[1]2016'!D36</f>
        <v>872</v>
      </c>
      <c r="K57" s="21" t="str">
        <f>'[1]2016'!E36</f>
        <v>Location salle AG</v>
      </c>
      <c r="L57" s="20">
        <f t="shared" si="1"/>
        <v>42370</v>
      </c>
      <c r="M57" s="18" t="s">
        <v>4204</v>
      </c>
      <c r="N57" s="18" t="s">
        <v>4204</v>
      </c>
      <c r="O57" s="19">
        <f>'[1]2016'!F36</f>
        <v>0</v>
      </c>
      <c r="P57" s="18" t="s">
        <v>4204</v>
      </c>
      <c r="Q57" s="17"/>
    </row>
    <row r="58" spans="1:17" x14ac:dyDescent="0.4">
      <c r="A58" s="25" t="s">
        <v>15</v>
      </c>
      <c r="B58" s="25" t="s">
        <v>16</v>
      </c>
      <c r="C58" s="24">
        <v>42370</v>
      </c>
      <c r="D58" s="24">
        <v>42735</v>
      </c>
      <c r="E58" s="23" t="s">
        <v>30</v>
      </c>
      <c r="F58" s="22">
        <f>'[1]2016'!B39+0</f>
        <v>0</v>
      </c>
      <c r="G58" s="22" t="s">
        <v>4205</v>
      </c>
      <c r="H58" s="22">
        <f>'[1]2016'!C39+0</f>
        <v>4</v>
      </c>
      <c r="I58" s="22" t="str">
        <f>VLOOKUP(H58,[1]Tables!$A$1:$B$3,2,FALSE)</f>
        <v>ASL + Monica</v>
      </c>
      <c r="J58" s="22" t="str">
        <f>'[1]2016'!D39</f>
        <v>341</v>
      </c>
      <c r="K58" s="21" t="str">
        <f>'[1]2016'!E39</f>
        <v>Fournitures diverses</v>
      </c>
      <c r="L58" s="20">
        <f t="shared" si="1"/>
        <v>42370</v>
      </c>
      <c r="M58" s="18" t="s">
        <v>4204</v>
      </c>
      <c r="N58" s="18" t="s">
        <v>4204</v>
      </c>
      <c r="O58" s="19">
        <f>'[1]2016'!F39</f>
        <v>0</v>
      </c>
      <c r="P58" s="18" t="s">
        <v>4204</v>
      </c>
      <c r="Q58" s="17"/>
    </row>
    <row r="59" spans="1:17" x14ac:dyDescent="0.4">
      <c r="A59" s="25" t="s">
        <v>15</v>
      </c>
      <c r="B59" s="25" t="s">
        <v>16</v>
      </c>
      <c r="C59" s="24">
        <v>42370</v>
      </c>
      <c r="D59" s="24">
        <v>42735</v>
      </c>
      <c r="E59" s="23" t="s">
        <v>30</v>
      </c>
      <c r="F59" s="22">
        <f>'[1]2016'!B40+0</f>
        <v>0</v>
      </c>
      <c r="G59" s="22" t="s">
        <v>4205</v>
      </c>
      <c r="H59" s="22">
        <f>'[1]2016'!C40+0</f>
        <v>4</v>
      </c>
      <c r="I59" s="22" t="str">
        <f>VLOOKUP(H59,[1]Tables!$A$1:$B$3,2,FALSE)</f>
        <v>ASL + Monica</v>
      </c>
      <c r="J59" s="22" t="str">
        <f>'[1]2016'!D40</f>
        <v>521</v>
      </c>
      <c r="K59" s="21" t="str">
        <f>'[1]2016'!E40</f>
        <v xml:space="preserve">Enlevement dechets vegetaux </v>
      </c>
      <c r="L59" s="20">
        <f t="shared" si="1"/>
        <v>42370</v>
      </c>
      <c r="M59" s="18" t="s">
        <v>4204</v>
      </c>
      <c r="N59" s="18" t="s">
        <v>4204</v>
      </c>
      <c r="O59" s="19">
        <f>'[1]2016'!F40</f>
        <v>0</v>
      </c>
      <c r="P59" s="18" t="s">
        <v>4204</v>
      </c>
      <c r="Q59" s="17"/>
    </row>
    <row r="60" spans="1:17" x14ac:dyDescent="0.4">
      <c r="A60" s="25" t="s">
        <v>15</v>
      </c>
      <c r="B60" s="25" t="s">
        <v>16</v>
      </c>
      <c r="C60" s="24">
        <v>42370</v>
      </c>
      <c r="D60" s="24">
        <v>42735</v>
      </c>
      <c r="E60" s="23" t="s">
        <v>30</v>
      </c>
      <c r="F60" s="22">
        <f>'[1]2016'!B41+0</f>
        <v>0</v>
      </c>
      <c r="G60" s="22" t="s">
        <v>4205</v>
      </c>
      <c r="H60" s="22">
        <f>'[1]2016'!C41+0</f>
        <v>4</v>
      </c>
      <c r="I60" s="22" t="str">
        <f>VLOOKUP(H60,[1]Tables!$A$1:$B$3,2,FALSE)</f>
        <v>ASL + Monica</v>
      </c>
      <c r="J60" s="22" t="str">
        <f>'[1]2016'!D41</f>
        <v>526</v>
      </c>
      <c r="K60" s="21" t="str">
        <f>'[1]2016'!E41</f>
        <v>Fourniture arrosage autornat.</v>
      </c>
      <c r="L60" s="20">
        <f t="shared" si="1"/>
        <v>42370</v>
      </c>
      <c r="M60" s="18" t="s">
        <v>4204</v>
      </c>
      <c r="N60" s="18" t="s">
        <v>4204</v>
      </c>
      <c r="O60" s="19">
        <f>'[1]2016'!F41</f>
        <v>0</v>
      </c>
      <c r="P60" s="18" t="s">
        <v>4204</v>
      </c>
      <c r="Q60" s="17"/>
    </row>
    <row r="61" spans="1:17" x14ac:dyDescent="0.4">
      <c r="A61" s="25" t="s">
        <v>15</v>
      </c>
      <c r="B61" s="25" t="s">
        <v>16</v>
      </c>
      <c r="C61" s="24">
        <v>42370</v>
      </c>
      <c r="D61" s="24">
        <v>42735</v>
      </c>
      <c r="E61" s="23" t="s">
        <v>30</v>
      </c>
      <c r="F61" s="22">
        <f>'[1]2016'!B42+0</f>
        <v>0</v>
      </c>
      <c r="G61" s="22" t="s">
        <v>4205</v>
      </c>
      <c r="H61" s="22">
        <f>'[1]2016'!C42+0</f>
        <v>4</v>
      </c>
      <c r="I61" s="22" t="str">
        <f>VLOOKUP(H61,[1]Tables!$A$1:$B$3,2,FALSE)</f>
        <v>ASL + Monica</v>
      </c>
      <c r="J61" s="22" t="str">
        <f>'[1]2016'!D42</f>
        <v>621</v>
      </c>
      <c r="K61" s="21" t="str">
        <f>'[1]2016'!E42</f>
        <v>Traitement chenilles process.</v>
      </c>
      <c r="L61" s="20">
        <f t="shared" si="1"/>
        <v>42370</v>
      </c>
      <c r="M61" s="18" t="s">
        <v>4204</v>
      </c>
      <c r="N61" s="18" t="s">
        <v>4204</v>
      </c>
      <c r="O61" s="19">
        <f>'[1]2016'!F42</f>
        <v>648</v>
      </c>
      <c r="P61" s="18" t="s">
        <v>4204</v>
      </c>
      <c r="Q61" s="17"/>
    </row>
    <row r="62" spans="1:17" x14ac:dyDescent="0.4">
      <c r="A62" s="25" t="s">
        <v>15</v>
      </c>
      <c r="B62" s="25" t="s">
        <v>16</v>
      </c>
      <c r="C62" s="24">
        <v>42370</v>
      </c>
      <c r="D62" s="24">
        <v>42735</v>
      </c>
      <c r="E62" s="23" t="s">
        <v>30</v>
      </c>
      <c r="F62" s="22">
        <f>'[1]2016'!B43+0</f>
        <v>0</v>
      </c>
      <c r="G62" s="22" t="s">
        <v>4205</v>
      </c>
      <c r="H62" s="22">
        <f>'[1]2016'!C43+0</f>
        <v>4</v>
      </c>
      <c r="I62" s="22" t="str">
        <f>VLOOKUP(H62,[1]Tables!$A$1:$B$3,2,FALSE)</f>
        <v>ASL + Monica</v>
      </c>
      <c r="J62" s="22" t="str">
        <f>'[1]2016'!D43</f>
        <v>622</v>
      </c>
      <c r="K62" s="21" t="str">
        <f>'[1]2016'!E43</f>
        <v xml:space="preserve">Travaux elagage et abattage </v>
      </c>
      <c r="L62" s="20">
        <f t="shared" si="1"/>
        <v>42370</v>
      </c>
      <c r="M62" s="18" t="s">
        <v>4204</v>
      </c>
      <c r="N62" s="18" t="s">
        <v>4204</v>
      </c>
      <c r="O62" s="19">
        <f>'[1]2016'!F43</f>
        <v>2872.2</v>
      </c>
      <c r="P62" s="18" t="s">
        <v>4204</v>
      </c>
      <c r="Q62" s="17"/>
    </row>
    <row r="63" spans="1:17" x14ac:dyDescent="0.4">
      <c r="A63" s="25" t="s">
        <v>15</v>
      </c>
      <c r="B63" s="25" t="s">
        <v>16</v>
      </c>
      <c r="C63" s="24">
        <v>42370</v>
      </c>
      <c r="D63" s="24">
        <v>42735</v>
      </c>
      <c r="E63" s="23" t="s">
        <v>30</v>
      </c>
      <c r="F63" s="22">
        <f>'[1]2016'!B44+0</f>
        <v>0</v>
      </c>
      <c r="G63" s="22" t="s">
        <v>4205</v>
      </c>
      <c r="H63" s="22">
        <f>'[1]2016'!C44+0</f>
        <v>4</v>
      </c>
      <c r="I63" s="22" t="str">
        <f>VLOOKUP(H63,[1]Tables!$A$1:$B$3,2,FALSE)</f>
        <v>ASL + Monica</v>
      </c>
      <c r="J63" s="22" t="str">
        <f>'[1]2016'!D44</f>
        <v>624</v>
      </c>
      <c r="K63" s="21" t="str">
        <f>'[1]2016'!E44</f>
        <v>Contrat espaces verts</v>
      </c>
      <c r="L63" s="20">
        <f t="shared" si="1"/>
        <v>42370</v>
      </c>
      <c r="M63" s="18" t="s">
        <v>4204</v>
      </c>
      <c r="N63" s="18" t="s">
        <v>4204</v>
      </c>
      <c r="O63" s="19">
        <f>'[1]2016'!F44</f>
        <v>0</v>
      </c>
      <c r="P63" s="18" t="s">
        <v>4204</v>
      </c>
      <c r="Q63" s="17"/>
    </row>
    <row r="64" spans="1:17" x14ac:dyDescent="0.4">
      <c r="A64" s="25" t="s">
        <v>15</v>
      </c>
      <c r="B64" s="25" t="s">
        <v>16</v>
      </c>
      <c r="C64" s="24">
        <v>42370</v>
      </c>
      <c r="D64" s="24">
        <v>42735</v>
      </c>
      <c r="E64" s="23" t="s">
        <v>30</v>
      </c>
      <c r="F64" s="22">
        <f>'[1]2016'!B45+0</f>
        <v>0</v>
      </c>
      <c r="G64" s="22" t="s">
        <v>4205</v>
      </c>
      <c r="H64" s="22">
        <f>'[1]2016'!C45+0</f>
        <v>4</v>
      </c>
      <c r="I64" s="22" t="str">
        <f>VLOOKUP(H64,[1]Tables!$A$1:$B$3,2,FALSE)</f>
        <v>ASL + Monica</v>
      </c>
      <c r="J64" s="22" t="str">
        <f>'[1]2016'!D45</f>
        <v>625</v>
      </c>
      <c r="K64" s="21" t="str">
        <f>'[1]2016'!E45</f>
        <v>Fourniture vegetaux</v>
      </c>
      <c r="L64" s="20">
        <f t="shared" si="1"/>
        <v>42370</v>
      </c>
      <c r="M64" s="18" t="s">
        <v>4204</v>
      </c>
      <c r="N64" s="18" t="s">
        <v>4204</v>
      </c>
      <c r="O64" s="19">
        <f>'[1]2016'!F45</f>
        <v>1543.96</v>
      </c>
      <c r="P64" s="18" t="s">
        <v>4204</v>
      </c>
      <c r="Q64" s="17"/>
    </row>
    <row r="65" spans="1:17" x14ac:dyDescent="0.4">
      <c r="A65" s="25" t="s">
        <v>15</v>
      </c>
      <c r="B65" s="25" t="s">
        <v>16</v>
      </c>
      <c r="C65" s="24">
        <v>42370</v>
      </c>
      <c r="D65" s="24">
        <v>42735</v>
      </c>
      <c r="E65" s="23" t="s">
        <v>30</v>
      </c>
      <c r="F65" s="22">
        <f>'[1]2016'!B46+0</f>
        <v>0</v>
      </c>
      <c r="G65" s="22" t="s">
        <v>4205</v>
      </c>
      <c r="H65" s="22">
        <f>'[1]2016'!C46+0</f>
        <v>4</v>
      </c>
      <c r="I65" s="22" t="str">
        <f>VLOOKUP(H65,[1]Tables!$A$1:$B$3,2,FALSE)</f>
        <v>ASL + Monica</v>
      </c>
      <c r="J65" s="22" t="str">
        <f>'[1]2016'!D46</f>
        <v>626</v>
      </c>
      <c r="K65" s="21" t="str">
        <f>'[1]2016'!E46</f>
        <v xml:space="preserve">Surv. cpteur jardins </v>
      </c>
      <c r="L65" s="20">
        <f t="shared" si="1"/>
        <v>42370</v>
      </c>
      <c r="M65" s="18" t="s">
        <v>4204</v>
      </c>
      <c r="N65" s="18" t="s">
        <v>4204</v>
      </c>
      <c r="O65" s="19">
        <f>'[1]2016'!F46</f>
        <v>110.02</v>
      </c>
      <c r="P65" s="18" t="s">
        <v>4204</v>
      </c>
      <c r="Q65" s="17"/>
    </row>
    <row r="66" spans="1:17" x14ac:dyDescent="0.4">
      <c r="A66" s="25" t="s">
        <v>15</v>
      </c>
      <c r="B66" s="25" t="s">
        <v>16</v>
      </c>
      <c r="C66" s="24">
        <v>42370</v>
      </c>
      <c r="D66" s="24">
        <v>42735</v>
      </c>
      <c r="E66" s="23" t="s">
        <v>30</v>
      </c>
      <c r="F66" s="22">
        <f>'[1]2016'!B47+0</f>
        <v>0</v>
      </c>
      <c r="G66" s="22" t="s">
        <v>4205</v>
      </c>
      <c r="H66" s="22">
        <f>'[1]2016'!C47+0</f>
        <v>4</v>
      </c>
      <c r="I66" s="22" t="str">
        <f>VLOOKUP(H66,[1]Tables!$A$1:$B$3,2,FALSE)</f>
        <v>ASL + Monica</v>
      </c>
      <c r="J66" s="22" t="str">
        <f>'[1]2016'!D47</f>
        <v>784</v>
      </c>
      <c r="K66" s="21" t="str">
        <f>'[1]2016'!E47</f>
        <v>Eau d'arrosage</v>
      </c>
      <c r="L66" s="20">
        <f t="shared" ref="L66:L97" si="2">C66</f>
        <v>42370</v>
      </c>
      <c r="M66" s="18" t="s">
        <v>4204</v>
      </c>
      <c r="N66" s="18" t="s">
        <v>4204</v>
      </c>
      <c r="O66" s="19">
        <f>'[1]2016'!F47</f>
        <v>3405.85</v>
      </c>
      <c r="P66" s="18" t="s">
        <v>4204</v>
      </c>
      <c r="Q66" s="17"/>
    </row>
    <row r="67" spans="1:17" ht="29.15" x14ac:dyDescent="0.4">
      <c r="A67" s="25" t="s">
        <v>15</v>
      </c>
      <c r="B67" s="25" t="s">
        <v>16</v>
      </c>
      <c r="C67" s="24">
        <v>42370</v>
      </c>
      <c r="D67" s="24">
        <v>42735</v>
      </c>
      <c r="E67" s="23" t="s">
        <v>30</v>
      </c>
      <c r="F67" s="22">
        <f>'[1]2016'!B50+0</f>
        <v>0</v>
      </c>
      <c r="G67" s="22" t="s">
        <v>4205</v>
      </c>
      <c r="H67" s="22">
        <f>'[1]2016'!C50+0</f>
        <v>46</v>
      </c>
      <c r="I67" s="22" t="str">
        <f>VLOOKUP(H67,[1]Tables!$A$1:$B$3,2,FALSE)</f>
        <v>Charges spéciales Villa 1</v>
      </c>
      <c r="J67" s="22" t="str">
        <f>'[1]2016'!D50</f>
        <v>521</v>
      </c>
      <c r="K67" s="21" t="str">
        <f>'[1]2016'!E50</f>
        <v>Entretien jardins</v>
      </c>
      <c r="L67" s="20">
        <f t="shared" si="2"/>
        <v>42370</v>
      </c>
      <c r="M67" s="18" t="s">
        <v>4204</v>
      </c>
      <c r="N67" s="18" t="s">
        <v>4204</v>
      </c>
      <c r="O67" s="19">
        <f>'[1]2016'!F50</f>
        <v>1837.91</v>
      </c>
      <c r="P67" s="18" t="s">
        <v>4204</v>
      </c>
      <c r="Q67" s="17"/>
    </row>
    <row r="68" spans="1:17" x14ac:dyDescent="0.4">
      <c r="A68" s="25" t="s">
        <v>15</v>
      </c>
      <c r="B68" s="25" t="s">
        <v>16</v>
      </c>
      <c r="C68" s="24">
        <v>42736</v>
      </c>
      <c r="D68" s="24">
        <v>43100</v>
      </c>
      <c r="E68" s="23" t="s">
        <v>30</v>
      </c>
      <c r="F68" s="22">
        <f>'[1]2017'!B12+0</f>
        <v>0</v>
      </c>
      <c r="G68" s="22" t="s">
        <v>4205</v>
      </c>
      <c r="H68" s="22">
        <f>'[1]2017'!C12+0</f>
        <v>4</v>
      </c>
      <c r="I68" s="22" t="str">
        <f>VLOOKUP(H68,[1]Tables!$A$1:$B$3,2,FALSE)</f>
        <v>ASL + Monica</v>
      </c>
      <c r="J68" s="22" t="str">
        <f>'[1]2017'!D12</f>
        <v>106</v>
      </c>
      <c r="K68" s="21" t="str">
        <f>'[1]2017'!E12</f>
        <v>Travaux plomberie</v>
      </c>
      <c r="L68" s="20">
        <f t="shared" si="2"/>
        <v>42736</v>
      </c>
      <c r="M68" s="18" t="s">
        <v>4204</v>
      </c>
      <c r="N68" s="18" t="s">
        <v>4204</v>
      </c>
      <c r="O68" s="19">
        <f>'[1]2017'!F12</f>
        <v>0</v>
      </c>
      <c r="P68" s="18" t="s">
        <v>4204</v>
      </c>
      <c r="Q68" s="17"/>
    </row>
    <row r="69" spans="1:17" x14ac:dyDescent="0.4">
      <c r="A69" s="25" t="s">
        <v>15</v>
      </c>
      <c r="B69" s="25" t="s">
        <v>16</v>
      </c>
      <c r="C69" s="24">
        <v>42736</v>
      </c>
      <c r="D69" s="24">
        <v>43100</v>
      </c>
      <c r="E69" s="23" t="s">
        <v>30</v>
      </c>
      <c r="F69" s="22">
        <f>'[1]2017'!B13+0</f>
        <v>0</v>
      </c>
      <c r="G69" s="22" t="s">
        <v>4205</v>
      </c>
      <c r="H69" s="22">
        <f>'[1]2017'!C13+0</f>
        <v>4</v>
      </c>
      <c r="I69" s="22" t="str">
        <f>VLOOKUP(H69,[1]Tables!$A$1:$B$3,2,FALSE)</f>
        <v>ASL + Monica</v>
      </c>
      <c r="J69" s="22" t="str">
        <f>'[1]2017'!D13</f>
        <v>195</v>
      </c>
      <c r="K69" s="21" t="str">
        <f>'[1]2017'!E13</f>
        <v>Entretien serrurerie</v>
      </c>
      <c r="L69" s="20">
        <f t="shared" si="2"/>
        <v>42736</v>
      </c>
      <c r="M69" s="18" t="s">
        <v>4204</v>
      </c>
      <c r="N69" s="18" t="s">
        <v>4204</v>
      </c>
      <c r="O69" s="19">
        <f>'[1]2017'!F13</f>
        <v>0</v>
      </c>
      <c r="P69" s="18" t="s">
        <v>4204</v>
      </c>
      <c r="Q69" s="17"/>
    </row>
    <row r="70" spans="1:17" x14ac:dyDescent="0.4">
      <c r="A70" s="25" t="s">
        <v>15</v>
      </c>
      <c r="B70" s="25" t="s">
        <v>16</v>
      </c>
      <c r="C70" s="24">
        <v>42736</v>
      </c>
      <c r="D70" s="24">
        <v>43100</v>
      </c>
      <c r="E70" s="23" t="s">
        <v>30</v>
      </c>
      <c r="F70" s="22">
        <f>'[1]2017'!B14+0</f>
        <v>0</v>
      </c>
      <c r="G70" s="22" t="s">
        <v>4205</v>
      </c>
      <c r="H70" s="22">
        <f>'[1]2017'!C14+0</f>
        <v>4</v>
      </c>
      <c r="I70" s="22" t="str">
        <f>VLOOKUP(H70,[1]Tables!$A$1:$B$3,2,FALSE)</f>
        <v>ASL + Monica</v>
      </c>
      <c r="J70" s="22" t="str">
        <f>'[1]2017'!D14</f>
        <v>236</v>
      </c>
      <c r="K70" s="21" t="str">
        <f>'[1]2017'!E14</f>
        <v>Regul. miroir signalisation</v>
      </c>
      <c r="L70" s="20">
        <f t="shared" si="2"/>
        <v>42736</v>
      </c>
      <c r="M70" s="18" t="s">
        <v>4204</v>
      </c>
      <c r="N70" s="18" t="s">
        <v>4204</v>
      </c>
      <c r="O70" s="19">
        <f>'[1]2017'!F14</f>
        <v>0</v>
      </c>
      <c r="P70" s="18" t="s">
        <v>4204</v>
      </c>
      <c r="Q70" s="17"/>
    </row>
    <row r="71" spans="1:17" x14ac:dyDescent="0.4">
      <c r="A71" s="25" t="s">
        <v>15</v>
      </c>
      <c r="B71" s="25" t="s">
        <v>16</v>
      </c>
      <c r="C71" s="24">
        <v>42736</v>
      </c>
      <c r="D71" s="24">
        <v>43100</v>
      </c>
      <c r="E71" s="23" t="s">
        <v>30</v>
      </c>
      <c r="F71" s="22">
        <f>'[1]2017'!B15+0</f>
        <v>0</v>
      </c>
      <c r="G71" s="22" t="s">
        <v>4205</v>
      </c>
      <c r="H71" s="22">
        <f>'[1]2017'!C15+0</f>
        <v>4</v>
      </c>
      <c r="I71" s="22" t="str">
        <f>VLOOKUP(H71,[1]Tables!$A$1:$B$3,2,FALSE)</f>
        <v>ASL + Monica</v>
      </c>
      <c r="J71" s="22" t="str">
        <f>'[1]2017'!D15</f>
        <v>269</v>
      </c>
      <c r="K71" s="21" t="str">
        <f>'[1]2017'!E15</f>
        <v>EDF Piscine</v>
      </c>
      <c r="L71" s="20">
        <f t="shared" si="2"/>
        <v>42736</v>
      </c>
      <c r="M71" s="18" t="s">
        <v>4204</v>
      </c>
      <c r="N71" s="18" t="s">
        <v>4204</v>
      </c>
      <c r="O71" s="19">
        <f>'[1]2017'!F15</f>
        <v>1797.7</v>
      </c>
      <c r="P71" s="18" t="s">
        <v>4204</v>
      </c>
      <c r="Q71" s="17"/>
    </row>
    <row r="72" spans="1:17" x14ac:dyDescent="0.4">
      <c r="A72" s="25" t="s">
        <v>15</v>
      </c>
      <c r="B72" s="25" t="s">
        <v>16</v>
      </c>
      <c r="C72" s="24">
        <v>42736</v>
      </c>
      <c r="D72" s="24">
        <v>43100</v>
      </c>
      <c r="E72" s="23" t="s">
        <v>30</v>
      </c>
      <c r="F72" s="22">
        <f>'[1]2017'!B16+0</f>
        <v>0</v>
      </c>
      <c r="G72" s="22" t="s">
        <v>4205</v>
      </c>
      <c r="H72" s="22">
        <f>'[1]2017'!C16+0</f>
        <v>4</v>
      </c>
      <c r="I72" s="22" t="str">
        <f>VLOOKUP(H72,[1]Tables!$A$1:$B$3,2,FALSE)</f>
        <v>ASL + Monica</v>
      </c>
      <c r="J72" s="22" t="str">
        <f>'[1]2017'!D16</f>
        <v>281</v>
      </c>
      <c r="K72" s="21" t="str">
        <f>'[1]2017'!E16</f>
        <v>Consommation eau piscine</v>
      </c>
      <c r="L72" s="20">
        <f t="shared" si="2"/>
        <v>42736</v>
      </c>
      <c r="M72" s="18" t="s">
        <v>4204</v>
      </c>
      <c r="N72" s="18" t="s">
        <v>4204</v>
      </c>
      <c r="O72" s="19">
        <f>'[1]2017'!F16</f>
        <v>1090.32</v>
      </c>
      <c r="P72" s="18" t="s">
        <v>4204</v>
      </c>
      <c r="Q72" s="17"/>
    </row>
    <row r="73" spans="1:17" x14ac:dyDescent="0.4">
      <c r="A73" s="25" t="s">
        <v>15</v>
      </c>
      <c r="B73" s="25" t="s">
        <v>16</v>
      </c>
      <c r="C73" s="24">
        <v>42736</v>
      </c>
      <c r="D73" s="24">
        <v>43100</v>
      </c>
      <c r="E73" s="23" t="s">
        <v>30</v>
      </c>
      <c r="F73" s="22">
        <f>'[1]2017'!B17+0</f>
        <v>0</v>
      </c>
      <c r="G73" s="22" t="s">
        <v>4205</v>
      </c>
      <c r="H73" s="22">
        <f>'[1]2017'!C17+0</f>
        <v>4</v>
      </c>
      <c r="I73" s="22" t="str">
        <f>VLOOKUP(H73,[1]Tables!$A$1:$B$3,2,FALSE)</f>
        <v>ASL + Monica</v>
      </c>
      <c r="J73" s="22" t="str">
        <f>'[1]2017'!D17</f>
        <v>401</v>
      </c>
      <c r="K73" s="21" t="str">
        <f>'[1]2017'!E17</f>
        <v>Honoraires Syndic</v>
      </c>
      <c r="L73" s="20">
        <f t="shared" si="2"/>
        <v>42736</v>
      </c>
      <c r="M73" s="18" t="s">
        <v>4204</v>
      </c>
      <c r="N73" s="18" t="s">
        <v>4204</v>
      </c>
      <c r="O73" s="19">
        <f>'[1]2017'!F17</f>
        <v>12516</v>
      </c>
      <c r="P73" s="18" t="s">
        <v>4204</v>
      </c>
      <c r="Q73" s="17"/>
    </row>
    <row r="74" spans="1:17" x14ac:dyDescent="0.4">
      <c r="A74" s="25" t="s">
        <v>15</v>
      </c>
      <c r="B74" s="25" t="s">
        <v>16</v>
      </c>
      <c r="C74" s="24">
        <v>42736</v>
      </c>
      <c r="D74" s="24">
        <v>43100</v>
      </c>
      <c r="E74" s="23" t="s">
        <v>30</v>
      </c>
      <c r="F74" s="22">
        <f>'[1]2017'!B18+0</f>
        <v>0</v>
      </c>
      <c r="G74" s="22" t="s">
        <v>4205</v>
      </c>
      <c r="H74" s="22">
        <f>'[1]2017'!C18+0</f>
        <v>4</v>
      </c>
      <c r="I74" s="22" t="str">
        <f>VLOOKUP(H74,[1]Tables!$A$1:$B$3,2,FALSE)</f>
        <v>ASL + Monica</v>
      </c>
      <c r="J74" s="22" t="str">
        <f>'[1]2017'!D18</f>
        <v>481</v>
      </c>
      <c r="K74" s="21" t="str">
        <f>'[1]2017'!E18</f>
        <v>Taxe tonciere</v>
      </c>
      <c r="L74" s="20">
        <f t="shared" si="2"/>
        <v>42736</v>
      </c>
      <c r="M74" s="18" t="s">
        <v>4204</v>
      </c>
      <c r="N74" s="18" t="s">
        <v>4204</v>
      </c>
      <c r="O74" s="19">
        <f>'[1]2017'!F18</f>
        <v>1404</v>
      </c>
      <c r="P74" s="18" t="s">
        <v>4204</v>
      </c>
      <c r="Q74" s="17"/>
    </row>
    <row r="75" spans="1:17" x14ac:dyDescent="0.4">
      <c r="A75" s="25" t="s">
        <v>15</v>
      </c>
      <c r="B75" s="25" t="s">
        <v>16</v>
      </c>
      <c r="C75" s="24">
        <v>42736</v>
      </c>
      <c r="D75" s="24">
        <v>43100</v>
      </c>
      <c r="E75" s="23" t="s">
        <v>30</v>
      </c>
      <c r="F75" s="22">
        <f>'[1]2017'!B19+0</f>
        <v>0</v>
      </c>
      <c r="G75" s="22" t="s">
        <v>4205</v>
      </c>
      <c r="H75" s="22">
        <f>'[1]2017'!C19+0</f>
        <v>4</v>
      </c>
      <c r="I75" s="22" t="str">
        <f>VLOOKUP(H75,[1]Tables!$A$1:$B$3,2,FALSE)</f>
        <v>ASL + Monica</v>
      </c>
      <c r="J75" s="22" t="str">
        <f>'[1]2017'!D19</f>
        <v>482</v>
      </c>
      <c r="K75" s="21" t="str">
        <f>'[1]2017'!E19</f>
        <v>Taxe d'habitation</v>
      </c>
      <c r="L75" s="20">
        <f t="shared" si="2"/>
        <v>42736</v>
      </c>
      <c r="M75" s="18" t="s">
        <v>4204</v>
      </c>
      <c r="N75" s="18" t="s">
        <v>4204</v>
      </c>
      <c r="O75" s="19">
        <f>'[1]2017'!F19</f>
        <v>1264</v>
      </c>
      <c r="P75" s="18" t="s">
        <v>4204</v>
      </c>
      <c r="Q75" s="17"/>
    </row>
    <row r="76" spans="1:17" x14ac:dyDescent="0.4">
      <c r="A76" s="25" t="s">
        <v>15</v>
      </c>
      <c r="B76" s="25" t="s">
        <v>16</v>
      </c>
      <c r="C76" s="24">
        <v>42736</v>
      </c>
      <c r="D76" s="24">
        <v>43100</v>
      </c>
      <c r="E76" s="23" t="s">
        <v>30</v>
      </c>
      <c r="F76" s="22">
        <f>'[1]2017'!B20+0</f>
        <v>0</v>
      </c>
      <c r="G76" s="22" t="s">
        <v>4205</v>
      </c>
      <c r="H76" s="22">
        <f>'[1]2017'!C20+0</f>
        <v>4</v>
      </c>
      <c r="I76" s="22" t="str">
        <f>VLOOKUP(H76,[1]Tables!$A$1:$B$3,2,FALSE)</f>
        <v>ASL + Monica</v>
      </c>
      <c r="J76" s="22" t="str">
        <f>'[1]2017'!D20</f>
        <v>702</v>
      </c>
      <c r="K76" s="21" t="str">
        <f>'[1]2017'!E20</f>
        <v>Contrat entr extincteurs</v>
      </c>
      <c r="L76" s="20">
        <f t="shared" si="2"/>
        <v>42736</v>
      </c>
      <c r="M76" s="18" t="s">
        <v>4204</v>
      </c>
      <c r="N76" s="18" t="s">
        <v>4204</v>
      </c>
      <c r="O76" s="19">
        <f>'[1]2017'!F20</f>
        <v>22.66</v>
      </c>
      <c r="P76" s="18" t="s">
        <v>4204</v>
      </c>
      <c r="Q76" s="17"/>
    </row>
    <row r="77" spans="1:17" x14ac:dyDescent="0.4">
      <c r="A77" s="25" t="s">
        <v>15</v>
      </c>
      <c r="B77" s="25" t="s">
        <v>16</v>
      </c>
      <c r="C77" s="24">
        <v>42736</v>
      </c>
      <c r="D77" s="24">
        <v>43100</v>
      </c>
      <c r="E77" s="23" t="s">
        <v>30</v>
      </c>
      <c r="F77" s="22">
        <f>'[1]2017'!B21+0</f>
        <v>0</v>
      </c>
      <c r="G77" s="22" t="s">
        <v>4205</v>
      </c>
      <c r="H77" s="22">
        <f>'[1]2017'!C21+0</f>
        <v>4</v>
      </c>
      <c r="I77" s="22" t="str">
        <f>VLOOKUP(H77,[1]Tables!$A$1:$B$3,2,FALSE)</f>
        <v>ASL + Monica</v>
      </c>
      <c r="J77" s="22" t="str">
        <f>'[1]2017'!D21</f>
        <v>706</v>
      </c>
      <c r="K77" s="21" t="str">
        <f>'[1]2017'!E21</f>
        <v>Entretien extincteurs</v>
      </c>
      <c r="L77" s="20">
        <f t="shared" si="2"/>
        <v>42736</v>
      </c>
      <c r="M77" s="18" t="s">
        <v>4204</v>
      </c>
      <c r="N77" s="18" t="s">
        <v>4204</v>
      </c>
      <c r="O77" s="19">
        <f>'[1]2017'!F21</f>
        <v>0</v>
      </c>
      <c r="P77" s="18" t="s">
        <v>4204</v>
      </c>
      <c r="Q77" s="17"/>
    </row>
    <row r="78" spans="1:17" x14ac:dyDescent="0.4">
      <c r="A78" s="25" t="s">
        <v>15</v>
      </c>
      <c r="B78" s="25" t="s">
        <v>16</v>
      </c>
      <c r="C78" s="24">
        <v>42736</v>
      </c>
      <c r="D78" s="24">
        <v>43100</v>
      </c>
      <c r="E78" s="23" t="s">
        <v>30</v>
      </c>
      <c r="F78" s="22">
        <f>'[1]2017'!B22+0</f>
        <v>0</v>
      </c>
      <c r="G78" s="22" t="s">
        <v>4205</v>
      </c>
      <c r="H78" s="22">
        <f>'[1]2017'!C22+0</f>
        <v>4</v>
      </c>
      <c r="I78" s="22" t="str">
        <f>VLOOKUP(H78,[1]Tables!$A$1:$B$3,2,FALSE)</f>
        <v>ASL + Monica</v>
      </c>
      <c r="J78" s="22" t="str">
        <f>'[1]2017'!D22</f>
        <v>851</v>
      </c>
      <c r="K78" s="21" t="str">
        <f>'[1]2017'!E22</f>
        <v>Contrat piscine</v>
      </c>
      <c r="L78" s="20">
        <f t="shared" si="2"/>
        <v>42736</v>
      </c>
      <c r="M78" s="18" t="s">
        <v>4204</v>
      </c>
      <c r="N78" s="18" t="s">
        <v>4204</v>
      </c>
      <c r="O78" s="19">
        <f>'[1]2017'!F22</f>
        <v>0</v>
      </c>
      <c r="P78" s="18" t="s">
        <v>4204</v>
      </c>
      <c r="Q78" s="17"/>
    </row>
    <row r="79" spans="1:17" x14ac:dyDescent="0.4">
      <c r="A79" s="25" t="s">
        <v>15</v>
      </c>
      <c r="B79" s="25" t="s">
        <v>16</v>
      </c>
      <c r="C79" s="24">
        <v>42736</v>
      </c>
      <c r="D79" s="24">
        <v>43100</v>
      </c>
      <c r="E79" s="23" t="s">
        <v>30</v>
      </c>
      <c r="F79" s="22">
        <f>'[1]2017'!B23+0</f>
        <v>0</v>
      </c>
      <c r="G79" s="22" t="s">
        <v>4205</v>
      </c>
      <c r="H79" s="22">
        <f>'[1]2017'!C23+0</f>
        <v>4</v>
      </c>
      <c r="I79" s="22" t="str">
        <f>VLOOKUP(H79,[1]Tables!$A$1:$B$3,2,FALSE)</f>
        <v>ASL + Monica</v>
      </c>
      <c r="J79" s="22" t="str">
        <f>'[1]2017'!D23</f>
        <v>856</v>
      </c>
      <c r="K79" s="21" t="str">
        <f>'[1]2017'!E23</f>
        <v>Travaux piscine</v>
      </c>
      <c r="L79" s="20">
        <f t="shared" si="2"/>
        <v>42736</v>
      </c>
      <c r="M79" s="18" t="s">
        <v>4204</v>
      </c>
      <c r="N79" s="18" t="s">
        <v>4204</v>
      </c>
      <c r="O79" s="19">
        <f>'[1]2017'!F23</f>
        <v>0</v>
      </c>
      <c r="P79" s="18" t="s">
        <v>4204</v>
      </c>
      <c r="Q79" s="17"/>
    </row>
    <row r="80" spans="1:17" x14ac:dyDescent="0.4">
      <c r="A80" s="25" t="s">
        <v>15</v>
      </c>
      <c r="B80" s="25" t="s">
        <v>16</v>
      </c>
      <c r="C80" s="24">
        <v>42736</v>
      </c>
      <c r="D80" s="24">
        <v>43100</v>
      </c>
      <c r="E80" s="23" t="s">
        <v>30</v>
      </c>
      <c r="F80" s="22">
        <f>'[1]2017'!B24+0</f>
        <v>0</v>
      </c>
      <c r="G80" s="22" t="s">
        <v>4205</v>
      </c>
      <c r="H80" s="22">
        <f>'[1]2017'!C24+0</f>
        <v>4</v>
      </c>
      <c r="I80" s="22" t="str">
        <f>VLOOKUP(H80,[1]Tables!$A$1:$B$3,2,FALSE)</f>
        <v>ASL + Monica</v>
      </c>
      <c r="J80" s="22" t="str">
        <f>'[1]2017'!D24</f>
        <v>857</v>
      </c>
      <c r="K80" s="21" t="str">
        <f>'[1]2017'!E24</f>
        <v>Fournitures piscine</v>
      </c>
      <c r="L80" s="20">
        <f t="shared" si="2"/>
        <v>42736</v>
      </c>
      <c r="M80" s="18" t="s">
        <v>4204</v>
      </c>
      <c r="N80" s="18" t="s">
        <v>4204</v>
      </c>
      <c r="O80" s="19">
        <f>'[1]2017'!F24</f>
        <v>1045.6500000000001</v>
      </c>
      <c r="P80" s="18" t="s">
        <v>4204</v>
      </c>
      <c r="Q80" s="17"/>
    </row>
    <row r="81" spans="1:17" x14ac:dyDescent="0.4">
      <c r="A81" s="25" t="s">
        <v>15</v>
      </c>
      <c r="B81" s="25" t="s">
        <v>16</v>
      </c>
      <c r="C81" s="24">
        <v>42736</v>
      </c>
      <c r="D81" s="24">
        <v>43100</v>
      </c>
      <c r="E81" s="23" t="s">
        <v>30</v>
      </c>
      <c r="F81" s="22">
        <f>'[1]2017'!B25+0</f>
        <v>0</v>
      </c>
      <c r="G81" s="22" t="s">
        <v>4205</v>
      </c>
      <c r="H81" s="22">
        <f>'[1]2017'!C25+0</f>
        <v>4</v>
      </c>
      <c r="I81" s="22" t="str">
        <f>VLOOKUP(H81,[1]Tables!$A$1:$B$3,2,FALSE)</f>
        <v>ASL + Monica</v>
      </c>
      <c r="J81" s="22" t="str">
        <f>'[1]2017'!D25</f>
        <v>858</v>
      </c>
      <c r="K81" s="21" t="str">
        <f>'[1]2017'!E25</f>
        <v>Analyses Piscine</v>
      </c>
      <c r="L81" s="20">
        <f t="shared" si="2"/>
        <v>42736</v>
      </c>
      <c r="M81" s="18" t="s">
        <v>4204</v>
      </c>
      <c r="N81" s="18" t="s">
        <v>4204</v>
      </c>
      <c r="O81" s="19">
        <f>'[1]2017'!F25</f>
        <v>242.4</v>
      </c>
      <c r="P81" s="18" t="s">
        <v>4204</v>
      </c>
      <c r="Q81" s="17"/>
    </row>
    <row r="82" spans="1:17" x14ac:dyDescent="0.4">
      <c r="A82" s="25" t="s">
        <v>15</v>
      </c>
      <c r="B82" s="25" t="s">
        <v>16</v>
      </c>
      <c r="C82" s="24">
        <v>42736</v>
      </c>
      <c r="D82" s="24">
        <v>43100</v>
      </c>
      <c r="E82" s="23" t="s">
        <v>30</v>
      </c>
      <c r="F82" s="22">
        <f>'[1]2017'!B26+0</f>
        <v>0</v>
      </c>
      <c r="G82" s="22" t="s">
        <v>4205</v>
      </c>
      <c r="H82" s="22">
        <f>'[1]2017'!C26+0</f>
        <v>4</v>
      </c>
      <c r="I82" s="22" t="str">
        <f>VLOOKUP(H82,[1]Tables!$A$1:$B$3,2,FALSE)</f>
        <v>ASL + Monica</v>
      </c>
      <c r="J82" s="22" t="str">
        <f>'[1]2017'!D26</f>
        <v>892</v>
      </c>
      <c r="K82" s="21" t="str">
        <f>'[1]2017'!E26</f>
        <v>Deduct, Q/P Honoraires 01ER</v>
      </c>
      <c r="L82" s="20">
        <f t="shared" si="2"/>
        <v>42736</v>
      </c>
      <c r="M82" s="18" t="s">
        <v>4204</v>
      </c>
      <c r="N82" s="18" t="s">
        <v>4204</v>
      </c>
      <c r="O82" s="19">
        <f>'[1]2017'!F26</f>
        <v>-7602.97</v>
      </c>
      <c r="P82" s="18" t="s">
        <v>4204</v>
      </c>
      <c r="Q82" s="17"/>
    </row>
    <row r="83" spans="1:17" x14ac:dyDescent="0.4">
      <c r="A83" s="25" t="s">
        <v>15</v>
      </c>
      <c r="B83" s="25" t="s">
        <v>16</v>
      </c>
      <c r="C83" s="24">
        <v>42736</v>
      </c>
      <c r="D83" s="24">
        <v>43100</v>
      </c>
      <c r="E83" s="23" t="s">
        <v>30</v>
      </c>
      <c r="F83" s="22">
        <f>'[1]2017'!B27+0</f>
        <v>0</v>
      </c>
      <c r="G83" s="22" t="s">
        <v>4205</v>
      </c>
      <c r="H83" s="22">
        <f>'[1]2017'!C27+0</f>
        <v>4</v>
      </c>
      <c r="I83" s="22" t="str">
        <f>VLOOKUP(H83,[1]Tables!$A$1:$B$3,2,FALSE)</f>
        <v>ASL + Monica</v>
      </c>
      <c r="J83" s="22" t="str">
        <f>'[1]2017'!D27</f>
        <v>909</v>
      </c>
      <c r="K83" s="21" t="str">
        <f>'[1]2017'!E27</f>
        <v>Participation employe immeuble</v>
      </c>
      <c r="L83" s="20">
        <f t="shared" si="2"/>
        <v>42736</v>
      </c>
      <c r="M83" s="18" t="s">
        <v>4204</v>
      </c>
      <c r="N83" s="18" t="s">
        <v>4204</v>
      </c>
      <c r="O83" s="19">
        <f>'[1]2017'!F27</f>
        <v>45519.89</v>
      </c>
      <c r="P83" s="18" t="s">
        <v>4204</v>
      </c>
      <c r="Q83" s="17"/>
    </row>
    <row r="84" spans="1:17" x14ac:dyDescent="0.4">
      <c r="A84" s="25" t="s">
        <v>15</v>
      </c>
      <c r="B84" s="25" t="s">
        <v>16</v>
      </c>
      <c r="C84" s="24">
        <v>42736</v>
      </c>
      <c r="D84" s="24">
        <v>43100</v>
      </c>
      <c r="E84" s="23" t="s">
        <v>30</v>
      </c>
      <c r="F84" s="22">
        <f>'[1]2017'!B28+0</f>
        <v>0</v>
      </c>
      <c r="G84" s="22" t="s">
        <v>4205</v>
      </c>
      <c r="H84" s="22">
        <f>'[1]2017'!C28+0</f>
        <v>4</v>
      </c>
      <c r="I84" s="22" t="str">
        <f>VLOOKUP(H84,[1]Tables!$A$1:$B$3,2,FALSE)</f>
        <v>ASL + Monica</v>
      </c>
      <c r="J84" s="22" t="str">
        <f>'[1]2017'!D28</f>
        <v>935</v>
      </c>
      <c r="K84" s="21" t="str">
        <f>'[1]2017'!E28</f>
        <v>Deduct. Q/P Honoraires VILLAGE</v>
      </c>
      <c r="L84" s="20">
        <f t="shared" si="2"/>
        <v>42736</v>
      </c>
      <c r="M84" s="18" t="s">
        <v>4204</v>
      </c>
      <c r="N84" s="18" t="s">
        <v>4204</v>
      </c>
      <c r="O84" s="19">
        <f>'[1]2017'!F28</f>
        <v>-1356.09</v>
      </c>
      <c r="P84" s="18" t="s">
        <v>4204</v>
      </c>
      <c r="Q84" s="17"/>
    </row>
    <row r="85" spans="1:17" x14ac:dyDescent="0.4">
      <c r="A85" s="25" t="s">
        <v>15</v>
      </c>
      <c r="B85" s="25" t="s">
        <v>16</v>
      </c>
      <c r="C85" s="24">
        <v>42736</v>
      </c>
      <c r="D85" s="24">
        <v>43100</v>
      </c>
      <c r="E85" s="23" t="s">
        <v>30</v>
      </c>
      <c r="F85" s="22">
        <f>'[1]2017'!B29+0</f>
        <v>0</v>
      </c>
      <c r="G85" s="22" t="s">
        <v>4205</v>
      </c>
      <c r="H85" s="22">
        <f>'[1]2017'!C29+0</f>
        <v>4</v>
      </c>
      <c r="I85" s="22" t="str">
        <f>VLOOKUP(H85,[1]Tables!$A$1:$B$3,2,FALSE)</f>
        <v>ASL + Monica</v>
      </c>
      <c r="J85" s="22" t="str">
        <f>'[1]2017'!D29</f>
        <v>988</v>
      </c>
      <c r="K85" s="21" t="str">
        <f>'[1]2017'!E29</f>
        <v>Rompus sur repartition</v>
      </c>
      <c r="L85" s="20">
        <f t="shared" si="2"/>
        <v>42736</v>
      </c>
      <c r="M85" s="18" t="s">
        <v>4204</v>
      </c>
      <c r="N85" s="18" t="s">
        <v>4204</v>
      </c>
      <c r="O85" s="19">
        <f>'[1]2017'!F29</f>
        <v>0</v>
      </c>
      <c r="P85" s="18" t="s">
        <v>4204</v>
      </c>
      <c r="Q85" s="17"/>
    </row>
    <row r="86" spans="1:17" ht="29.15" x14ac:dyDescent="0.4">
      <c r="A86" s="25" t="s">
        <v>15</v>
      </c>
      <c r="B86" s="25" t="s">
        <v>16</v>
      </c>
      <c r="C86" s="24">
        <v>42736</v>
      </c>
      <c r="D86" s="24">
        <v>43100</v>
      </c>
      <c r="E86" s="23" t="s">
        <v>30</v>
      </c>
      <c r="F86" s="22">
        <f>'[1]2017'!B32+0</f>
        <v>0</v>
      </c>
      <c r="G86" s="22" t="s">
        <v>4205</v>
      </c>
      <c r="H86" s="22">
        <f>'[1]2017'!C32+0</f>
        <v>3</v>
      </c>
      <c r="I86" s="22" t="str">
        <f>VLOOKUP(H86,[1]Tables!$A$1:$B$3,2,FALSE)</f>
        <v>Charges d'administration</v>
      </c>
      <c r="J86" s="22" t="str">
        <f>'[1]2017'!D32</f>
        <v>231</v>
      </c>
      <c r="K86" s="21" t="str">
        <f>'[1]2017'!E32</f>
        <v>Gestion archives du Syndicat</v>
      </c>
      <c r="L86" s="20">
        <f t="shared" si="2"/>
        <v>42736</v>
      </c>
      <c r="M86" s="18" t="s">
        <v>4204</v>
      </c>
      <c r="N86" s="18" t="s">
        <v>4204</v>
      </c>
      <c r="O86" s="19">
        <f>'[1]2017'!F32</f>
        <v>238.37</v>
      </c>
      <c r="P86" s="18" t="s">
        <v>4204</v>
      </c>
      <c r="Q86" s="17"/>
    </row>
    <row r="87" spans="1:17" ht="29.15" x14ac:dyDescent="0.4">
      <c r="A87" s="25" t="s">
        <v>15</v>
      </c>
      <c r="B87" s="25" t="s">
        <v>16</v>
      </c>
      <c r="C87" s="24">
        <v>42736</v>
      </c>
      <c r="D87" s="24">
        <v>43100</v>
      </c>
      <c r="E87" s="23" t="s">
        <v>30</v>
      </c>
      <c r="F87" s="22">
        <f>'[1]2017'!B33+0</f>
        <v>0</v>
      </c>
      <c r="G87" s="22" t="s">
        <v>4205</v>
      </c>
      <c r="H87" s="22">
        <f>'[1]2017'!C33+0</f>
        <v>3</v>
      </c>
      <c r="I87" s="22" t="str">
        <f>VLOOKUP(H87,[1]Tables!$A$1:$B$3,2,FALSE)</f>
        <v>Charges d'administration</v>
      </c>
      <c r="J87" s="22" t="str">
        <f>'[1]2017'!D33</f>
        <v>241</v>
      </c>
      <c r="K87" s="21" t="str">
        <f>'[1]2017'!E33</f>
        <v>Location salle AG</v>
      </c>
      <c r="L87" s="20">
        <f t="shared" si="2"/>
        <v>42736</v>
      </c>
      <c r="M87" s="18" t="s">
        <v>4204</v>
      </c>
      <c r="N87" s="18" t="s">
        <v>4204</v>
      </c>
      <c r="O87" s="19">
        <f>'[1]2017'!F33</f>
        <v>0</v>
      </c>
      <c r="P87" s="18" t="s">
        <v>4204</v>
      </c>
      <c r="Q87" s="17"/>
    </row>
    <row r="88" spans="1:17" ht="29.15" x14ac:dyDescent="0.4">
      <c r="A88" s="25" t="s">
        <v>15</v>
      </c>
      <c r="B88" s="25" t="s">
        <v>16</v>
      </c>
      <c r="C88" s="24">
        <v>42736</v>
      </c>
      <c r="D88" s="24">
        <v>43100</v>
      </c>
      <c r="E88" s="23" t="s">
        <v>30</v>
      </c>
      <c r="F88" s="22">
        <f>'[1]2017'!B34+0</f>
        <v>0</v>
      </c>
      <c r="G88" s="22" t="s">
        <v>4205</v>
      </c>
      <c r="H88" s="22">
        <f>'[1]2017'!C34+0</f>
        <v>3</v>
      </c>
      <c r="I88" s="22" t="str">
        <f>VLOOKUP(H88,[1]Tables!$A$1:$B$3,2,FALSE)</f>
        <v>Charges d'administration</v>
      </c>
      <c r="J88" s="22" t="str">
        <f>'[1]2017'!D34</f>
        <v>352</v>
      </c>
      <c r="K88" s="21" t="str">
        <f>'[1]2017'!E34</f>
        <v>Frais Affranchissements</v>
      </c>
      <c r="L88" s="20">
        <f t="shared" si="2"/>
        <v>42736</v>
      </c>
      <c r="M88" s="18" t="s">
        <v>4204</v>
      </c>
      <c r="N88" s="18" t="s">
        <v>4204</v>
      </c>
      <c r="O88" s="19">
        <f>'[1]2017'!F34</f>
        <v>1077.95</v>
      </c>
      <c r="P88" s="18" t="s">
        <v>4204</v>
      </c>
      <c r="Q88" s="17"/>
    </row>
    <row r="89" spans="1:17" ht="29.15" x14ac:dyDescent="0.4">
      <c r="A89" s="25" t="s">
        <v>15</v>
      </c>
      <c r="B89" s="25" t="s">
        <v>16</v>
      </c>
      <c r="C89" s="24">
        <v>42736</v>
      </c>
      <c r="D89" s="24">
        <v>43100</v>
      </c>
      <c r="E89" s="23" t="s">
        <v>30</v>
      </c>
      <c r="F89" s="22">
        <f>'[1]2017'!B35+0</f>
        <v>0</v>
      </c>
      <c r="G89" s="22" t="s">
        <v>4205</v>
      </c>
      <c r="H89" s="22">
        <f>'[1]2017'!C35+0</f>
        <v>3</v>
      </c>
      <c r="I89" s="22" t="str">
        <f>VLOOKUP(H89,[1]Tables!$A$1:$B$3,2,FALSE)</f>
        <v>Charges d'administration</v>
      </c>
      <c r="J89" s="22" t="str">
        <f>'[1]2017'!D35</f>
        <v>353</v>
      </c>
      <c r="K89" s="21" t="str">
        <f>'[1]2017'!E35</f>
        <v>Frais tirage comptes convoc</v>
      </c>
      <c r="L89" s="20">
        <f t="shared" si="2"/>
        <v>42736</v>
      </c>
      <c r="M89" s="18" t="s">
        <v>4204</v>
      </c>
      <c r="N89" s="18" t="s">
        <v>4204</v>
      </c>
      <c r="O89" s="19">
        <f>'[1]2017'!F35</f>
        <v>991.42</v>
      </c>
      <c r="P89" s="18" t="s">
        <v>4204</v>
      </c>
      <c r="Q89" s="17"/>
    </row>
    <row r="90" spans="1:17" x14ac:dyDescent="0.4">
      <c r="A90" s="25" t="s">
        <v>15</v>
      </c>
      <c r="B90" s="25" t="s">
        <v>16</v>
      </c>
      <c r="C90" s="24">
        <v>42736</v>
      </c>
      <c r="D90" s="24">
        <v>43100</v>
      </c>
      <c r="E90" s="23" t="s">
        <v>30</v>
      </c>
      <c r="F90" s="22">
        <f>'[1]2017'!B38+0</f>
        <v>0</v>
      </c>
      <c r="G90" s="22" t="s">
        <v>4205</v>
      </c>
      <c r="H90" s="22">
        <f>'[1]2017'!C38+0</f>
        <v>4</v>
      </c>
      <c r="I90" s="22" t="str">
        <f>VLOOKUP(H90,[1]Tables!$A$1:$B$3,2,FALSE)</f>
        <v>ASL + Monica</v>
      </c>
      <c r="J90" s="22" t="str">
        <f>'[1]2017'!D38</f>
        <v>233</v>
      </c>
      <c r="K90" s="21" t="str">
        <f>'[1]2017'!E38</f>
        <v>Fournitures diverses</v>
      </c>
      <c r="L90" s="20">
        <f t="shared" si="2"/>
        <v>42736</v>
      </c>
      <c r="M90" s="18" t="s">
        <v>4204</v>
      </c>
      <c r="N90" s="18" t="s">
        <v>4204</v>
      </c>
      <c r="O90" s="19">
        <f>'[1]2017'!F38</f>
        <v>0</v>
      </c>
      <c r="P90" s="18" t="s">
        <v>4204</v>
      </c>
      <c r="Q90" s="17"/>
    </row>
    <row r="91" spans="1:17" x14ac:dyDescent="0.4">
      <c r="A91" s="25" t="s">
        <v>15</v>
      </c>
      <c r="B91" s="25" t="s">
        <v>16</v>
      </c>
      <c r="C91" s="24">
        <v>42736</v>
      </c>
      <c r="D91" s="24">
        <v>43100</v>
      </c>
      <c r="E91" s="23" t="s">
        <v>30</v>
      </c>
      <c r="F91" s="22">
        <f>'[1]2017'!B39+0</f>
        <v>0</v>
      </c>
      <c r="G91" s="22" t="s">
        <v>4205</v>
      </c>
      <c r="H91" s="22">
        <f>'[1]2017'!C39+0</f>
        <v>4</v>
      </c>
      <c r="I91" s="22" t="str">
        <f>VLOOKUP(H91,[1]Tables!$A$1:$B$3,2,FALSE)</f>
        <v>ASL + Monica</v>
      </c>
      <c r="J91" s="22" t="str">
        <f>'[1]2017'!D39</f>
        <v>234</v>
      </c>
      <c r="K91" s="21" t="str">
        <f>'[1]2017'!E39</f>
        <v>Fourniture vegetaux</v>
      </c>
      <c r="L91" s="20">
        <f t="shared" si="2"/>
        <v>42736</v>
      </c>
      <c r="M91" s="18" t="s">
        <v>4204</v>
      </c>
      <c r="N91" s="18" t="s">
        <v>4204</v>
      </c>
      <c r="O91" s="19">
        <f>'[1]2017'!F39</f>
        <v>0</v>
      </c>
      <c r="P91" s="18" t="s">
        <v>4204</v>
      </c>
      <c r="Q91" s="17"/>
    </row>
    <row r="92" spans="1:17" x14ac:dyDescent="0.4">
      <c r="A92" s="25" t="s">
        <v>15</v>
      </c>
      <c r="B92" s="25" t="s">
        <v>16</v>
      </c>
      <c r="C92" s="24">
        <v>42736</v>
      </c>
      <c r="D92" s="24">
        <v>43100</v>
      </c>
      <c r="E92" s="23" t="s">
        <v>30</v>
      </c>
      <c r="F92" s="22">
        <f>'[1]2017'!B40+0</f>
        <v>0</v>
      </c>
      <c r="G92" s="22" t="s">
        <v>4205</v>
      </c>
      <c r="H92" s="22">
        <f>'[1]2017'!C40+0</f>
        <v>4</v>
      </c>
      <c r="I92" s="22" t="str">
        <f>VLOOKUP(H92,[1]Tables!$A$1:$B$3,2,FALSE)</f>
        <v>ASL + Monica</v>
      </c>
      <c r="J92" s="22" t="str">
        <f>'[1]2017'!D40</f>
        <v>285</v>
      </c>
      <c r="K92" s="21" t="str">
        <f>'[1]2017'!E40</f>
        <v>Eau d'arrosage</v>
      </c>
      <c r="L92" s="20">
        <f t="shared" si="2"/>
        <v>42736</v>
      </c>
      <c r="M92" s="18" t="s">
        <v>4204</v>
      </c>
      <c r="N92" s="18" t="s">
        <v>4204</v>
      </c>
      <c r="O92" s="19">
        <f>'[1]2017'!F40</f>
        <v>0</v>
      </c>
      <c r="P92" s="18" t="s">
        <v>4204</v>
      </c>
      <c r="Q92" s="17"/>
    </row>
    <row r="93" spans="1:17" x14ac:dyDescent="0.4">
      <c r="A93" s="25" t="s">
        <v>15</v>
      </c>
      <c r="B93" s="25" t="s">
        <v>16</v>
      </c>
      <c r="C93" s="24">
        <v>42736</v>
      </c>
      <c r="D93" s="24">
        <v>43100</v>
      </c>
      <c r="E93" s="23" t="s">
        <v>30</v>
      </c>
      <c r="F93" s="22">
        <f>'[1]2017'!B41+0</f>
        <v>0</v>
      </c>
      <c r="G93" s="22" t="s">
        <v>4205</v>
      </c>
      <c r="H93" s="22">
        <f>'[1]2017'!C41+0</f>
        <v>4</v>
      </c>
      <c r="I93" s="22" t="str">
        <f>VLOOKUP(H93,[1]Tables!$A$1:$B$3,2,FALSE)</f>
        <v>ASL + Monica</v>
      </c>
      <c r="J93" s="22" t="str">
        <f>'[1]2017'!D41</f>
        <v>845</v>
      </c>
      <c r="K93" s="21" t="str">
        <f>'[1]2017'!E41</f>
        <v>Fourniture arrosage autocoat.</v>
      </c>
      <c r="L93" s="20">
        <f t="shared" si="2"/>
        <v>42736</v>
      </c>
      <c r="M93" s="18" t="s">
        <v>4204</v>
      </c>
      <c r="N93" s="18" t="s">
        <v>4204</v>
      </c>
      <c r="O93" s="19">
        <f>'[1]2017'!F41</f>
        <v>0</v>
      </c>
      <c r="P93" s="18" t="s">
        <v>4204</v>
      </c>
      <c r="Q93" s="17"/>
    </row>
    <row r="94" spans="1:17" x14ac:dyDescent="0.4">
      <c r="A94" s="25" t="s">
        <v>15</v>
      </c>
      <c r="B94" s="25" t="s">
        <v>16</v>
      </c>
      <c r="C94" s="24">
        <v>42736</v>
      </c>
      <c r="D94" s="24">
        <v>43100</v>
      </c>
      <c r="E94" s="23" t="s">
        <v>30</v>
      </c>
      <c r="F94" s="22">
        <f>'[1]2017'!B42+0</f>
        <v>0</v>
      </c>
      <c r="G94" s="22" t="s">
        <v>4205</v>
      </c>
      <c r="H94" s="22">
        <f>'[1]2017'!C42+0</f>
        <v>4</v>
      </c>
      <c r="I94" s="22" t="str">
        <f>VLOOKUP(H94,[1]Tables!$A$1:$B$3,2,FALSE)</f>
        <v>ASL + Monica</v>
      </c>
      <c r="J94" s="22" t="str">
        <f>'[1]2017'!D42</f>
        <v>846</v>
      </c>
      <c r="K94" s="21" t="str">
        <f>'[1]2017'!E42</f>
        <v>Travaux elagage et abattage</v>
      </c>
      <c r="L94" s="20">
        <f t="shared" si="2"/>
        <v>42736</v>
      </c>
      <c r="M94" s="18" t="s">
        <v>4204</v>
      </c>
      <c r="N94" s="18" t="s">
        <v>4204</v>
      </c>
      <c r="O94" s="19">
        <f>'[1]2017'!F42</f>
        <v>0</v>
      </c>
      <c r="P94" s="18" t="s">
        <v>4204</v>
      </c>
      <c r="Q94" s="17"/>
    </row>
    <row r="95" spans="1:17" x14ac:dyDescent="0.4">
      <c r="A95" s="25" t="s">
        <v>15</v>
      </c>
      <c r="B95" s="25" t="s">
        <v>16</v>
      </c>
      <c r="C95" s="24">
        <v>42736</v>
      </c>
      <c r="D95" s="24">
        <v>43100</v>
      </c>
      <c r="E95" s="23" t="s">
        <v>30</v>
      </c>
      <c r="F95" s="22">
        <f>'[1]2017'!B43+0</f>
        <v>0</v>
      </c>
      <c r="G95" s="22" t="s">
        <v>4205</v>
      </c>
      <c r="H95" s="22">
        <f>'[1]2017'!C43+0</f>
        <v>4</v>
      </c>
      <c r="I95" s="22" t="str">
        <f>VLOOKUP(H95,[1]Tables!$A$1:$B$3,2,FALSE)</f>
        <v>ASL + Monica</v>
      </c>
      <c r="J95" s="22" t="str">
        <f>'[1]2017'!D43</f>
        <v>883</v>
      </c>
      <c r="K95" s="21" t="str">
        <f>'[1]2017'!E43</f>
        <v>Surv. cpteur jardins</v>
      </c>
      <c r="L95" s="20">
        <f t="shared" si="2"/>
        <v>42736</v>
      </c>
      <c r="M95" s="18" t="s">
        <v>4204</v>
      </c>
      <c r="N95" s="18" t="s">
        <v>4204</v>
      </c>
      <c r="O95" s="19">
        <f>'[1]2017'!F43</f>
        <v>0</v>
      </c>
      <c r="P95" s="18" t="s">
        <v>4204</v>
      </c>
      <c r="Q95" s="17"/>
    </row>
    <row r="96" spans="1:17" ht="29.15" x14ac:dyDescent="0.4">
      <c r="A96" s="25" t="s">
        <v>15</v>
      </c>
      <c r="B96" s="25" t="s">
        <v>16</v>
      </c>
      <c r="C96" s="24">
        <v>42736</v>
      </c>
      <c r="D96" s="24">
        <v>43100</v>
      </c>
      <c r="E96" s="23" t="s">
        <v>30</v>
      </c>
      <c r="F96" s="22">
        <f>'[1]2017'!B46+0</f>
        <v>0</v>
      </c>
      <c r="G96" s="22" t="s">
        <v>4205</v>
      </c>
      <c r="H96" s="22">
        <f>'[1]2017'!C46+0</f>
        <v>46</v>
      </c>
      <c r="I96" s="22" t="str">
        <f>VLOOKUP(H96,[1]Tables!$A$1:$B$3,2,FALSE)</f>
        <v>Charges spéciales Villa 1</v>
      </c>
      <c r="J96" s="22" t="str">
        <f>'[1]2017'!D46</f>
        <v>845</v>
      </c>
      <c r="K96" s="21" t="str">
        <f>'[1]2017'!E46</f>
        <v>Entretien lardins</v>
      </c>
      <c r="L96" s="20">
        <f t="shared" si="2"/>
        <v>42736</v>
      </c>
      <c r="M96" s="18" t="s">
        <v>4204</v>
      </c>
      <c r="N96" s="18" t="s">
        <v>4204</v>
      </c>
      <c r="O96" s="19">
        <f>'[1]2017'!F46</f>
        <v>0</v>
      </c>
      <c r="P96" s="18" t="s">
        <v>4204</v>
      </c>
      <c r="Q96" s="17"/>
    </row>
    <row r="97" spans="1:17" x14ac:dyDescent="0.4">
      <c r="A97" s="25" t="s">
        <v>15</v>
      </c>
      <c r="B97" s="25" t="s">
        <v>16</v>
      </c>
      <c r="C97" s="24">
        <v>43101</v>
      </c>
      <c r="D97" s="24">
        <v>43465</v>
      </c>
      <c r="E97" s="23" t="s">
        <v>30</v>
      </c>
      <c r="F97" s="22">
        <f>'[1]2018'!B12+0</f>
        <v>0</v>
      </c>
      <c r="G97" s="22" t="s">
        <v>4205</v>
      </c>
      <c r="H97" s="22">
        <f>'[1]2018'!C12+0</f>
        <v>4</v>
      </c>
      <c r="I97" s="22" t="str">
        <f>VLOOKUP(H97,[1]Tables!$A$1:$B$3,2,FALSE)</f>
        <v>ASL + Monica</v>
      </c>
      <c r="J97" s="22" t="str">
        <f>'[1]2018'!D12</f>
        <v>269</v>
      </c>
      <c r="K97" s="21" t="str">
        <f>'[1]2018'!E12</f>
        <v>EDF Piscine</v>
      </c>
      <c r="L97" s="20">
        <f t="shared" si="2"/>
        <v>43101</v>
      </c>
      <c r="M97" s="18" t="s">
        <v>4204</v>
      </c>
      <c r="N97" s="18" t="s">
        <v>4204</v>
      </c>
      <c r="O97" s="19">
        <f>'[1]2018'!F12</f>
        <v>1994.34</v>
      </c>
      <c r="P97" s="18" t="s">
        <v>4204</v>
      </c>
      <c r="Q97" s="17"/>
    </row>
    <row r="98" spans="1:17" x14ac:dyDescent="0.4">
      <c r="A98" s="25" t="s">
        <v>15</v>
      </c>
      <c r="B98" s="25" t="s">
        <v>16</v>
      </c>
      <c r="C98" s="24">
        <v>43101</v>
      </c>
      <c r="D98" s="24">
        <v>43465</v>
      </c>
      <c r="E98" s="23" t="s">
        <v>30</v>
      </c>
      <c r="F98" s="22">
        <f>'[1]2018'!B13+0</f>
        <v>0</v>
      </c>
      <c r="G98" s="22" t="s">
        <v>4205</v>
      </c>
      <c r="H98" s="22">
        <f>'[1]2018'!C13+0</f>
        <v>4</v>
      </c>
      <c r="I98" s="22" t="str">
        <f>VLOOKUP(H98,[1]Tables!$A$1:$B$3,2,FALSE)</f>
        <v>ASL + Monica</v>
      </c>
      <c r="J98" s="22" t="str">
        <f>'[1]2018'!D13</f>
        <v>281</v>
      </c>
      <c r="K98" s="21" t="str">
        <f>'[1]2018'!E13</f>
        <v>Consommation eau piscine</v>
      </c>
      <c r="L98" s="20">
        <f t="shared" ref="L98:L133" si="3">C98</f>
        <v>43101</v>
      </c>
      <c r="M98" s="18" t="s">
        <v>4204</v>
      </c>
      <c r="N98" s="18" t="s">
        <v>4204</v>
      </c>
      <c r="O98" s="19">
        <f>'[1]2018'!F13</f>
        <v>692.4</v>
      </c>
      <c r="P98" s="18" t="s">
        <v>4204</v>
      </c>
      <c r="Q98" s="17"/>
    </row>
    <row r="99" spans="1:17" x14ac:dyDescent="0.4">
      <c r="A99" s="25" t="s">
        <v>15</v>
      </c>
      <c r="B99" s="25" t="s">
        <v>16</v>
      </c>
      <c r="C99" s="24">
        <v>43101</v>
      </c>
      <c r="D99" s="24">
        <v>43465</v>
      </c>
      <c r="E99" s="23" t="s">
        <v>30</v>
      </c>
      <c r="F99" s="22">
        <f>'[1]2018'!B14+0</f>
        <v>0</v>
      </c>
      <c r="G99" s="22" t="s">
        <v>4205</v>
      </c>
      <c r="H99" s="22">
        <f>'[1]2018'!C14+0</f>
        <v>4</v>
      </c>
      <c r="I99" s="22" t="str">
        <f>VLOOKUP(H99,[1]Tables!$A$1:$B$3,2,FALSE)</f>
        <v>ASL + Monica</v>
      </c>
      <c r="J99" s="22" t="str">
        <f>'[1]2018'!D14</f>
        <v>401</v>
      </c>
      <c r="K99" s="21" t="str">
        <f>'[1]2018'!E14</f>
        <v>Honoraires Syndic</v>
      </c>
      <c r="L99" s="20">
        <f t="shared" si="3"/>
        <v>43101</v>
      </c>
      <c r="M99" s="18" t="s">
        <v>4204</v>
      </c>
      <c r="N99" s="18" t="s">
        <v>4204</v>
      </c>
      <c r="O99" s="19">
        <f>'[1]2018'!F14</f>
        <v>12516</v>
      </c>
      <c r="P99" s="18" t="s">
        <v>4204</v>
      </c>
      <c r="Q99" s="17"/>
    </row>
    <row r="100" spans="1:17" x14ac:dyDescent="0.4">
      <c r="A100" s="25" t="s">
        <v>15</v>
      </c>
      <c r="B100" s="25" t="s">
        <v>16</v>
      </c>
      <c r="C100" s="24">
        <v>43101</v>
      </c>
      <c r="D100" s="24">
        <v>43465</v>
      </c>
      <c r="E100" s="23" t="s">
        <v>30</v>
      </c>
      <c r="F100" s="22">
        <f>'[1]2018'!B15+0</f>
        <v>0</v>
      </c>
      <c r="G100" s="22" t="s">
        <v>4205</v>
      </c>
      <c r="H100" s="22">
        <f>'[1]2018'!C15+0</f>
        <v>4</v>
      </c>
      <c r="I100" s="22" t="str">
        <f>VLOOKUP(H100,[1]Tables!$A$1:$B$3,2,FALSE)</f>
        <v>ASL + Monica</v>
      </c>
      <c r="J100" s="22" t="str">
        <f>'[1]2018'!D15</f>
        <v>481</v>
      </c>
      <c r="K100" s="21" t="str">
        <f>'[1]2018'!E15</f>
        <v>Taxe fonciere</v>
      </c>
      <c r="L100" s="20">
        <f t="shared" si="3"/>
        <v>43101</v>
      </c>
      <c r="M100" s="18" t="s">
        <v>4204</v>
      </c>
      <c r="N100" s="18" t="s">
        <v>4204</v>
      </c>
      <c r="O100" s="19">
        <f>'[1]2018'!F15</f>
        <v>1569</v>
      </c>
      <c r="P100" s="18" t="s">
        <v>4204</v>
      </c>
      <c r="Q100" s="17"/>
    </row>
    <row r="101" spans="1:17" x14ac:dyDescent="0.4">
      <c r="A101" s="25" t="s">
        <v>15</v>
      </c>
      <c r="B101" s="25" t="s">
        <v>16</v>
      </c>
      <c r="C101" s="24">
        <v>43101</v>
      </c>
      <c r="D101" s="24">
        <v>43465</v>
      </c>
      <c r="E101" s="23" t="s">
        <v>30</v>
      </c>
      <c r="F101" s="22">
        <f>'[1]2018'!B16+0</f>
        <v>0</v>
      </c>
      <c r="G101" s="22" t="s">
        <v>4205</v>
      </c>
      <c r="H101" s="22">
        <f>'[1]2018'!C16+0</f>
        <v>4</v>
      </c>
      <c r="I101" s="22" t="str">
        <f>VLOOKUP(H101,[1]Tables!$A$1:$B$3,2,FALSE)</f>
        <v>ASL + Monica</v>
      </c>
      <c r="J101" s="22" t="str">
        <f>'[1]2018'!D16</f>
        <v>482</v>
      </c>
      <c r="K101" s="21" t="str">
        <f>'[1]2018'!E16</f>
        <v>Taxe d'habitation</v>
      </c>
      <c r="L101" s="20">
        <f t="shared" si="3"/>
        <v>43101</v>
      </c>
      <c r="M101" s="18" t="s">
        <v>4204</v>
      </c>
      <c r="N101" s="18" t="s">
        <v>4204</v>
      </c>
      <c r="O101" s="19">
        <f>'[1]2018'!F16</f>
        <v>1280</v>
      </c>
      <c r="P101" s="18" t="s">
        <v>4204</v>
      </c>
      <c r="Q101" s="17"/>
    </row>
    <row r="102" spans="1:17" x14ac:dyDescent="0.4">
      <c r="A102" s="25" t="s">
        <v>15</v>
      </c>
      <c r="B102" s="25" t="s">
        <v>16</v>
      </c>
      <c r="C102" s="24">
        <v>43101</v>
      </c>
      <c r="D102" s="24">
        <v>43465</v>
      </c>
      <c r="E102" s="23" t="s">
        <v>30</v>
      </c>
      <c r="F102" s="22">
        <f>'[1]2018'!B17+0</f>
        <v>0</v>
      </c>
      <c r="G102" s="22" t="s">
        <v>4205</v>
      </c>
      <c r="H102" s="22">
        <f>'[1]2018'!C17+0</f>
        <v>4</v>
      </c>
      <c r="I102" s="22" t="str">
        <f>VLOOKUP(H102,[1]Tables!$A$1:$B$3,2,FALSE)</f>
        <v>ASL + Monica</v>
      </c>
      <c r="J102" s="22" t="str">
        <f>'[1]2018'!D17</f>
        <v>702</v>
      </c>
      <c r="K102" s="21" t="str">
        <f>'[1]2018'!E17</f>
        <v>Contrat entr extincteurs</v>
      </c>
      <c r="L102" s="20">
        <f t="shared" si="3"/>
        <v>43101</v>
      </c>
      <c r="M102" s="18" t="s">
        <v>4204</v>
      </c>
      <c r="N102" s="18" t="s">
        <v>4204</v>
      </c>
      <c r="O102" s="19">
        <f>'[1]2018'!F17</f>
        <v>19.420000000000002</v>
      </c>
      <c r="P102" s="18" t="s">
        <v>4204</v>
      </c>
      <c r="Q102" s="17"/>
    </row>
    <row r="103" spans="1:17" x14ac:dyDescent="0.4">
      <c r="A103" s="25" t="s">
        <v>15</v>
      </c>
      <c r="B103" s="25" t="s">
        <v>16</v>
      </c>
      <c r="C103" s="24">
        <v>43101</v>
      </c>
      <c r="D103" s="24">
        <v>43465</v>
      </c>
      <c r="E103" s="23" t="s">
        <v>30</v>
      </c>
      <c r="F103" s="22">
        <f>'[1]2018'!B18+0</f>
        <v>0</v>
      </c>
      <c r="G103" s="22" t="s">
        <v>4205</v>
      </c>
      <c r="H103" s="22">
        <f>'[1]2018'!C18+0</f>
        <v>4</v>
      </c>
      <c r="I103" s="22" t="str">
        <f>VLOOKUP(H103,[1]Tables!$A$1:$B$3,2,FALSE)</f>
        <v>ASL + Monica</v>
      </c>
      <c r="J103" s="22" t="str">
        <f>'[1]2018'!D18</f>
        <v>706</v>
      </c>
      <c r="K103" s="21" t="str">
        <f>'[1]2018'!E18</f>
        <v>Entretien extincteurs</v>
      </c>
      <c r="L103" s="20">
        <f t="shared" si="3"/>
        <v>43101</v>
      </c>
      <c r="M103" s="18" t="s">
        <v>4204</v>
      </c>
      <c r="N103" s="18" t="s">
        <v>4204</v>
      </c>
      <c r="O103" s="19">
        <f>'[1]2018'!F18</f>
        <v>0</v>
      </c>
      <c r="P103" s="18" t="s">
        <v>4204</v>
      </c>
      <c r="Q103" s="17"/>
    </row>
    <row r="104" spans="1:17" x14ac:dyDescent="0.4">
      <c r="A104" s="25" t="s">
        <v>15</v>
      </c>
      <c r="B104" s="25" t="s">
        <v>16</v>
      </c>
      <c r="C104" s="24">
        <v>43101</v>
      </c>
      <c r="D104" s="24">
        <v>43465</v>
      </c>
      <c r="E104" s="23" t="s">
        <v>30</v>
      </c>
      <c r="F104" s="22">
        <f>'[1]2018'!B19+0</f>
        <v>0</v>
      </c>
      <c r="G104" s="22" t="s">
        <v>4205</v>
      </c>
      <c r="H104" s="22">
        <f>'[1]2018'!C19+0</f>
        <v>4</v>
      </c>
      <c r="I104" s="22" t="str">
        <f>VLOOKUP(H104,[1]Tables!$A$1:$B$3,2,FALSE)</f>
        <v>ASL + Monica</v>
      </c>
      <c r="J104" s="22" t="str">
        <f>'[1]2018'!D19</f>
        <v>856</v>
      </c>
      <c r="K104" s="21" t="str">
        <f>'[1]2018'!E19</f>
        <v>Travaux piscine</v>
      </c>
      <c r="L104" s="20">
        <f t="shared" si="3"/>
        <v>43101</v>
      </c>
      <c r="M104" s="18" t="s">
        <v>4204</v>
      </c>
      <c r="N104" s="18" t="s">
        <v>4204</v>
      </c>
      <c r="O104" s="19">
        <f>'[1]2018'!F19</f>
        <v>1522.8</v>
      </c>
      <c r="P104" s="18" t="s">
        <v>4204</v>
      </c>
      <c r="Q104" s="17"/>
    </row>
    <row r="105" spans="1:17" x14ac:dyDescent="0.4">
      <c r="A105" s="25" t="s">
        <v>15</v>
      </c>
      <c r="B105" s="25" t="s">
        <v>16</v>
      </c>
      <c r="C105" s="24">
        <v>43101</v>
      </c>
      <c r="D105" s="24">
        <v>43465</v>
      </c>
      <c r="E105" s="23" t="s">
        <v>30</v>
      </c>
      <c r="F105" s="22">
        <f>'[1]2018'!B20+0</f>
        <v>0</v>
      </c>
      <c r="G105" s="22" t="s">
        <v>4205</v>
      </c>
      <c r="H105" s="22">
        <f>'[1]2018'!C20+0</f>
        <v>4</v>
      </c>
      <c r="I105" s="22" t="str">
        <f>VLOOKUP(H105,[1]Tables!$A$1:$B$3,2,FALSE)</f>
        <v>ASL + Monica</v>
      </c>
      <c r="J105" s="22" t="str">
        <f>'[1]2018'!D20</f>
        <v>857</v>
      </c>
      <c r="K105" s="21" t="str">
        <f>'[1]2018'!E20</f>
        <v>Fournitures piscine</v>
      </c>
      <c r="L105" s="20">
        <f t="shared" si="3"/>
        <v>43101</v>
      </c>
      <c r="M105" s="18" t="s">
        <v>4204</v>
      </c>
      <c r="N105" s="18" t="s">
        <v>4204</v>
      </c>
      <c r="O105" s="19">
        <f>'[1]2018'!F20</f>
        <v>1030.5</v>
      </c>
      <c r="P105" s="18" t="s">
        <v>4204</v>
      </c>
      <c r="Q105" s="17"/>
    </row>
    <row r="106" spans="1:17" x14ac:dyDescent="0.4">
      <c r="A106" s="25" t="s">
        <v>15</v>
      </c>
      <c r="B106" s="25" t="s">
        <v>16</v>
      </c>
      <c r="C106" s="24">
        <v>43101</v>
      </c>
      <c r="D106" s="24">
        <v>43465</v>
      </c>
      <c r="E106" s="23" t="s">
        <v>30</v>
      </c>
      <c r="F106" s="22">
        <f>'[1]2018'!B21+0</f>
        <v>0</v>
      </c>
      <c r="G106" s="22" t="s">
        <v>4205</v>
      </c>
      <c r="H106" s="22">
        <f>'[1]2018'!C21+0</f>
        <v>4</v>
      </c>
      <c r="I106" s="22" t="str">
        <f>VLOOKUP(H106,[1]Tables!$A$1:$B$3,2,FALSE)</f>
        <v>ASL + Monica</v>
      </c>
      <c r="J106" s="22" t="str">
        <f>'[1]2018'!D21</f>
        <v>856</v>
      </c>
      <c r="K106" s="21" t="str">
        <f>'[1]2018'!E21</f>
        <v>Analyses Piscine</v>
      </c>
      <c r="L106" s="20">
        <f t="shared" si="3"/>
        <v>43101</v>
      </c>
      <c r="M106" s="18" t="s">
        <v>4204</v>
      </c>
      <c r="N106" s="18" t="s">
        <v>4204</v>
      </c>
      <c r="O106" s="19">
        <f>'[1]2018'!F21</f>
        <v>121.2</v>
      </c>
      <c r="P106" s="18" t="s">
        <v>4204</v>
      </c>
      <c r="Q106" s="17"/>
    </row>
    <row r="107" spans="1:17" x14ac:dyDescent="0.4">
      <c r="A107" s="25" t="s">
        <v>15</v>
      </c>
      <c r="B107" s="25" t="s">
        <v>16</v>
      </c>
      <c r="C107" s="24">
        <v>43101</v>
      </c>
      <c r="D107" s="24">
        <v>43465</v>
      </c>
      <c r="E107" s="23" t="s">
        <v>30</v>
      </c>
      <c r="F107" s="22">
        <f>'[1]2018'!B22+0</f>
        <v>0</v>
      </c>
      <c r="G107" s="22" t="s">
        <v>4205</v>
      </c>
      <c r="H107" s="22">
        <f>'[1]2018'!C22+0</f>
        <v>4</v>
      </c>
      <c r="I107" s="22" t="str">
        <f>VLOOKUP(H107,[1]Tables!$A$1:$B$3,2,FALSE)</f>
        <v>ASL + Monica</v>
      </c>
      <c r="J107" s="22" t="str">
        <f>'[1]2018'!D22</f>
        <v>892</v>
      </c>
      <c r="K107" s="21" t="str">
        <f>'[1]2018'!E22</f>
        <v>Deduct QIP Honoraires G/ER</v>
      </c>
      <c r="L107" s="20">
        <f t="shared" si="3"/>
        <v>43101</v>
      </c>
      <c r="M107" s="18" t="s">
        <v>4204</v>
      </c>
      <c r="N107" s="18" t="s">
        <v>4204</v>
      </c>
      <c r="O107" s="19">
        <f>'[1]2018'!F22</f>
        <v>-7602.97</v>
      </c>
      <c r="P107" s="18" t="s">
        <v>4204</v>
      </c>
      <c r="Q107" s="17"/>
    </row>
    <row r="108" spans="1:17" x14ac:dyDescent="0.4">
      <c r="A108" s="25" t="s">
        <v>15</v>
      </c>
      <c r="B108" s="25" t="s">
        <v>16</v>
      </c>
      <c r="C108" s="24">
        <v>43101</v>
      </c>
      <c r="D108" s="24">
        <v>43465</v>
      </c>
      <c r="E108" s="23" t="s">
        <v>30</v>
      </c>
      <c r="F108" s="22">
        <f>'[1]2018'!B23+0</f>
        <v>0</v>
      </c>
      <c r="G108" s="22" t="s">
        <v>4205</v>
      </c>
      <c r="H108" s="22">
        <f>'[1]2018'!C23+0</f>
        <v>4</v>
      </c>
      <c r="I108" s="22" t="str">
        <f>VLOOKUP(H108,[1]Tables!$A$1:$B$3,2,FALSE)</f>
        <v>ASL + Monica</v>
      </c>
      <c r="J108" s="22" t="str">
        <f>'[1]2018'!D23</f>
        <v>905</v>
      </c>
      <c r="K108" s="21" t="str">
        <f>'[1]2018'!E23</f>
        <v>Regul de charges ex anteneur</v>
      </c>
      <c r="L108" s="20">
        <f t="shared" si="3"/>
        <v>43101</v>
      </c>
      <c r="M108" s="18" t="s">
        <v>4204</v>
      </c>
      <c r="N108" s="18" t="s">
        <v>4204</v>
      </c>
      <c r="O108" s="19">
        <f>'[1]2018'!F23</f>
        <v>-404.64</v>
      </c>
      <c r="P108" s="18" t="s">
        <v>4204</v>
      </c>
      <c r="Q108" s="17"/>
    </row>
    <row r="109" spans="1:17" x14ac:dyDescent="0.4">
      <c r="A109" s="25" t="s">
        <v>15</v>
      </c>
      <c r="B109" s="25" t="s">
        <v>16</v>
      </c>
      <c r="C109" s="24">
        <v>43101</v>
      </c>
      <c r="D109" s="24">
        <v>43465</v>
      </c>
      <c r="E109" s="23" t="s">
        <v>30</v>
      </c>
      <c r="F109" s="22">
        <f>'[1]2018'!B24+0</f>
        <v>0</v>
      </c>
      <c r="G109" s="22" t="s">
        <v>4205</v>
      </c>
      <c r="H109" s="22">
        <f>'[1]2018'!C24+0</f>
        <v>4</v>
      </c>
      <c r="I109" s="22" t="str">
        <f>VLOOKUP(H109,[1]Tables!$A$1:$B$3,2,FALSE)</f>
        <v>ASL + Monica</v>
      </c>
      <c r="J109" s="22" t="str">
        <f>'[1]2018'!D24</f>
        <v>909</v>
      </c>
      <c r="K109" s="21" t="str">
        <f>'[1]2018'!E24</f>
        <v>Participation employe immeuble</v>
      </c>
      <c r="L109" s="20">
        <f t="shared" si="3"/>
        <v>43101</v>
      </c>
      <c r="M109" s="18" t="s">
        <v>4204</v>
      </c>
      <c r="N109" s="18" t="s">
        <v>4204</v>
      </c>
      <c r="O109" s="19">
        <f>'[1]2018'!F24</f>
        <v>41394.99</v>
      </c>
      <c r="P109" s="18" t="s">
        <v>4204</v>
      </c>
      <c r="Q109" s="17"/>
    </row>
    <row r="110" spans="1:17" x14ac:dyDescent="0.4">
      <c r="A110" s="25" t="s">
        <v>15</v>
      </c>
      <c r="B110" s="25" t="s">
        <v>16</v>
      </c>
      <c r="C110" s="24">
        <v>43101</v>
      </c>
      <c r="D110" s="24">
        <v>43465</v>
      </c>
      <c r="E110" s="23" t="s">
        <v>30</v>
      </c>
      <c r="F110" s="22">
        <f>'[1]2018'!B25+0</f>
        <v>0</v>
      </c>
      <c r="G110" s="22" t="s">
        <v>4205</v>
      </c>
      <c r="H110" s="22">
        <f>'[1]2018'!C25+0</f>
        <v>4</v>
      </c>
      <c r="I110" s="22" t="str">
        <f>VLOOKUP(H110,[1]Tables!$A$1:$B$3,2,FALSE)</f>
        <v>ASL + Monica</v>
      </c>
      <c r="J110" s="22" t="str">
        <f>'[1]2018'!D25</f>
        <v>935</v>
      </c>
      <c r="K110" s="21" t="str">
        <f>'[1]2018'!E25</f>
        <v>Deduct QIP Honoraires VILLAGE</v>
      </c>
      <c r="L110" s="20">
        <f t="shared" si="3"/>
        <v>43101</v>
      </c>
      <c r="M110" s="18" t="s">
        <v>4204</v>
      </c>
      <c r="N110" s="18" t="s">
        <v>4204</v>
      </c>
      <c r="O110" s="19">
        <f>'[1]2018'!F25</f>
        <v>-1356.09</v>
      </c>
      <c r="P110" s="18" t="s">
        <v>4204</v>
      </c>
      <c r="Q110" s="17"/>
    </row>
    <row r="111" spans="1:17" x14ac:dyDescent="0.4">
      <c r="A111" s="25" t="s">
        <v>15</v>
      </c>
      <c r="B111" s="25" t="s">
        <v>16</v>
      </c>
      <c r="C111" s="24">
        <v>43101</v>
      </c>
      <c r="D111" s="24">
        <v>43465</v>
      </c>
      <c r="E111" s="23" t="s">
        <v>30</v>
      </c>
      <c r="F111" s="22">
        <f>'[1]2018'!B26+0</f>
        <v>0</v>
      </c>
      <c r="G111" s="22" t="s">
        <v>4205</v>
      </c>
      <c r="H111" s="22">
        <f>'[1]2018'!C26+0</f>
        <v>4</v>
      </c>
      <c r="I111" s="22" t="str">
        <f>VLOOKUP(H111,[1]Tables!$A$1:$B$3,2,FALSE)</f>
        <v>ASL + Monica</v>
      </c>
      <c r="J111" s="22" t="str">
        <f>'[1]2018'!D26</f>
        <v>988</v>
      </c>
      <c r="K111" s="21" t="str">
        <f>'[1]2018'!E26</f>
        <v>Rompus sur repartitron</v>
      </c>
      <c r="L111" s="20">
        <f t="shared" si="3"/>
        <v>43101</v>
      </c>
      <c r="M111" s="18" t="s">
        <v>4204</v>
      </c>
      <c r="N111" s="18" t="s">
        <v>4204</v>
      </c>
      <c r="O111" s="19">
        <f>'[1]2018'!F26</f>
        <v>0.01</v>
      </c>
      <c r="P111" s="18" t="s">
        <v>4204</v>
      </c>
      <c r="Q111" s="17"/>
    </row>
    <row r="112" spans="1:17" ht="29.15" x14ac:dyDescent="0.4">
      <c r="A112" s="25" t="s">
        <v>15</v>
      </c>
      <c r="B112" s="25" t="s">
        <v>16</v>
      </c>
      <c r="C112" s="24">
        <v>43101</v>
      </c>
      <c r="D112" s="24">
        <v>43465</v>
      </c>
      <c r="E112" s="23" t="s">
        <v>30</v>
      </c>
      <c r="F112" s="22">
        <f>'[1]2018'!B29+0</f>
        <v>0</v>
      </c>
      <c r="G112" s="22" t="s">
        <v>4205</v>
      </c>
      <c r="H112" s="22">
        <f>'[1]2018'!C29+0</f>
        <v>3</v>
      </c>
      <c r="I112" s="22" t="str">
        <f>VLOOKUP(H112,[1]Tables!$A$1:$B$3,2,FALSE)</f>
        <v>Charges d'administration</v>
      </c>
      <c r="J112" s="22" t="str">
        <f>'[1]2018'!D29</f>
        <v>231</v>
      </c>
      <c r="K112" s="21" t="str">
        <f>'[1]2018'!E29</f>
        <v>Gestion archives du Syndicat</v>
      </c>
      <c r="L112" s="20">
        <f t="shared" si="3"/>
        <v>43101</v>
      </c>
      <c r="M112" s="18" t="s">
        <v>4204</v>
      </c>
      <c r="N112" s="18" t="s">
        <v>4204</v>
      </c>
      <c r="O112" s="19">
        <f>'[1]2018'!F29</f>
        <v>244.61</v>
      </c>
      <c r="P112" s="18" t="s">
        <v>4204</v>
      </c>
      <c r="Q112" s="17"/>
    </row>
    <row r="113" spans="1:17" ht="29.15" x14ac:dyDescent="0.4">
      <c r="A113" s="25" t="s">
        <v>15</v>
      </c>
      <c r="B113" s="25" t="s">
        <v>16</v>
      </c>
      <c r="C113" s="24">
        <v>43101</v>
      </c>
      <c r="D113" s="24">
        <v>43465</v>
      </c>
      <c r="E113" s="23" t="s">
        <v>30</v>
      </c>
      <c r="F113" s="22">
        <f>'[1]2018'!B30+0</f>
        <v>0</v>
      </c>
      <c r="G113" s="22" t="s">
        <v>4205</v>
      </c>
      <c r="H113" s="22">
        <f>'[1]2018'!C30+0</f>
        <v>3</v>
      </c>
      <c r="I113" s="22" t="str">
        <f>VLOOKUP(H113,[1]Tables!$A$1:$B$3,2,FALSE)</f>
        <v>Charges d'administration</v>
      </c>
      <c r="J113" s="22" t="str">
        <f>'[1]2018'!D30</f>
        <v>241</v>
      </c>
      <c r="K113" s="21" t="str">
        <f>'[1]2018'!E30</f>
        <v>Location salle AG</v>
      </c>
      <c r="L113" s="20">
        <f t="shared" si="3"/>
        <v>43101</v>
      </c>
      <c r="M113" s="18" t="s">
        <v>4204</v>
      </c>
      <c r="N113" s="18" t="s">
        <v>4204</v>
      </c>
      <c r="O113" s="19">
        <f>'[1]2018'!F30</f>
        <v>0</v>
      </c>
      <c r="P113" s="18" t="s">
        <v>4204</v>
      </c>
      <c r="Q113" s="17"/>
    </row>
    <row r="114" spans="1:17" ht="29.15" x14ac:dyDescent="0.4">
      <c r="A114" s="25" t="s">
        <v>15</v>
      </c>
      <c r="B114" s="25" t="s">
        <v>16</v>
      </c>
      <c r="C114" s="24">
        <v>43101</v>
      </c>
      <c r="D114" s="24">
        <v>43465</v>
      </c>
      <c r="E114" s="23" t="s">
        <v>30</v>
      </c>
      <c r="F114" s="22">
        <f>'[1]2018'!B31+0</f>
        <v>0</v>
      </c>
      <c r="G114" s="22" t="s">
        <v>4205</v>
      </c>
      <c r="H114" s="22">
        <f>'[1]2018'!C31+0</f>
        <v>3</v>
      </c>
      <c r="I114" s="22" t="str">
        <f>VLOOKUP(H114,[1]Tables!$A$1:$B$3,2,FALSE)</f>
        <v>Charges d'administration</v>
      </c>
      <c r="J114" s="22" t="str">
        <f>'[1]2018'!D31</f>
        <v>352</v>
      </c>
      <c r="K114" s="21" t="str">
        <f>'[1]2018'!E31</f>
        <v>Frais Affranchissements</v>
      </c>
      <c r="L114" s="20">
        <f t="shared" si="3"/>
        <v>43101</v>
      </c>
      <c r="M114" s="18" t="s">
        <v>4204</v>
      </c>
      <c r="N114" s="18" t="s">
        <v>4204</v>
      </c>
      <c r="O114" s="19">
        <f>'[1]2018'!F31</f>
        <v>1054.81</v>
      </c>
      <c r="P114" s="18" t="s">
        <v>4204</v>
      </c>
      <c r="Q114" s="17"/>
    </row>
    <row r="115" spans="1:17" ht="29.15" x14ac:dyDescent="0.4">
      <c r="A115" s="25" t="s">
        <v>15</v>
      </c>
      <c r="B115" s="25" t="s">
        <v>16</v>
      </c>
      <c r="C115" s="24">
        <v>43101</v>
      </c>
      <c r="D115" s="24">
        <v>43465</v>
      </c>
      <c r="E115" s="23" t="s">
        <v>30</v>
      </c>
      <c r="F115" s="22">
        <f>'[1]2018'!B32+0</f>
        <v>0</v>
      </c>
      <c r="G115" s="22" t="s">
        <v>4205</v>
      </c>
      <c r="H115" s="22">
        <f>'[1]2018'!C32+0</f>
        <v>3</v>
      </c>
      <c r="I115" s="22" t="str">
        <f>VLOOKUP(H115,[1]Tables!$A$1:$B$3,2,FALSE)</f>
        <v>Charges d'administration</v>
      </c>
      <c r="J115" s="22" t="str">
        <f>'[1]2018'!D32</f>
        <v>353</v>
      </c>
      <c r="K115" s="21" t="str">
        <f>'[1]2018'!E32</f>
        <v>Frais tirage comptes convoc</v>
      </c>
      <c r="L115" s="20">
        <f t="shared" si="3"/>
        <v>43101</v>
      </c>
      <c r="M115" s="18" t="s">
        <v>4204</v>
      </c>
      <c r="N115" s="18" t="s">
        <v>4204</v>
      </c>
      <c r="O115" s="19">
        <f>'[1]2018'!F32</f>
        <v>0</v>
      </c>
      <c r="P115" s="18" t="s">
        <v>4204</v>
      </c>
      <c r="Q115" s="17"/>
    </row>
    <row r="116" spans="1:17" x14ac:dyDescent="0.4">
      <c r="A116" s="25" t="s">
        <v>15</v>
      </c>
      <c r="B116" s="25" t="s">
        <v>16</v>
      </c>
      <c r="C116" s="24">
        <v>43466</v>
      </c>
      <c r="D116" s="24">
        <v>43830</v>
      </c>
      <c r="E116" s="23" t="s">
        <v>30</v>
      </c>
      <c r="F116" s="22">
        <f>'[1]2019'!B12+0</f>
        <v>0</v>
      </c>
      <c r="G116" s="22" t="s">
        <v>4205</v>
      </c>
      <c r="H116" s="22">
        <f>'[1]2019'!C12+0</f>
        <v>4</v>
      </c>
      <c r="I116" s="22" t="str">
        <f>VLOOKUP(H116,[1]Tables!$A$1:$B$3,2,FALSE)</f>
        <v>ASL + Monica</v>
      </c>
      <c r="J116" s="22" t="str">
        <f>'[1]2019'!D12</f>
        <v>269</v>
      </c>
      <c r="K116" s="21" t="str">
        <f>'[1]2019'!E12</f>
        <v>EDF Piscine</v>
      </c>
      <c r="L116" s="20">
        <f t="shared" si="3"/>
        <v>43466</v>
      </c>
      <c r="M116" s="18" t="s">
        <v>4204</v>
      </c>
      <c r="N116" s="18" t="s">
        <v>4204</v>
      </c>
      <c r="O116" s="19">
        <f>'[1]2019'!F12</f>
        <v>1988.11</v>
      </c>
      <c r="P116" s="18" t="s">
        <v>4204</v>
      </c>
      <c r="Q116" s="17"/>
    </row>
    <row r="117" spans="1:17" x14ac:dyDescent="0.4">
      <c r="A117" s="25" t="s">
        <v>15</v>
      </c>
      <c r="B117" s="25" t="s">
        <v>16</v>
      </c>
      <c r="C117" s="24">
        <v>43466</v>
      </c>
      <c r="D117" s="24">
        <v>43830</v>
      </c>
      <c r="E117" s="23" t="s">
        <v>30</v>
      </c>
      <c r="F117" s="22">
        <f>'[1]2019'!B13+0</f>
        <v>0</v>
      </c>
      <c r="G117" s="22" t="s">
        <v>4205</v>
      </c>
      <c r="H117" s="22">
        <f>'[1]2019'!C13+0</f>
        <v>4</v>
      </c>
      <c r="I117" s="22" t="str">
        <f>VLOOKUP(H117,[1]Tables!$A$1:$B$3,2,FALSE)</f>
        <v>ASL + Monica</v>
      </c>
      <c r="J117" s="22" t="str">
        <f>'[1]2019'!D13</f>
        <v>281</v>
      </c>
      <c r="K117" s="21" t="str">
        <f>'[1]2019'!E13</f>
        <v>Consommation eau piscine</v>
      </c>
      <c r="L117" s="20">
        <f t="shared" si="3"/>
        <v>43466</v>
      </c>
      <c r="M117" s="18" t="s">
        <v>4204</v>
      </c>
      <c r="N117" s="18" t="s">
        <v>4204</v>
      </c>
      <c r="O117" s="19">
        <f>'[1]2019'!F13</f>
        <v>-42.09</v>
      </c>
      <c r="P117" s="18" t="s">
        <v>4204</v>
      </c>
      <c r="Q117" s="17"/>
    </row>
    <row r="118" spans="1:17" x14ac:dyDescent="0.4">
      <c r="A118" s="25" t="s">
        <v>15</v>
      </c>
      <c r="B118" s="25" t="s">
        <v>16</v>
      </c>
      <c r="C118" s="24">
        <v>43466</v>
      </c>
      <c r="D118" s="24">
        <v>43830</v>
      </c>
      <c r="E118" s="23" t="s">
        <v>30</v>
      </c>
      <c r="F118" s="22">
        <f>'[1]2019'!B14+0</f>
        <v>0</v>
      </c>
      <c r="G118" s="22" t="s">
        <v>4205</v>
      </c>
      <c r="H118" s="22">
        <f>'[1]2019'!C14+0</f>
        <v>4</v>
      </c>
      <c r="I118" s="22" t="str">
        <f>VLOOKUP(H118,[1]Tables!$A$1:$B$3,2,FALSE)</f>
        <v>ASL + Monica</v>
      </c>
      <c r="J118" s="22" t="str">
        <f>'[1]2019'!D14</f>
        <v>401</v>
      </c>
      <c r="K118" s="21" t="str">
        <f>'[1]2019'!E14</f>
        <v>Honoraires Syndic</v>
      </c>
      <c r="L118" s="20">
        <f t="shared" si="3"/>
        <v>43466</v>
      </c>
      <c r="M118" s="18" t="s">
        <v>4204</v>
      </c>
      <c r="N118" s="18" t="s">
        <v>4204</v>
      </c>
      <c r="O118" s="19">
        <f>'[1]2019'!F14</f>
        <v>12516</v>
      </c>
      <c r="P118" s="18" t="s">
        <v>4204</v>
      </c>
      <c r="Q118" s="17"/>
    </row>
    <row r="119" spans="1:17" x14ac:dyDescent="0.4">
      <c r="A119" s="25" t="s">
        <v>15</v>
      </c>
      <c r="B119" s="25" t="s">
        <v>16</v>
      </c>
      <c r="C119" s="24">
        <v>43466</v>
      </c>
      <c r="D119" s="24">
        <v>43830</v>
      </c>
      <c r="E119" s="23" t="s">
        <v>30</v>
      </c>
      <c r="F119" s="22">
        <f>'[1]2019'!B15+0</f>
        <v>0</v>
      </c>
      <c r="G119" s="22" t="s">
        <v>4205</v>
      </c>
      <c r="H119" s="22">
        <f>'[1]2019'!C15+0</f>
        <v>4</v>
      </c>
      <c r="I119" s="22" t="str">
        <f>VLOOKUP(H119,[1]Tables!$A$1:$B$3,2,FALSE)</f>
        <v>ASL + Monica</v>
      </c>
      <c r="J119" s="22" t="str">
        <f>'[1]2019'!D15</f>
        <v>481</v>
      </c>
      <c r="K119" s="21" t="str">
        <f>'[1]2019'!E15</f>
        <v>Taxe fonciere</v>
      </c>
      <c r="L119" s="20">
        <f t="shared" si="3"/>
        <v>43466</v>
      </c>
      <c r="M119" s="18" t="s">
        <v>4204</v>
      </c>
      <c r="N119" s="18" t="s">
        <v>4204</v>
      </c>
      <c r="O119" s="19">
        <f>'[1]2019'!F15</f>
        <v>1497</v>
      </c>
      <c r="P119" s="18" t="s">
        <v>4204</v>
      </c>
      <c r="Q119" s="17"/>
    </row>
    <row r="120" spans="1:17" x14ac:dyDescent="0.4">
      <c r="A120" s="25" t="s">
        <v>15</v>
      </c>
      <c r="B120" s="25" t="s">
        <v>16</v>
      </c>
      <c r="C120" s="24">
        <v>43466</v>
      </c>
      <c r="D120" s="24">
        <v>43830</v>
      </c>
      <c r="E120" s="23" t="s">
        <v>30</v>
      </c>
      <c r="F120" s="22">
        <f>'[1]2019'!B16+0</f>
        <v>0</v>
      </c>
      <c r="G120" s="22" t="s">
        <v>4205</v>
      </c>
      <c r="H120" s="22">
        <f>'[1]2019'!C16+0</f>
        <v>4</v>
      </c>
      <c r="I120" s="22" t="str">
        <f>VLOOKUP(H120,[1]Tables!$A$1:$B$3,2,FALSE)</f>
        <v>ASL + Monica</v>
      </c>
      <c r="J120" s="22" t="str">
        <f>'[1]2019'!D16</f>
        <v>482</v>
      </c>
      <c r="K120" s="21" t="str">
        <f>'[1]2019'!E16</f>
        <v>Taxe d'habitation</v>
      </c>
      <c r="L120" s="20">
        <f t="shared" si="3"/>
        <v>43466</v>
      </c>
      <c r="M120" s="18" t="s">
        <v>4204</v>
      </c>
      <c r="N120" s="18" t="s">
        <v>4204</v>
      </c>
      <c r="O120" s="19">
        <f>'[1]2019'!F16</f>
        <v>1306</v>
      </c>
      <c r="P120" s="18" t="s">
        <v>4204</v>
      </c>
      <c r="Q120" s="17"/>
    </row>
    <row r="121" spans="1:17" x14ac:dyDescent="0.4">
      <c r="A121" s="25" t="s">
        <v>15</v>
      </c>
      <c r="B121" s="25" t="s">
        <v>16</v>
      </c>
      <c r="C121" s="24">
        <v>43466</v>
      </c>
      <c r="D121" s="24">
        <v>43830</v>
      </c>
      <c r="E121" s="23" t="s">
        <v>30</v>
      </c>
      <c r="F121" s="22">
        <f>'[1]2019'!B17+0</f>
        <v>0</v>
      </c>
      <c r="G121" s="22" t="s">
        <v>4205</v>
      </c>
      <c r="H121" s="22">
        <f>'[1]2019'!C17+0</f>
        <v>4</v>
      </c>
      <c r="I121" s="22" t="str">
        <f>VLOOKUP(H121,[1]Tables!$A$1:$B$3,2,FALSE)</f>
        <v>ASL + Monica</v>
      </c>
      <c r="J121" s="22" t="str">
        <f>'[1]2019'!D17</f>
        <v>702</v>
      </c>
      <c r="K121" s="21" t="str">
        <f>'[1]2019'!E17</f>
        <v>Contrat entr extincteurs</v>
      </c>
      <c r="L121" s="20">
        <f t="shared" si="3"/>
        <v>43466</v>
      </c>
      <c r="M121" s="18" t="s">
        <v>4204</v>
      </c>
      <c r="N121" s="18" t="s">
        <v>4204</v>
      </c>
      <c r="O121" s="19">
        <f>'[1]2019'!F17</f>
        <v>19.8</v>
      </c>
      <c r="P121" s="18" t="s">
        <v>4204</v>
      </c>
      <c r="Q121" s="17"/>
    </row>
    <row r="122" spans="1:17" x14ac:dyDescent="0.4">
      <c r="A122" s="25" t="s">
        <v>15</v>
      </c>
      <c r="B122" s="25" t="s">
        <v>16</v>
      </c>
      <c r="C122" s="24">
        <v>43466</v>
      </c>
      <c r="D122" s="24">
        <v>43830</v>
      </c>
      <c r="E122" s="23" t="s">
        <v>30</v>
      </c>
      <c r="F122" s="22">
        <f>'[1]2019'!B18+0</f>
        <v>0</v>
      </c>
      <c r="G122" s="22" t="s">
        <v>4205</v>
      </c>
      <c r="H122" s="22">
        <f>'[1]2019'!C18+0</f>
        <v>4</v>
      </c>
      <c r="I122" s="22" t="str">
        <f>VLOOKUP(H122,[1]Tables!$A$1:$B$3,2,FALSE)</f>
        <v>ASL + Monica</v>
      </c>
      <c r="J122" s="22" t="str">
        <f>'[1]2019'!D18</f>
        <v>706</v>
      </c>
      <c r="K122" s="21" t="str">
        <f>'[1]2019'!E18</f>
        <v>Entretien extincteurs</v>
      </c>
      <c r="L122" s="20">
        <f t="shared" si="3"/>
        <v>43466</v>
      </c>
      <c r="M122" s="18" t="s">
        <v>4204</v>
      </c>
      <c r="N122" s="18" t="s">
        <v>4204</v>
      </c>
      <c r="O122" s="19">
        <f>'[1]2019'!F18</f>
        <v>0</v>
      </c>
      <c r="P122" s="18" t="s">
        <v>4204</v>
      </c>
      <c r="Q122" s="17"/>
    </row>
    <row r="123" spans="1:17" x14ac:dyDescent="0.4">
      <c r="A123" s="25" t="s">
        <v>15</v>
      </c>
      <c r="B123" s="25" t="s">
        <v>16</v>
      </c>
      <c r="C123" s="24">
        <v>43466</v>
      </c>
      <c r="D123" s="24">
        <v>43830</v>
      </c>
      <c r="E123" s="23" t="s">
        <v>30</v>
      </c>
      <c r="F123" s="22">
        <f>'[1]2019'!B19+0</f>
        <v>0</v>
      </c>
      <c r="G123" s="22" t="s">
        <v>4205</v>
      </c>
      <c r="H123" s="22">
        <f>'[1]2019'!C19+0</f>
        <v>4</v>
      </c>
      <c r="I123" s="22" t="str">
        <f>VLOOKUP(H123,[1]Tables!$A$1:$B$3,2,FALSE)</f>
        <v>ASL + Monica</v>
      </c>
      <c r="J123" s="22" t="str">
        <f>'[1]2019'!D19</f>
        <v>856</v>
      </c>
      <c r="K123" s="21" t="str">
        <f>'[1]2019'!E19</f>
        <v>Travaux piscine</v>
      </c>
      <c r="L123" s="20">
        <f t="shared" si="3"/>
        <v>43466</v>
      </c>
      <c r="M123" s="18" t="s">
        <v>4204</v>
      </c>
      <c r="N123" s="18" t="s">
        <v>4204</v>
      </c>
      <c r="O123" s="19">
        <f>'[1]2019'!F19</f>
        <v>0</v>
      </c>
      <c r="P123" s="18" t="s">
        <v>4204</v>
      </c>
      <c r="Q123" s="17"/>
    </row>
    <row r="124" spans="1:17" x14ac:dyDescent="0.4">
      <c r="A124" s="25" t="s">
        <v>15</v>
      </c>
      <c r="B124" s="25" t="s">
        <v>16</v>
      </c>
      <c r="C124" s="24">
        <v>43466</v>
      </c>
      <c r="D124" s="24">
        <v>43830</v>
      </c>
      <c r="E124" s="23" t="s">
        <v>30</v>
      </c>
      <c r="F124" s="22">
        <f>'[1]2019'!B20+0</f>
        <v>0</v>
      </c>
      <c r="G124" s="22" t="s">
        <v>4205</v>
      </c>
      <c r="H124" s="22">
        <f>'[1]2019'!C20+0</f>
        <v>4</v>
      </c>
      <c r="I124" s="22" t="str">
        <f>VLOOKUP(H124,[1]Tables!$A$1:$B$3,2,FALSE)</f>
        <v>ASL + Monica</v>
      </c>
      <c r="J124" s="22" t="str">
        <f>'[1]2019'!D20</f>
        <v>857</v>
      </c>
      <c r="K124" s="21" t="str">
        <f>'[1]2019'!E20</f>
        <v>Fournitures piscine</v>
      </c>
      <c r="L124" s="20">
        <f t="shared" si="3"/>
        <v>43466</v>
      </c>
      <c r="M124" s="18" t="s">
        <v>4204</v>
      </c>
      <c r="N124" s="18" t="s">
        <v>4204</v>
      </c>
      <c r="O124" s="19">
        <f>'[1]2019'!F20</f>
        <v>1215.9000000000001</v>
      </c>
      <c r="P124" s="18" t="s">
        <v>4204</v>
      </c>
      <c r="Q124" s="17"/>
    </row>
    <row r="125" spans="1:17" x14ac:dyDescent="0.4">
      <c r="A125" s="25" t="s">
        <v>15</v>
      </c>
      <c r="B125" s="25" t="s">
        <v>16</v>
      </c>
      <c r="C125" s="24">
        <v>43466</v>
      </c>
      <c r="D125" s="24">
        <v>43830</v>
      </c>
      <c r="E125" s="23" t="s">
        <v>30</v>
      </c>
      <c r="F125" s="22">
        <f>'[1]2019'!B21+0</f>
        <v>0</v>
      </c>
      <c r="G125" s="22" t="s">
        <v>4205</v>
      </c>
      <c r="H125" s="22">
        <f>'[1]2019'!C21+0</f>
        <v>4</v>
      </c>
      <c r="I125" s="22" t="str">
        <f>VLOOKUP(H125,[1]Tables!$A$1:$B$3,2,FALSE)</f>
        <v>ASL + Monica</v>
      </c>
      <c r="J125" s="22" t="str">
        <f>'[1]2019'!D21</f>
        <v>858</v>
      </c>
      <c r="K125" s="21" t="str">
        <f>'[1]2019'!E21</f>
        <v>Analyses Piscine</v>
      </c>
      <c r="L125" s="20">
        <f t="shared" si="3"/>
        <v>43466</v>
      </c>
      <c r="M125" s="18" t="s">
        <v>4204</v>
      </c>
      <c r="N125" s="18" t="s">
        <v>4204</v>
      </c>
      <c r="O125" s="19">
        <f>'[1]2019'!F21</f>
        <v>0</v>
      </c>
      <c r="P125" s="18" t="s">
        <v>4204</v>
      </c>
      <c r="Q125" s="17"/>
    </row>
    <row r="126" spans="1:17" x14ac:dyDescent="0.4">
      <c r="A126" s="25" t="s">
        <v>15</v>
      </c>
      <c r="B126" s="25" t="s">
        <v>16</v>
      </c>
      <c r="C126" s="24">
        <v>43466</v>
      </c>
      <c r="D126" s="24">
        <v>43830</v>
      </c>
      <c r="E126" s="23" t="s">
        <v>30</v>
      </c>
      <c r="F126" s="22">
        <f>'[1]2019'!B22+0</f>
        <v>0</v>
      </c>
      <c r="G126" s="22" t="s">
        <v>4205</v>
      </c>
      <c r="H126" s="22">
        <f>'[1]2019'!C22+0</f>
        <v>4</v>
      </c>
      <c r="I126" s="22" t="str">
        <f>VLOOKUP(H126,[1]Tables!$A$1:$B$3,2,FALSE)</f>
        <v>ASL + Monica</v>
      </c>
      <c r="J126" s="22" t="str">
        <f>'[1]2019'!D22</f>
        <v>892</v>
      </c>
      <c r="K126" s="21" t="str">
        <f>'[1]2019'!E22</f>
        <v>Deduct QIP Honoraires G/ER</v>
      </c>
      <c r="L126" s="20">
        <f t="shared" si="3"/>
        <v>43466</v>
      </c>
      <c r="M126" s="18" t="s">
        <v>4204</v>
      </c>
      <c r="N126" s="18" t="s">
        <v>4204</v>
      </c>
      <c r="O126" s="19">
        <f>'[1]2019'!F22</f>
        <v>-7602.97</v>
      </c>
      <c r="P126" s="18" t="s">
        <v>4204</v>
      </c>
      <c r="Q126" s="17"/>
    </row>
    <row r="127" spans="1:17" x14ac:dyDescent="0.4">
      <c r="A127" s="25" t="s">
        <v>15</v>
      </c>
      <c r="B127" s="25" t="s">
        <v>16</v>
      </c>
      <c r="C127" s="24">
        <v>43466</v>
      </c>
      <c r="D127" s="24">
        <v>43830</v>
      </c>
      <c r="E127" s="23" t="s">
        <v>30</v>
      </c>
      <c r="F127" s="22">
        <f>'[1]2019'!B23+0</f>
        <v>0</v>
      </c>
      <c r="G127" s="22" t="s">
        <v>4205</v>
      </c>
      <c r="H127" s="22">
        <f>'[1]2019'!C23+0</f>
        <v>4</v>
      </c>
      <c r="I127" s="22" t="str">
        <f>VLOOKUP(H127,[1]Tables!$A$1:$B$3,2,FALSE)</f>
        <v>ASL + Monica</v>
      </c>
      <c r="J127" s="22" t="str">
        <f>'[1]2019'!D23</f>
        <v>905</v>
      </c>
      <c r="K127" s="21" t="str">
        <f>'[1]2019'!E23</f>
        <v>Regul de charges ex anterieur</v>
      </c>
      <c r="L127" s="20">
        <f t="shared" si="3"/>
        <v>43466</v>
      </c>
      <c r="M127" s="18" t="s">
        <v>4204</v>
      </c>
      <c r="N127" s="18" t="s">
        <v>4204</v>
      </c>
      <c r="O127" s="19">
        <f>'[1]2019'!F23</f>
        <v>0</v>
      </c>
      <c r="P127" s="18" t="s">
        <v>4204</v>
      </c>
      <c r="Q127" s="17"/>
    </row>
    <row r="128" spans="1:17" x14ac:dyDescent="0.4">
      <c r="A128" s="25" t="s">
        <v>15</v>
      </c>
      <c r="B128" s="25" t="s">
        <v>16</v>
      </c>
      <c r="C128" s="24">
        <v>43466</v>
      </c>
      <c r="D128" s="24">
        <v>43830</v>
      </c>
      <c r="E128" s="23" t="s">
        <v>30</v>
      </c>
      <c r="F128" s="22">
        <f>'[1]2019'!B24+0</f>
        <v>0</v>
      </c>
      <c r="G128" s="22" t="s">
        <v>4205</v>
      </c>
      <c r="H128" s="22">
        <f>'[1]2019'!C24+0</f>
        <v>4</v>
      </c>
      <c r="I128" s="22" t="str">
        <f>VLOOKUP(H128,[1]Tables!$A$1:$B$3,2,FALSE)</f>
        <v>ASL + Monica</v>
      </c>
      <c r="J128" s="22" t="str">
        <f>'[1]2019'!D24</f>
        <v>909</v>
      </c>
      <c r="K128" s="21" t="str">
        <f>'[1]2019'!E24</f>
        <v>Participation employe immeuble</v>
      </c>
      <c r="L128" s="20">
        <f t="shared" si="3"/>
        <v>43466</v>
      </c>
      <c r="M128" s="18" t="s">
        <v>4204</v>
      </c>
      <c r="N128" s="18" t="s">
        <v>4204</v>
      </c>
      <c r="O128" s="19">
        <f>'[1]2019'!F24</f>
        <v>47361.94</v>
      </c>
      <c r="P128" s="18" t="s">
        <v>4204</v>
      </c>
      <c r="Q128" s="17"/>
    </row>
    <row r="129" spans="1:17" x14ac:dyDescent="0.4">
      <c r="A129" s="25" t="s">
        <v>15</v>
      </c>
      <c r="B129" s="25" t="s">
        <v>16</v>
      </c>
      <c r="C129" s="24">
        <v>43466</v>
      </c>
      <c r="D129" s="24">
        <v>43830</v>
      </c>
      <c r="E129" s="23" t="s">
        <v>30</v>
      </c>
      <c r="F129" s="22">
        <f>'[1]2019'!B25+0</f>
        <v>0</v>
      </c>
      <c r="G129" s="22" t="s">
        <v>4205</v>
      </c>
      <c r="H129" s="22">
        <f>'[1]2019'!C25+0</f>
        <v>4</v>
      </c>
      <c r="I129" s="22" t="str">
        <f>VLOOKUP(H129,[1]Tables!$A$1:$B$3,2,FALSE)</f>
        <v>ASL + Monica</v>
      </c>
      <c r="J129" s="22" t="str">
        <f>'[1]2019'!D25</f>
        <v>935</v>
      </c>
      <c r="K129" s="21" t="str">
        <f>'[1]2019'!E25</f>
        <v>Deduct Q/P Honoraires VILLAGE</v>
      </c>
      <c r="L129" s="20">
        <f t="shared" si="3"/>
        <v>43466</v>
      </c>
      <c r="M129" s="18" t="s">
        <v>4204</v>
      </c>
      <c r="N129" s="18" t="s">
        <v>4204</v>
      </c>
      <c r="O129" s="19">
        <f>'[1]2019'!F25</f>
        <v>-1356.09</v>
      </c>
      <c r="P129" s="18" t="s">
        <v>4204</v>
      </c>
      <c r="Q129" s="17"/>
    </row>
    <row r="130" spans="1:17" x14ac:dyDescent="0.4">
      <c r="A130" s="25" t="s">
        <v>15</v>
      </c>
      <c r="B130" s="25" t="s">
        <v>16</v>
      </c>
      <c r="C130" s="24">
        <v>43466</v>
      </c>
      <c r="D130" s="24">
        <v>43830</v>
      </c>
      <c r="E130" s="23" t="s">
        <v>30</v>
      </c>
      <c r="F130" s="22">
        <f>'[1]2019'!B26+0</f>
        <v>0</v>
      </c>
      <c r="G130" s="22" t="s">
        <v>4205</v>
      </c>
      <c r="H130" s="22">
        <f>'[1]2019'!C26+0</f>
        <v>4</v>
      </c>
      <c r="I130" s="22" t="str">
        <f>VLOOKUP(H130,[1]Tables!$A$1:$B$3,2,FALSE)</f>
        <v>ASL + Monica</v>
      </c>
      <c r="J130" s="22" t="str">
        <f>'[1]2019'!D26</f>
        <v>988</v>
      </c>
      <c r="K130" s="21" t="str">
        <f>'[1]2019'!E26</f>
        <v>Rompus sur repartition</v>
      </c>
      <c r="L130" s="20">
        <f t="shared" si="3"/>
        <v>43466</v>
      </c>
      <c r="M130" s="18" t="s">
        <v>4204</v>
      </c>
      <c r="N130" s="18" t="s">
        <v>4204</v>
      </c>
      <c r="O130" s="19">
        <f>'[1]2019'!F26</f>
        <v>-0.05</v>
      </c>
      <c r="P130" s="18" t="s">
        <v>4204</v>
      </c>
      <c r="Q130" s="17"/>
    </row>
    <row r="131" spans="1:17" ht="29.15" x14ac:dyDescent="0.4">
      <c r="A131" s="25" t="s">
        <v>15</v>
      </c>
      <c r="B131" s="25" t="s">
        <v>16</v>
      </c>
      <c r="C131" s="24">
        <v>43466</v>
      </c>
      <c r="D131" s="24">
        <v>43830</v>
      </c>
      <c r="E131" s="23" t="s">
        <v>30</v>
      </c>
      <c r="F131" s="22">
        <f>'[1]2019'!B29+0</f>
        <v>0</v>
      </c>
      <c r="G131" s="22" t="s">
        <v>4205</v>
      </c>
      <c r="H131" s="22">
        <f>'[1]2019'!C29+0</f>
        <v>3</v>
      </c>
      <c r="I131" s="22" t="str">
        <f>VLOOKUP(H131,[1]Tables!$A$1:$B$3,2,FALSE)</f>
        <v>Charges d'administration</v>
      </c>
      <c r="J131" s="22" t="str">
        <f>'[1]2019'!D29</f>
        <v>231</v>
      </c>
      <c r="K131" s="21" t="str">
        <f>'[1]2019'!E29</f>
        <v>Gestion archives du Syndicat</v>
      </c>
      <c r="L131" s="20">
        <f t="shared" si="3"/>
        <v>43466</v>
      </c>
      <c r="M131" s="18" t="s">
        <v>4204</v>
      </c>
      <c r="N131" s="18" t="s">
        <v>4204</v>
      </c>
      <c r="O131" s="19">
        <f>'[1]2019'!F29</f>
        <v>248.74</v>
      </c>
      <c r="P131" s="18" t="s">
        <v>4204</v>
      </c>
      <c r="Q131" s="17"/>
    </row>
    <row r="132" spans="1:17" ht="29.15" x14ac:dyDescent="0.4">
      <c r="A132" s="25" t="s">
        <v>15</v>
      </c>
      <c r="B132" s="25" t="s">
        <v>16</v>
      </c>
      <c r="C132" s="24">
        <v>43466</v>
      </c>
      <c r="D132" s="24">
        <v>43830</v>
      </c>
      <c r="E132" s="23" t="s">
        <v>30</v>
      </c>
      <c r="F132" s="22">
        <f>'[1]2019'!B30+0</f>
        <v>0</v>
      </c>
      <c r="G132" s="22" t="s">
        <v>4205</v>
      </c>
      <c r="H132" s="22">
        <f>'[1]2019'!C30+0</f>
        <v>3</v>
      </c>
      <c r="I132" s="22" t="str">
        <f>VLOOKUP(H132,[1]Tables!$A$1:$B$3,2,FALSE)</f>
        <v>Charges d'administration</v>
      </c>
      <c r="J132" s="22" t="str">
        <f>'[1]2019'!D30</f>
        <v>241</v>
      </c>
      <c r="K132" s="21" t="str">
        <f>'[1]2019'!E30</f>
        <v>Location salle AG</v>
      </c>
      <c r="L132" s="20">
        <f t="shared" si="3"/>
        <v>43466</v>
      </c>
      <c r="M132" s="18" t="s">
        <v>4204</v>
      </c>
      <c r="N132" s="18" t="s">
        <v>4204</v>
      </c>
      <c r="O132" s="19">
        <f>'[1]2019'!F30</f>
        <v>0</v>
      </c>
      <c r="P132" s="18" t="s">
        <v>4204</v>
      </c>
      <c r="Q132" s="17"/>
    </row>
    <row r="133" spans="1:17" ht="29.15" x14ac:dyDescent="0.4">
      <c r="A133" s="25" t="s">
        <v>15</v>
      </c>
      <c r="B133" s="25" t="s">
        <v>16</v>
      </c>
      <c r="C133" s="24">
        <v>43466</v>
      </c>
      <c r="D133" s="24">
        <v>43830</v>
      </c>
      <c r="E133" s="23" t="s">
        <v>30</v>
      </c>
      <c r="F133" s="22">
        <f>'[1]2019'!B31+0</f>
        <v>0</v>
      </c>
      <c r="G133" s="22" t="s">
        <v>4205</v>
      </c>
      <c r="H133" s="22">
        <f>'[1]2019'!C31+0</f>
        <v>3</v>
      </c>
      <c r="I133" s="22" t="str">
        <f>VLOOKUP(H133,[1]Tables!$A$1:$B$3,2,FALSE)</f>
        <v>Charges d'administration</v>
      </c>
      <c r="J133" s="22" t="str">
        <f>'[1]2019'!D31</f>
        <v>352</v>
      </c>
      <c r="K133" s="21" t="str">
        <f>'[1]2019'!E31</f>
        <v>Frais Affranchissements</v>
      </c>
      <c r="L133" s="20">
        <f t="shared" si="3"/>
        <v>43466</v>
      </c>
      <c r="M133" s="18" t="s">
        <v>4204</v>
      </c>
      <c r="N133" s="18" t="s">
        <v>4204</v>
      </c>
      <c r="O133" s="19">
        <f>'[1]2019'!F31</f>
        <v>1265</v>
      </c>
      <c r="P133" s="18" t="s">
        <v>4204</v>
      </c>
      <c r="Q133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data</vt:lpstr>
      <vt:lpstr>Parametres</vt:lpstr>
      <vt:lpstr>F_agregation</vt:lpstr>
      <vt:lpstr>F_agregation!Agregation_2015_a_2019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2025-09-29T05:31:43Z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