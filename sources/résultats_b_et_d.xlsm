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32"/>
  <workbookPr defaultThemeVersion="202300"/>
  <mc:AlternateContent xmlns:mc="http://schemas.openxmlformats.org/markup-compatibility/2006">
    <mc:Choice Requires="x15">
      <x15ac:absPath xmlns:x15ac="http://schemas.microsoft.com/office/spreadsheetml/2010/11/ac" url="C:\mes_dossiers_synchronises\projet_rgd_pas_a_pas\sources\"/>
    </mc:Choice>
  </mc:AlternateContent>
  <xr:revisionPtr revIDLastSave="0" documentId="13_ncr:1_{8923D31C-B4C0-44B0-B885-D39125AC59CF}" xr6:coauthVersionLast="47" xr6:coauthVersionMax="47" xr10:uidLastSave="{00000000-0000-0000-0000-000000000000}"/>
  <bookViews>
    <workbookView xWindow="16371" yWindow="0" windowWidth="16629" windowHeight="17880" xr2:uid="{B32BE7DD-1072-408D-9567-741E004E4512}"/>
  </bookViews>
  <sheets>
    <sheet name="Feuil1" sheetId="1" r:id="rId1"/>
    <sheet name="Feuil2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L19" i="1" l="1"/>
  <c r="L18" i="1" s="1"/>
  <c r="L15" i="1"/>
  <c r="L6" i="1"/>
  <c r="K55" i="1"/>
  <c r="K19" i="1"/>
  <c r="K15" i="1"/>
  <c r="K14" i="1" s="1"/>
  <c r="K6" i="1"/>
  <c r="L52" i="1"/>
  <c r="L49" i="1"/>
  <c r="L46" i="1"/>
  <c r="L43" i="1"/>
  <c r="L40" i="1"/>
  <c r="L37" i="1"/>
  <c r="L34" i="1"/>
  <c r="L31" i="1"/>
  <c r="L28" i="1"/>
  <c r="L25" i="1"/>
  <c r="L22" i="1"/>
  <c r="L14" i="1"/>
  <c r="L4" i="1"/>
  <c r="J52" i="1"/>
  <c r="I52" i="1"/>
  <c r="H52" i="1"/>
  <c r="G52" i="1"/>
  <c r="F52" i="1"/>
  <c r="E52" i="1"/>
  <c r="D52" i="1"/>
  <c r="J49" i="1"/>
  <c r="I49" i="1"/>
  <c r="H49" i="1"/>
  <c r="G49" i="1"/>
  <c r="F49" i="1"/>
  <c r="E49" i="1"/>
  <c r="D49" i="1"/>
  <c r="J46" i="1"/>
  <c r="I46" i="1"/>
  <c r="H46" i="1"/>
  <c r="G46" i="1"/>
  <c r="F46" i="1"/>
  <c r="E46" i="1"/>
  <c r="D46" i="1"/>
  <c r="J43" i="1"/>
  <c r="I43" i="1"/>
  <c r="H43" i="1"/>
  <c r="G43" i="1"/>
  <c r="F43" i="1"/>
  <c r="E43" i="1"/>
  <c r="D43" i="1"/>
  <c r="J40" i="1"/>
  <c r="I40" i="1"/>
  <c r="H40" i="1"/>
  <c r="G40" i="1"/>
  <c r="F40" i="1"/>
  <c r="E40" i="1"/>
  <c r="D40" i="1"/>
  <c r="J37" i="1"/>
  <c r="I37" i="1"/>
  <c r="H37" i="1"/>
  <c r="G37" i="1"/>
  <c r="F37" i="1"/>
  <c r="E37" i="1"/>
  <c r="D37" i="1"/>
  <c r="J34" i="1"/>
  <c r="I34" i="1"/>
  <c r="H34" i="1"/>
  <c r="G34" i="1"/>
  <c r="F34" i="1"/>
  <c r="E34" i="1"/>
  <c r="D34" i="1"/>
  <c r="J31" i="1"/>
  <c r="I31" i="1"/>
  <c r="H31" i="1"/>
  <c r="G31" i="1"/>
  <c r="F31" i="1"/>
  <c r="E31" i="1"/>
  <c r="D31" i="1"/>
  <c r="J28" i="1"/>
  <c r="I28" i="1"/>
  <c r="H28" i="1"/>
  <c r="G28" i="1"/>
  <c r="F28" i="1"/>
  <c r="E28" i="1"/>
  <c r="D28" i="1"/>
  <c r="J25" i="1"/>
  <c r="I25" i="1"/>
  <c r="H25" i="1"/>
  <c r="G25" i="1"/>
  <c r="F25" i="1"/>
  <c r="E25" i="1"/>
  <c r="D25" i="1"/>
  <c r="J22" i="1"/>
  <c r="I22" i="1"/>
  <c r="H22" i="1"/>
  <c r="G22" i="1"/>
  <c r="F22" i="1"/>
  <c r="E22" i="1"/>
  <c r="D22" i="1"/>
  <c r="J18" i="1"/>
  <c r="I18" i="1"/>
  <c r="H18" i="1"/>
  <c r="G18" i="1"/>
  <c r="F18" i="1"/>
  <c r="E18" i="1"/>
  <c r="D18" i="1"/>
  <c r="J14" i="1"/>
  <c r="I14" i="1"/>
  <c r="H14" i="1"/>
  <c r="G14" i="1"/>
  <c r="F14" i="1"/>
  <c r="E14" i="1"/>
  <c r="D14" i="1"/>
  <c r="J4" i="1"/>
  <c r="J55" i="1" s="1"/>
  <c r="I4" i="1"/>
  <c r="I55" i="1" s="1"/>
  <c r="H4" i="1"/>
  <c r="H55" i="1" s="1"/>
  <c r="G4" i="1"/>
  <c r="G55" i="1" s="1"/>
  <c r="F4" i="1"/>
  <c r="F55" i="1" s="1"/>
  <c r="E4" i="1"/>
  <c r="E55" i="1" s="1"/>
  <c r="D4" i="1"/>
  <c r="D55" i="1" s="1"/>
  <c r="K52" i="1"/>
  <c r="K49" i="1"/>
  <c r="K46" i="1"/>
  <c r="K43" i="1"/>
  <c r="K40" i="1"/>
  <c r="K37" i="1"/>
  <c r="K34" i="1"/>
  <c r="K31" i="1"/>
  <c r="K28" i="1"/>
  <c r="K25" i="1"/>
  <c r="K22" i="1"/>
  <c r="K18" i="1"/>
  <c r="K4" i="1"/>
  <c r="D3" i="1"/>
  <c r="E3" i="1"/>
  <c r="F3" i="1"/>
  <c r="G3" i="1"/>
  <c r="H3" i="1"/>
  <c r="I3" i="1"/>
  <c r="J3" i="1"/>
  <c r="K3" i="1"/>
  <c r="L3" i="1"/>
  <c r="M3" i="1"/>
  <c r="M19" i="1"/>
  <c r="M18" i="1" s="1"/>
  <c r="M15" i="1"/>
  <c r="M14" i="1" s="1"/>
  <c r="M6" i="1"/>
  <c r="M4" i="1" s="1"/>
  <c r="M52" i="1"/>
  <c r="M49" i="1"/>
  <c r="M46" i="1"/>
  <c r="M43" i="1"/>
  <c r="M40" i="1"/>
  <c r="M37" i="1"/>
  <c r="M34" i="1"/>
  <c r="M31" i="1"/>
  <c r="M28" i="1"/>
  <c r="M25" i="1"/>
  <c r="M22" i="1"/>
  <c r="A52" i="1"/>
  <c r="B53" i="1"/>
  <c r="B50" i="1"/>
  <c r="A49" i="1"/>
  <c r="A46" i="1"/>
  <c r="B47" i="1"/>
  <c r="A43" i="1"/>
  <c r="B44" i="1"/>
  <c r="B41" i="1"/>
  <c r="A40" i="1"/>
  <c r="A37" i="1"/>
  <c r="B38" i="1"/>
  <c r="A34" i="1"/>
  <c r="B35" i="1"/>
  <c r="A31" i="1"/>
  <c r="B32" i="1"/>
  <c r="B29" i="1"/>
  <c r="A28" i="1"/>
  <c r="B26" i="1"/>
  <c r="A25" i="1"/>
  <c r="B23" i="1"/>
  <c r="A22" i="1"/>
  <c r="B19" i="1"/>
  <c r="A18" i="1"/>
  <c r="B15" i="1"/>
  <c r="A14" i="1"/>
  <c r="B12" i="1"/>
  <c r="B11" i="1"/>
  <c r="B10" i="1"/>
  <c r="B9" i="1"/>
  <c r="B8" i="1"/>
  <c r="B6" i="1"/>
  <c r="B5" i="1"/>
  <c r="A4" i="1"/>
  <c r="L55" i="1" l="1"/>
  <c r="M55" i="1"/>
</calcChain>
</file>

<file path=xl/sharedStrings.xml><?xml version="1.0" encoding="utf-8"?>
<sst xmlns="http://schemas.openxmlformats.org/spreadsheetml/2006/main" count="39" uniqueCount="29">
  <si>
    <t>Charges générales</t>
  </si>
  <si>
    <t>Charges tous bâtiments</t>
  </si>
  <si>
    <t>Charges générales ER</t>
  </si>
  <si>
    <t>Charges administration</t>
  </si>
  <si>
    <t>Charges générales ASL+Monica</t>
  </si>
  <si>
    <t>Charges générales G/ER</t>
  </si>
  <si>
    <t>Eau froide individuelle</t>
  </si>
  <si>
    <t>Compteurs d'eau</t>
  </si>
  <si>
    <t>Charges générales Village</t>
  </si>
  <si>
    <t>Charges générales bâtiment G</t>
  </si>
  <si>
    <t>Charges ascenseur bâtiment G</t>
  </si>
  <si>
    <t>Ascenseur</t>
  </si>
  <si>
    <t>Charges chauffage bâtiment G</t>
  </si>
  <si>
    <t>Production eau chaude sanitaire</t>
  </si>
  <si>
    <t>Charges ascenseur bâtiment E</t>
  </si>
  <si>
    <t>Charges chauffage bâtiment E</t>
  </si>
  <si>
    <t>Charges ascenseur bâtiment R</t>
  </si>
  <si>
    <t>Eau chaude bâtiment G</t>
  </si>
  <si>
    <t>Eau chaude individuelle</t>
  </si>
  <si>
    <t>Eau chaude bâtiment E</t>
  </si>
  <si>
    <t>Eau chaude bâtiment R</t>
  </si>
  <si>
    <t>Charges spéciales bâtiment E</t>
  </si>
  <si>
    <t>Charges spéciales bâtiment R</t>
  </si>
  <si>
    <t>Charges spéciales E</t>
  </si>
  <si>
    <t>Charges spéciales R</t>
  </si>
  <si>
    <t>Exercice clos</t>
  </si>
  <si>
    <t>Quote part général CCG recup</t>
  </si>
  <si>
    <t>Charges chauffage bâtiment R</t>
  </si>
  <si>
    <t>TOTAL GENERAL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</si>
</sst>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theme="0" tint="-0.249977111117893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4" fontId="0" fillId="0" borderId="0" xfId="0" applyNumberFormat="1"/>
    <xf numFmtId="0" fontId="1" fillId="0" borderId="0" xfId="0" applyFont="1"/>
    <xf numFmtId="4" fontId="1" fillId="0" borderId="0" xfId="0" applyNumberFormat="1" applyFont="1"/>
    <xf numFmtId="4" fontId="2" fillId="2" borderId="0" xfId="0" applyNumberFormat="1" applyFont="1" applyFill="1" applyAlignment="1">
      <alignment horizontal="center"/>
    </xf>
    <xf numFmtId="0" fontId="1" fillId="3" borderId="0" xfId="0" applyFont="1" applyFill="1"/>
    <xf numFmtId="4" fontId="1" fillId="3" borderId="0" xfId="0" applyNumberFormat="1" applyFont="1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C4275A-A59B-41D9-9A6B-9A79C23C9EA7}">
  <dimension ref="A1:N58"/>
  <sheetViews>
    <sheetView showGridLines="0" tabSelected="1" topLeftCell="A14" workbookViewId="0">
      <selection activeCell="L54" sqref="L54"/>
    </sheetView>
  </sheetViews>
  <sheetFormatPr baseColWidth="10" defaultRowHeight="14.6" x14ac:dyDescent="0.4"/>
  <cols>
    <col min="1" max="2" width="4.3828125" customWidth="1"/>
    <col min="3" max="3" width="27.3828125" customWidth="1"/>
    <col min="4" max="12" width="10.07421875" customWidth="1"/>
    <col min="13" max="13" width="10.07421875" style="1" customWidth="1"/>
  </cols>
  <sheetData>
    <row r="1" spans="1:14" x14ac:dyDescent="0.4">
      <c r="A1" s="1" t="s">
        <v>25</v>
      </c>
    </row>
    <row r="3" spans="1:14" x14ac:dyDescent="0.4">
      <c r="D3" s="4" t="str">
        <f>"2015"</f>
        <v>2015</v>
      </c>
      <c r="E3" s="4" t="str">
        <f>"2016"</f>
        <v>2016</v>
      </c>
      <c r="F3" s="4" t="str">
        <f>"2017"</f>
        <v>2017</v>
      </c>
      <c r="G3" s="4" t="str">
        <f>"2018"</f>
        <v>2018</v>
      </c>
      <c r="H3" s="4" t="str">
        <f>"2019"</f>
        <v>2019</v>
      </c>
      <c r="I3" s="4" t="str">
        <f>"2020"</f>
        <v>2020</v>
      </c>
      <c r="J3" s="4" t="str">
        <f>"2021"</f>
        <v>2021</v>
      </c>
      <c r="K3" s="4" t="str">
        <f>"2022"</f>
        <v>2022</v>
      </c>
      <c r="L3" s="4" t="str">
        <f>"2023"</f>
        <v>2023</v>
      </c>
      <c r="M3" s="4" t="str">
        <f>"2024"</f>
        <v>2024</v>
      </c>
    </row>
    <row r="4" spans="1:14" x14ac:dyDescent="0.4">
      <c r="A4" s="2" t="str">
        <f>"000"</f>
        <v>000</v>
      </c>
      <c r="B4" s="2" t="s">
        <v>1</v>
      </c>
      <c r="C4" s="2"/>
      <c r="D4" s="3">
        <f t="shared" ref="D4:J4" si="0">SUM(D5:D12)</f>
        <v>0</v>
      </c>
      <c r="E4" s="3">
        <f t="shared" si="0"/>
        <v>0</v>
      </c>
      <c r="F4" s="3">
        <f t="shared" si="0"/>
        <v>0</v>
      </c>
      <c r="G4" s="3">
        <f t="shared" si="0"/>
        <v>0</v>
      </c>
      <c r="H4" s="3">
        <f t="shared" si="0"/>
        <v>0</v>
      </c>
      <c r="I4" s="3">
        <f t="shared" si="0"/>
        <v>0</v>
      </c>
      <c r="J4" s="3">
        <f t="shared" si="0"/>
        <v>0</v>
      </c>
      <c r="K4" s="3">
        <f>SUM(K5:K12)</f>
        <v>137219.85</v>
      </c>
      <c r="L4" s="3">
        <f>SUM(L5:L12)</f>
        <v>129197.90999999999</v>
      </c>
      <c r="M4" s="3">
        <f>SUM(M5:M12)</f>
        <v>137371.96</v>
      </c>
      <c r="N4" s="1"/>
    </row>
    <row r="5" spans="1:14" x14ac:dyDescent="0.4">
      <c r="B5" t="str">
        <f>"01"</f>
        <v>01</v>
      </c>
      <c r="C5" t="s">
        <v>0</v>
      </c>
      <c r="D5" s="1"/>
      <c r="E5" s="1"/>
      <c r="F5" s="1"/>
      <c r="G5" s="1"/>
      <c r="H5" s="1"/>
      <c r="I5" s="1"/>
      <c r="J5" s="1"/>
      <c r="K5" s="1">
        <v>38351.769999999997</v>
      </c>
      <c r="L5" s="1">
        <v>35089.269999999997</v>
      </c>
      <c r="M5" s="1">
        <v>34812.839999999997</v>
      </c>
    </row>
    <row r="6" spans="1:14" x14ac:dyDescent="0.4">
      <c r="B6" t="str">
        <f>"02"</f>
        <v>02</v>
      </c>
      <c r="C6" t="s">
        <v>2</v>
      </c>
      <c r="D6" s="1"/>
      <c r="E6" s="1"/>
      <c r="F6" s="1"/>
      <c r="G6" s="1"/>
      <c r="H6" s="1"/>
      <c r="I6" s="1"/>
      <c r="J6" s="1"/>
      <c r="K6" s="1">
        <f>20409.32-K7</f>
        <v>1683.3100000000013</v>
      </c>
      <c r="L6" s="1">
        <f>20138.94-L7</f>
        <v>1577.8999999999978</v>
      </c>
      <c r="M6" s="1">
        <f>20797.59-M7</f>
        <v>2792.2599999999984</v>
      </c>
    </row>
    <row r="7" spans="1:14" x14ac:dyDescent="0.4">
      <c r="C7" t="s">
        <v>26</v>
      </c>
      <c r="D7" s="1"/>
      <c r="E7" s="1"/>
      <c r="F7" s="1"/>
      <c r="G7" s="1"/>
      <c r="H7" s="1"/>
      <c r="I7" s="1"/>
      <c r="J7" s="1"/>
      <c r="K7" s="1">
        <v>18726.009999999998</v>
      </c>
      <c r="L7" s="1">
        <v>18561.04</v>
      </c>
      <c r="M7" s="1">
        <v>18005.330000000002</v>
      </c>
      <c r="N7" s="1"/>
    </row>
    <row r="8" spans="1:14" x14ac:dyDescent="0.4">
      <c r="B8" t="str">
        <f>"03"</f>
        <v>03</v>
      </c>
      <c r="C8" t="s">
        <v>3</v>
      </c>
      <c r="D8" s="1"/>
      <c r="E8" s="1"/>
      <c r="F8" s="1"/>
      <c r="G8" s="1"/>
      <c r="H8" s="1"/>
      <c r="I8" s="1"/>
      <c r="J8" s="1"/>
      <c r="K8" s="1">
        <v>1321.74</v>
      </c>
      <c r="L8" s="1">
        <v>1505.32</v>
      </c>
      <c r="M8" s="1">
        <v>880.68</v>
      </c>
    </row>
    <row r="9" spans="1:14" x14ac:dyDescent="0.4">
      <c r="B9" t="str">
        <f>"04"</f>
        <v>04</v>
      </c>
      <c r="C9" t="s">
        <v>4</v>
      </c>
      <c r="D9" s="1"/>
      <c r="E9" s="1"/>
      <c r="F9" s="1"/>
      <c r="G9" s="1"/>
      <c r="H9" s="1"/>
      <c r="I9" s="1"/>
      <c r="J9" s="1"/>
      <c r="K9" s="1">
        <v>57380.42</v>
      </c>
      <c r="L9" s="1">
        <v>55241.46</v>
      </c>
      <c r="M9" s="1">
        <v>62298.75</v>
      </c>
    </row>
    <row r="10" spans="1:14" x14ac:dyDescent="0.4">
      <c r="B10" t="str">
        <f>"17"</f>
        <v>17</v>
      </c>
      <c r="C10" t="s">
        <v>5</v>
      </c>
      <c r="D10" s="1"/>
      <c r="E10" s="1"/>
      <c r="F10" s="1"/>
      <c r="G10" s="1"/>
      <c r="H10" s="1"/>
      <c r="I10" s="1"/>
      <c r="J10" s="1"/>
      <c r="K10" s="1">
        <v>9891.85</v>
      </c>
      <c r="L10" s="1">
        <v>7602.97</v>
      </c>
      <c r="M10" s="1">
        <v>7630.47</v>
      </c>
    </row>
    <row r="11" spans="1:14" x14ac:dyDescent="0.4">
      <c r="B11" t="str">
        <f>"55"</f>
        <v>55</v>
      </c>
      <c r="C11" t="s">
        <v>6</v>
      </c>
      <c r="D11" s="1"/>
      <c r="E11" s="1"/>
      <c r="F11" s="1"/>
      <c r="G11" s="1"/>
      <c r="H11" s="1"/>
      <c r="I11" s="1"/>
      <c r="J11" s="1"/>
      <c r="K11" s="1">
        <v>8595.43</v>
      </c>
      <c r="L11" s="1">
        <v>8279.14</v>
      </c>
      <c r="M11" s="1">
        <v>9570.25</v>
      </c>
    </row>
    <row r="12" spans="1:14" x14ac:dyDescent="0.4">
      <c r="B12" t="str">
        <f>"60"</f>
        <v>60</v>
      </c>
      <c r="C12" t="s">
        <v>7</v>
      </c>
      <c r="D12" s="1"/>
      <c r="E12" s="1"/>
      <c r="F12" s="1"/>
      <c r="G12" s="1"/>
      <c r="H12" s="1"/>
      <c r="I12" s="1"/>
      <c r="J12" s="1"/>
      <c r="K12" s="1">
        <v>1269.32</v>
      </c>
      <c r="L12" s="1">
        <v>1340.81</v>
      </c>
      <c r="M12" s="1">
        <v>1381.38</v>
      </c>
    </row>
    <row r="13" spans="1:14" x14ac:dyDescent="0.4">
      <c r="D13" s="1"/>
      <c r="E13" s="1"/>
      <c r="F13" s="1"/>
      <c r="G13" s="1"/>
      <c r="H13" s="1"/>
      <c r="I13" s="1"/>
      <c r="J13" s="1"/>
      <c r="K13" s="1"/>
      <c r="L13" s="1"/>
    </row>
    <row r="14" spans="1:14" s="2" customFormat="1" x14ac:dyDescent="0.4">
      <c r="A14" s="2" t="str">
        <f>"001"</f>
        <v>001</v>
      </c>
      <c r="B14" s="2" t="s">
        <v>8</v>
      </c>
      <c r="D14" s="3">
        <f t="shared" ref="D14:J14" si="1">SUM(D15:D16)</f>
        <v>0</v>
      </c>
      <c r="E14" s="3">
        <f t="shared" si="1"/>
        <v>0</v>
      </c>
      <c r="F14" s="3">
        <f t="shared" si="1"/>
        <v>0</v>
      </c>
      <c r="G14" s="3">
        <f t="shared" si="1"/>
        <v>0</v>
      </c>
      <c r="H14" s="3">
        <f t="shared" si="1"/>
        <v>0</v>
      </c>
      <c r="I14" s="3">
        <f t="shared" si="1"/>
        <v>0</v>
      </c>
      <c r="J14" s="3">
        <f t="shared" si="1"/>
        <v>0</v>
      </c>
      <c r="K14" s="3">
        <f>SUM(K15:K16)</f>
        <v>13435.79</v>
      </c>
      <c r="L14" s="3">
        <f>SUM(L15:L16)</f>
        <v>13397.85</v>
      </c>
      <c r="M14" s="3">
        <f>SUM(M15:M16)</f>
        <v>14094.48</v>
      </c>
    </row>
    <row r="15" spans="1:14" x14ac:dyDescent="0.4">
      <c r="B15" t="str">
        <f>"01"</f>
        <v>01</v>
      </c>
      <c r="C15" t="s">
        <v>0</v>
      </c>
      <c r="D15" s="1"/>
      <c r="E15" s="1"/>
      <c r="F15" s="1"/>
      <c r="G15" s="1"/>
      <c r="H15" s="1"/>
      <c r="I15" s="1"/>
      <c r="J15" s="1"/>
      <c r="K15" s="1">
        <f>13435.79-K16</f>
        <v>1858.0500000000011</v>
      </c>
      <c r="L15" s="1">
        <f>13397.85-L16</f>
        <v>1876.9600000000009</v>
      </c>
      <c r="M15" s="1">
        <f>14094.48-M16</f>
        <v>2954.7199999999993</v>
      </c>
    </row>
    <row r="16" spans="1:14" x14ac:dyDescent="0.4">
      <c r="C16" t="s">
        <v>26</v>
      </c>
      <c r="D16" s="1"/>
      <c r="E16" s="1"/>
      <c r="F16" s="1"/>
      <c r="G16" s="1"/>
      <c r="H16" s="1"/>
      <c r="I16" s="1"/>
      <c r="J16" s="1"/>
      <c r="K16" s="1">
        <v>11577.74</v>
      </c>
      <c r="L16" s="1">
        <v>11520.89</v>
      </c>
      <c r="M16" s="1">
        <v>11139.76</v>
      </c>
    </row>
    <row r="17" spans="1:13" x14ac:dyDescent="0.4">
      <c r="D17" s="1"/>
      <c r="E17" s="1"/>
      <c r="F17" s="1"/>
      <c r="G17" s="1"/>
      <c r="H17" s="1"/>
      <c r="I17" s="1"/>
      <c r="J17" s="1"/>
      <c r="K17" s="1"/>
      <c r="L17" s="1"/>
    </row>
    <row r="18" spans="1:13" s="2" customFormat="1" x14ac:dyDescent="0.4">
      <c r="A18" s="2" t="str">
        <f>"003"</f>
        <v>003</v>
      </c>
      <c r="B18" s="2" t="s">
        <v>9</v>
      </c>
      <c r="D18" s="3">
        <f t="shared" ref="D18:J18" si="2">SUM(D19:D20)</f>
        <v>0</v>
      </c>
      <c r="E18" s="3">
        <f t="shared" si="2"/>
        <v>0</v>
      </c>
      <c r="F18" s="3">
        <f t="shared" si="2"/>
        <v>0</v>
      </c>
      <c r="G18" s="3">
        <f t="shared" si="2"/>
        <v>0</v>
      </c>
      <c r="H18" s="3">
        <f t="shared" si="2"/>
        <v>0</v>
      </c>
      <c r="I18" s="3">
        <f t="shared" si="2"/>
        <v>0</v>
      </c>
      <c r="J18" s="3">
        <f t="shared" si="2"/>
        <v>0</v>
      </c>
      <c r="K18" s="3">
        <f>SUM(K19:K20)</f>
        <v>10942.81</v>
      </c>
      <c r="L18" s="3">
        <f>SUM(L19:L20)</f>
        <v>10835.87</v>
      </c>
      <c r="M18" s="3">
        <f>SUM(M19:M20)</f>
        <v>15838.46</v>
      </c>
    </row>
    <row r="19" spans="1:13" x14ac:dyDescent="0.4">
      <c r="B19" t="str">
        <f>"01"</f>
        <v>01</v>
      </c>
      <c r="C19" t="s">
        <v>0</v>
      </c>
      <c r="D19" s="1"/>
      <c r="E19" s="1"/>
      <c r="F19" s="1"/>
      <c r="G19" s="1"/>
      <c r="H19" s="1"/>
      <c r="I19" s="1"/>
      <c r="J19" s="1"/>
      <c r="K19" s="1">
        <f>10942.81-K20</f>
        <v>1288.4399999999987</v>
      </c>
      <c r="L19" s="1">
        <f>10835.87-L20</f>
        <v>1233.4700000000012</v>
      </c>
      <c r="M19" s="1">
        <f>15838.46-M20</f>
        <v>6550.08</v>
      </c>
    </row>
    <row r="20" spans="1:13" x14ac:dyDescent="0.4">
      <c r="C20" t="s">
        <v>26</v>
      </c>
      <c r="D20" s="1"/>
      <c r="E20" s="1"/>
      <c r="F20" s="1"/>
      <c r="G20" s="1"/>
      <c r="H20" s="1"/>
      <c r="I20" s="1"/>
      <c r="J20" s="1"/>
      <c r="K20" s="1">
        <v>9654.3700000000008</v>
      </c>
      <c r="L20" s="1">
        <v>9602.4</v>
      </c>
      <c r="M20" s="1">
        <v>9288.3799999999992</v>
      </c>
    </row>
    <row r="21" spans="1:13" x14ac:dyDescent="0.4">
      <c r="D21" s="1"/>
      <c r="E21" s="1"/>
      <c r="F21" s="1"/>
      <c r="G21" s="1"/>
      <c r="H21" s="1"/>
      <c r="I21" s="1"/>
      <c r="J21" s="1"/>
      <c r="K21" s="1"/>
      <c r="L21" s="1"/>
    </row>
    <row r="22" spans="1:13" s="2" customFormat="1" x14ac:dyDescent="0.4">
      <c r="A22" s="2" t="str">
        <f>"005"</f>
        <v>005</v>
      </c>
      <c r="B22" s="2" t="s">
        <v>10</v>
      </c>
      <c r="D22" s="3">
        <f t="shared" ref="D22:J22" si="3">D23</f>
        <v>0</v>
      </c>
      <c r="E22" s="3">
        <f t="shared" si="3"/>
        <v>0</v>
      </c>
      <c r="F22" s="3">
        <f t="shared" si="3"/>
        <v>0</v>
      </c>
      <c r="G22" s="3">
        <f t="shared" si="3"/>
        <v>0</v>
      </c>
      <c r="H22" s="3">
        <f t="shared" si="3"/>
        <v>0</v>
      </c>
      <c r="I22" s="3">
        <f t="shared" si="3"/>
        <v>0</v>
      </c>
      <c r="J22" s="3">
        <f t="shared" si="3"/>
        <v>0</v>
      </c>
      <c r="K22" s="3">
        <f>K23</f>
        <v>1938.26</v>
      </c>
      <c r="L22" s="3">
        <f>L23</f>
        <v>1733.5</v>
      </c>
      <c r="M22" s="3">
        <f>M23</f>
        <v>1409.92</v>
      </c>
    </row>
    <row r="23" spans="1:13" x14ac:dyDescent="0.4">
      <c r="B23" t="str">
        <f>"40"</f>
        <v>40</v>
      </c>
      <c r="C23" t="s">
        <v>11</v>
      </c>
      <c r="D23" s="1"/>
      <c r="E23" s="1"/>
      <c r="F23" s="1"/>
      <c r="G23" s="1"/>
      <c r="H23" s="1"/>
      <c r="I23" s="1"/>
      <c r="J23" s="1"/>
      <c r="K23" s="1">
        <v>1938.26</v>
      </c>
      <c r="L23" s="1">
        <v>1733.5</v>
      </c>
      <c r="M23" s="1">
        <v>1409.92</v>
      </c>
    </row>
    <row r="24" spans="1:13" x14ac:dyDescent="0.4">
      <c r="D24" s="1"/>
      <c r="E24" s="1"/>
      <c r="F24" s="1"/>
      <c r="G24" s="1"/>
      <c r="H24" s="1"/>
      <c r="I24" s="1"/>
      <c r="J24" s="1"/>
      <c r="K24" s="1"/>
      <c r="L24" s="1"/>
    </row>
    <row r="25" spans="1:13" s="2" customFormat="1" x14ac:dyDescent="0.4">
      <c r="A25" s="2" t="str">
        <f>"006"</f>
        <v>006</v>
      </c>
      <c r="B25" s="2" t="s">
        <v>12</v>
      </c>
      <c r="D25" s="3">
        <f t="shared" ref="D25:J25" si="4">D26</f>
        <v>0</v>
      </c>
      <c r="E25" s="3">
        <f t="shared" si="4"/>
        <v>0</v>
      </c>
      <c r="F25" s="3">
        <f t="shared" si="4"/>
        <v>0</v>
      </c>
      <c r="G25" s="3">
        <f t="shared" si="4"/>
        <v>0</v>
      </c>
      <c r="H25" s="3">
        <f t="shared" si="4"/>
        <v>0</v>
      </c>
      <c r="I25" s="3">
        <f t="shared" si="4"/>
        <v>0</v>
      </c>
      <c r="J25" s="3">
        <f t="shared" si="4"/>
        <v>0</v>
      </c>
      <c r="K25" s="3">
        <f>K26</f>
        <v>2324.08</v>
      </c>
      <c r="L25" s="3">
        <f>L26</f>
        <v>1996.5</v>
      </c>
      <c r="M25" s="3">
        <f>M26</f>
        <v>2049.64</v>
      </c>
    </row>
    <row r="26" spans="1:13" x14ac:dyDescent="0.4">
      <c r="B26" t="str">
        <f>"65"</f>
        <v>65</v>
      </c>
      <c r="C26" t="s">
        <v>13</v>
      </c>
      <c r="D26" s="1"/>
      <c r="E26" s="1"/>
      <c r="F26" s="1"/>
      <c r="G26" s="1"/>
      <c r="H26" s="1"/>
      <c r="I26" s="1"/>
      <c r="J26" s="1"/>
      <c r="K26" s="1">
        <v>2324.08</v>
      </c>
      <c r="L26" s="1">
        <v>1996.5</v>
      </c>
      <c r="M26" s="1">
        <v>2049.64</v>
      </c>
    </row>
    <row r="27" spans="1:13" x14ac:dyDescent="0.4">
      <c r="D27" s="1"/>
      <c r="E27" s="1"/>
      <c r="F27" s="1"/>
      <c r="G27" s="1"/>
      <c r="H27" s="1"/>
      <c r="I27" s="1"/>
      <c r="J27" s="1"/>
      <c r="K27" s="1"/>
      <c r="L27" s="1"/>
    </row>
    <row r="28" spans="1:13" s="2" customFormat="1" x14ac:dyDescent="0.4">
      <c r="A28" s="2" t="str">
        <f>"008"</f>
        <v>008</v>
      </c>
      <c r="B28" s="2" t="s">
        <v>14</v>
      </c>
      <c r="D28" s="3">
        <f t="shared" ref="D28:J28" si="5">D29</f>
        <v>0</v>
      </c>
      <c r="E28" s="3">
        <f t="shared" si="5"/>
        <v>0</v>
      </c>
      <c r="F28" s="3">
        <f t="shared" si="5"/>
        <v>0</v>
      </c>
      <c r="G28" s="3">
        <f t="shared" si="5"/>
        <v>0</v>
      </c>
      <c r="H28" s="3">
        <f t="shared" si="5"/>
        <v>0</v>
      </c>
      <c r="I28" s="3">
        <f t="shared" si="5"/>
        <v>0</v>
      </c>
      <c r="J28" s="3">
        <f t="shared" si="5"/>
        <v>0</v>
      </c>
      <c r="K28" s="3">
        <f>K29</f>
        <v>1713.96</v>
      </c>
      <c r="L28" s="3">
        <f>L29</f>
        <v>1346.12</v>
      </c>
      <c r="M28" s="3">
        <f>M29</f>
        <v>1343.15</v>
      </c>
    </row>
    <row r="29" spans="1:13" x14ac:dyDescent="0.4">
      <c r="B29" t="str">
        <f>"40"</f>
        <v>40</v>
      </c>
      <c r="C29" t="s">
        <v>11</v>
      </c>
      <c r="D29" s="1"/>
      <c r="E29" s="1"/>
      <c r="F29" s="1"/>
      <c r="G29" s="1"/>
      <c r="H29" s="1"/>
      <c r="I29" s="1"/>
      <c r="J29" s="1"/>
      <c r="K29" s="1">
        <v>1713.96</v>
      </c>
      <c r="L29" s="1">
        <v>1346.12</v>
      </c>
      <c r="M29" s="1">
        <v>1343.15</v>
      </c>
    </row>
    <row r="30" spans="1:13" x14ac:dyDescent="0.4">
      <c r="D30" s="1"/>
      <c r="E30" s="1"/>
      <c r="F30" s="1"/>
      <c r="G30" s="1"/>
      <c r="H30" s="1"/>
      <c r="I30" s="1"/>
      <c r="J30" s="1"/>
      <c r="K30" s="1"/>
      <c r="L30" s="1"/>
    </row>
    <row r="31" spans="1:13" s="2" customFormat="1" x14ac:dyDescent="0.4">
      <c r="A31" s="2" t="str">
        <f>"009"</f>
        <v>009</v>
      </c>
      <c r="B31" s="2" t="s">
        <v>15</v>
      </c>
      <c r="D31" s="3">
        <f t="shared" ref="D31:J31" si="6">D32</f>
        <v>0</v>
      </c>
      <c r="E31" s="3">
        <f t="shared" si="6"/>
        <v>0</v>
      </c>
      <c r="F31" s="3">
        <f t="shared" si="6"/>
        <v>0</v>
      </c>
      <c r="G31" s="3">
        <f t="shared" si="6"/>
        <v>0</v>
      </c>
      <c r="H31" s="3">
        <f t="shared" si="6"/>
        <v>0</v>
      </c>
      <c r="I31" s="3">
        <f t="shared" si="6"/>
        <v>0</v>
      </c>
      <c r="J31" s="3">
        <f t="shared" si="6"/>
        <v>0</v>
      </c>
      <c r="K31" s="3">
        <f>K32</f>
        <v>1769.68</v>
      </c>
      <c r="L31" s="3">
        <f>L32</f>
        <v>1767.7</v>
      </c>
      <c r="M31" s="3">
        <f>M32</f>
        <v>2049.66</v>
      </c>
    </row>
    <row r="32" spans="1:13" x14ac:dyDescent="0.4">
      <c r="B32" t="str">
        <f>"65"</f>
        <v>65</v>
      </c>
      <c r="C32" t="s">
        <v>13</v>
      </c>
      <c r="D32" s="1"/>
      <c r="E32" s="1"/>
      <c r="F32" s="1"/>
      <c r="G32" s="1"/>
      <c r="H32" s="1"/>
      <c r="I32" s="1"/>
      <c r="J32" s="1"/>
      <c r="K32" s="1">
        <v>1769.68</v>
      </c>
      <c r="L32" s="1">
        <v>1767.7</v>
      </c>
      <c r="M32" s="1">
        <v>2049.66</v>
      </c>
    </row>
    <row r="33" spans="1:13" x14ac:dyDescent="0.4">
      <c r="D33" s="1"/>
      <c r="E33" s="1"/>
      <c r="F33" s="1"/>
      <c r="G33" s="1"/>
      <c r="H33" s="1"/>
      <c r="I33" s="1"/>
      <c r="J33" s="1"/>
      <c r="K33" s="1"/>
      <c r="L33" s="1"/>
    </row>
    <row r="34" spans="1:13" s="2" customFormat="1" x14ac:dyDescent="0.4">
      <c r="A34" s="2" t="str">
        <f>"011"</f>
        <v>011</v>
      </c>
      <c r="B34" s="2" t="s">
        <v>16</v>
      </c>
      <c r="D34" s="3">
        <f t="shared" ref="D34:J34" si="7">D35</f>
        <v>0</v>
      </c>
      <c r="E34" s="3">
        <f t="shared" si="7"/>
        <v>0</v>
      </c>
      <c r="F34" s="3">
        <f t="shared" si="7"/>
        <v>0</v>
      </c>
      <c r="G34" s="3">
        <f t="shared" si="7"/>
        <v>0</v>
      </c>
      <c r="H34" s="3">
        <f t="shared" si="7"/>
        <v>0</v>
      </c>
      <c r="I34" s="3">
        <f t="shared" si="7"/>
        <v>0</v>
      </c>
      <c r="J34" s="3">
        <f t="shared" si="7"/>
        <v>0</v>
      </c>
      <c r="K34" s="3">
        <f>K35</f>
        <v>1715.71</v>
      </c>
      <c r="L34" s="3">
        <f>L35</f>
        <v>1346.35</v>
      </c>
      <c r="M34" s="3">
        <f>M35</f>
        <v>1342.92</v>
      </c>
    </row>
    <row r="35" spans="1:13" x14ac:dyDescent="0.4">
      <c r="B35" t="str">
        <f>"40"</f>
        <v>40</v>
      </c>
      <c r="C35" t="s">
        <v>11</v>
      </c>
      <c r="D35" s="1"/>
      <c r="E35" s="1"/>
      <c r="F35" s="1"/>
      <c r="G35" s="1"/>
      <c r="H35" s="1"/>
      <c r="I35" s="1"/>
      <c r="J35" s="1"/>
      <c r="K35" s="1">
        <v>1715.71</v>
      </c>
      <c r="L35" s="1">
        <v>1346.35</v>
      </c>
      <c r="M35" s="1">
        <v>1342.92</v>
      </c>
    </row>
    <row r="36" spans="1:13" x14ac:dyDescent="0.4">
      <c r="D36" s="1"/>
      <c r="E36" s="1"/>
      <c r="F36" s="1"/>
      <c r="G36" s="1"/>
      <c r="H36" s="1"/>
      <c r="I36" s="1"/>
      <c r="J36" s="1"/>
      <c r="K36" s="1"/>
      <c r="L36" s="1"/>
    </row>
    <row r="37" spans="1:13" s="2" customFormat="1" x14ac:dyDescent="0.4">
      <c r="A37" s="2" t="str">
        <f>"012"</f>
        <v>012</v>
      </c>
      <c r="B37" s="2" t="s">
        <v>27</v>
      </c>
      <c r="D37" s="3">
        <f t="shared" ref="D37:J37" si="8">D38</f>
        <v>0</v>
      </c>
      <c r="E37" s="3">
        <f t="shared" si="8"/>
        <v>0</v>
      </c>
      <c r="F37" s="3">
        <f t="shared" si="8"/>
        <v>0</v>
      </c>
      <c r="G37" s="3">
        <f t="shared" si="8"/>
        <v>0</v>
      </c>
      <c r="H37" s="3">
        <f t="shared" si="8"/>
        <v>0</v>
      </c>
      <c r="I37" s="3">
        <f t="shared" si="8"/>
        <v>0</v>
      </c>
      <c r="J37" s="3">
        <f t="shared" si="8"/>
        <v>0</v>
      </c>
      <c r="K37" s="3">
        <f>K38</f>
        <v>1781.78</v>
      </c>
      <c r="L37" s="3">
        <f>L38</f>
        <v>1767.7</v>
      </c>
      <c r="M37" s="3">
        <f>M38</f>
        <v>3030.86</v>
      </c>
    </row>
    <row r="38" spans="1:13" x14ac:dyDescent="0.4">
      <c r="B38" t="str">
        <f>"65"</f>
        <v>65</v>
      </c>
      <c r="C38" t="s">
        <v>13</v>
      </c>
      <c r="D38" s="1"/>
      <c r="E38" s="1"/>
      <c r="F38" s="1"/>
      <c r="G38" s="1"/>
      <c r="H38" s="1"/>
      <c r="I38" s="1"/>
      <c r="J38" s="1"/>
      <c r="K38" s="1">
        <v>1781.78</v>
      </c>
      <c r="L38" s="1">
        <v>1767.7</v>
      </c>
      <c r="M38" s="1">
        <v>3030.86</v>
      </c>
    </row>
    <row r="39" spans="1:13" x14ac:dyDescent="0.4">
      <c r="D39" s="1"/>
      <c r="E39" s="1"/>
      <c r="F39" s="1"/>
      <c r="G39" s="1"/>
      <c r="H39" s="1"/>
      <c r="I39" s="1"/>
      <c r="J39" s="1"/>
      <c r="K39" s="1"/>
      <c r="L39" s="1"/>
    </row>
    <row r="40" spans="1:13" s="2" customFormat="1" x14ac:dyDescent="0.4">
      <c r="A40" s="2" t="str">
        <f>"013"</f>
        <v>013</v>
      </c>
      <c r="B40" s="2" t="s">
        <v>17</v>
      </c>
      <c r="D40" s="3">
        <f t="shared" ref="D40:J40" si="9">D41</f>
        <v>0</v>
      </c>
      <c r="E40" s="3">
        <f t="shared" si="9"/>
        <v>0</v>
      </c>
      <c r="F40" s="3">
        <f t="shared" si="9"/>
        <v>0</v>
      </c>
      <c r="G40" s="3">
        <f t="shared" si="9"/>
        <v>0</v>
      </c>
      <c r="H40" s="3">
        <f t="shared" si="9"/>
        <v>0</v>
      </c>
      <c r="I40" s="3">
        <f t="shared" si="9"/>
        <v>0</v>
      </c>
      <c r="J40" s="3">
        <f t="shared" si="9"/>
        <v>0</v>
      </c>
      <c r="K40" s="3">
        <f>K41</f>
        <v>6239.45</v>
      </c>
      <c r="L40" s="3">
        <f>L41</f>
        <v>9650.07</v>
      </c>
      <c r="M40" s="3">
        <f>M41</f>
        <v>8609.75</v>
      </c>
    </row>
    <row r="41" spans="1:13" x14ac:dyDescent="0.4">
      <c r="B41" t="str">
        <f>"50"</f>
        <v>50</v>
      </c>
      <c r="C41" t="s">
        <v>18</v>
      </c>
      <c r="D41" s="1"/>
      <c r="E41" s="1"/>
      <c r="F41" s="1"/>
      <c r="G41" s="1"/>
      <c r="H41" s="1"/>
      <c r="I41" s="1"/>
      <c r="J41" s="1"/>
      <c r="K41" s="1">
        <v>6239.45</v>
      </c>
      <c r="L41" s="1">
        <v>9650.07</v>
      </c>
      <c r="M41" s="1">
        <v>8609.75</v>
      </c>
    </row>
    <row r="42" spans="1:13" x14ac:dyDescent="0.4">
      <c r="D42" s="1"/>
      <c r="E42" s="1"/>
      <c r="F42" s="1"/>
      <c r="G42" s="1"/>
      <c r="H42" s="1"/>
      <c r="I42" s="1"/>
      <c r="J42" s="1"/>
      <c r="K42" s="1"/>
      <c r="L42" s="1"/>
    </row>
    <row r="43" spans="1:13" s="2" customFormat="1" x14ac:dyDescent="0.4">
      <c r="A43" s="2" t="str">
        <f>"014"</f>
        <v>014</v>
      </c>
      <c r="B43" s="2" t="s">
        <v>19</v>
      </c>
      <c r="D43" s="3">
        <f t="shared" ref="D43:J43" si="10">D44</f>
        <v>0</v>
      </c>
      <c r="E43" s="3">
        <f t="shared" si="10"/>
        <v>0</v>
      </c>
      <c r="F43" s="3">
        <f t="shared" si="10"/>
        <v>0</v>
      </c>
      <c r="G43" s="3">
        <f t="shared" si="10"/>
        <v>0</v>
      </c>
      <c r="H43" s="3">
        <f t="shared" si="10"/>
        <v>0</v>
      </c>
      <c r="I43" s="3">
        <f t="shared" si="10"/>
        <v>0</v>
      </c>
      <c r="J43" s="3">
        <f t="shared" si="10"/>
        <v>0</v>
      </c>
      <c r="K43" s="3">
        <f>K44</f>
        <v>6066.55</v>
      </c>
      <c r="L43" s="3">
        <f>L44</f>
        <v>8234.98</v>
      </c>
      <c r="M43" s="3">
        <f>M44</f>
        <v>6519.86</v>
      </c>
    </row>
    <row r="44" spans="1:13" x14ac:dyDescent="0.4">
      <c r="B44" t="str">
        <f>"50"</f>
        <v>50</v>
      </c>
      <c r="C44" t="s">
        <v>18</v>
      </c>
      <c r="D44" s="1"/>
      <c r="E44" s="1"/>
      <c r="F44" s="1"/>
      <c r="G44" s="1"/>
      <c r="H44" s="1"/>
      <c r="I44" s="1"/>
      <c r="J44" s="1"/>
      <c r="K44" s="1">
        <v>6066.55</v>
      </c>
      <c r="L44" s="1">
        <v>8234.98</v>
      </c>
      <c r="M44" s="1">
        <v>6519.86</v>
      </c>
    </row>
    <row r="45" spans="1:13" x14ac:dyDescent="0.4">
      <c r="D45" s="1"/>
      <c r="E45" s="1"/>
      <c r="F45" s="1"/>
      <c r="G45" s="1"/>
      <c r="H45" s="1"/>
      <c r="I45" s="1"/>
      <c r="J45" s="1"/>
      <c r="K45" s="1"/>
      <c r="L45" s="1"/>
    </row>
    <row r="46" spans="1:13" s="2" customFormat="1" x14ac:dyDescent="0.4">
      <c r="A46" s="2" t="str">
        <f>"015"</f>
        <v>015</v>
      </c>
      <c r="B46" s="2" t="s">
        <v>20</v>
      </c>
      <c r="D46" s="3">
        <f t="shared" ref="D46:J46" si="11">D47</f>
        <v>0</v>
      </c>
      <c r="E46" s="3">
        <f t="shared" si="11"/>
        <v>0</v>
      </c>
      <c r="F46" s="3">
        <f t="shared" si="11"/>
        <v>0</v>
      </c>
      <c r="G46" s="3">
        <f t="shared" si="11"/>
        <v>0</v>
      </c>
      <c r="H46" s="3">
        <f t="shared" si="11"/>
        <v>0</v>
      </c>
      <c r="I46" s="3">
        <f t="shared" si="11"/>
        <v>0</v>
      </c>
      <c r="J46" s="3">
        <f t="shared" si="11"/>
        <v>0</v>
      </c>
      <c r="K46" s="3">
        <f>K47</f>
        <v>6755.66</v>
      </c>
      <c r="L46" s="3">
        <f>L47</f>
        <v>8483.5300000000007</v>
      </c>
      <c r="M46" s="3">
        <f>M47</f>
        <v>7014.1</v>
      </c>
    </row>
    <row r="47" spans="1:13" x14ac:dyDescent="0.4">
      <c r="B47" t="str">
        <f>"50"</f>
        <v>50</v>
      </c>
      <c r="C47" t="s">
        <v>18</v>
      </c>
      <c r="D47" s="1"/>
      <c r="E47" s="1"/>
      <c r="F47" s="1"/>
      <c r="G47" s="1"/>
      <c r="H47" s="1"/>
      <c r="I47" s="1"/>
      <c r="J47" s="1"/>
      <c r="K47" s="1">
        <v>6755.66</v>
      </c>
      <c r="L47" s="1">
        <v>8483.5300000000007</v>
      </c>
      <c r="M47" s="1">
        <v>7014.1</v>
      </c>
    </row>
    <row r="48" spans="1:13" x14ac:dyDescent="0.4">
      <c r="D48" s="1"/>
      <c r="E48" s="1"/>
      <c r="F48" s="1"/>
      <c r="G48" s="1"/>
      <c r="H48" s="1"/>
      <c r="I48" s="1"/>
      <c r="J48" s="1"/>
      <c r="K48" s="1"/>
      <c r="L48" s="1"/>
    </row>
    <row r="49" spans="1:13" s="2" customFormat="1" x14ac:dyDescent="0.4">
      <c r="A49" s="2" t="str">
        <f>"016"</f>
        <v>016</v>
      </c>
      <c r="B49" s="2" t="s">
        <v>21</v>
      </c>
      <c r="D49" s="3">
        <f t="shared" ref="D49:J49" si="12">D50</f>
        <v>0</v>
      </c>
      <c r="E49" s="3">
        <f t="shared" si="12"/>
        <v>0</v>
      </c>
      <c r="F49" s="3">
        <f t="shared" si="12"/>
        <v>0</v>
      </c>
      <c r="G49" s="3">
        <f t="shared" si="12"/>
        <v>0</v>
      </c>
      <c r="H49" s="3">
        <f t="shared" si="12"/>
        <v>0</v>
      </c>
      <c r="I49" s="3">
        <f t="shared" si="12"/>
        <v>0</v>
      </c>
      <c r="J49" s="3">
        <f t="shared" si="12"/>
        <v>0</v>
      </c>
      <c r="K49" s="3">
        <f>K50</f>
        <v>206.34</v>
      </c>
      <c r="L49" s="3">
        <f>L50</f>
        <v>225.99</v>
      </c>
      <c r="M49" s="3">
        <f>M50</f>
        <v>657.22</v>
      </c>
    </row>
    <row r="50" spans="1:13" x14ac:dyDescent="0.4">
      <c r="B50" t="str">
        <f>"06"</f>
        <v>06</v>
      </c>
      <c r="C50" t="s">
        <v>23</v>
      </c>
      <c r="D50" s="1"/>
      <c r="E50" s="1"/>
      <c r="F50" s="1"/>
      <c r="G50" s="1"/>
      <c r="H50" s="1"/>
      <c r="I50" s="1"/>
      <c r="J50" s="1"/>
      <c r="K50" s="1">
        <v>206.34</v>
      </c>
      <c r="L50" s="1">
        <v>225.99</v>
      </c>
      <c r="M50" s="1">
        <v>657.22</v>
      </c>
    </row>
    <row r="51" spans="1:13" x14ac:dyDescent="0.4">
      <c r="D51" s="1"/>
      <c r="E51" s="1"/>
      <c r="F51" s="1"/>
      <c r="G51" s="1"/>
      <c r="H51" s="1"/>
      <c r="I51" s="1"/>
      <c r="J51" s="1"/>
      <c r="K51" s="1"/>
      <c r="L51" s="1"/>
    </row>
    <row r="52" spans="1:13" s="2" customFormat="1" x14ac:dyDescent="0.4">
      <c r="A52" s="2" t="str">
        <f>"017"</f>
        <v>017</v>
      </c>
      <c r="B52" s="2" t="s">
        <v>22</v>
      </c>
      <c r="D52" s="3">
        <f t="shared" ref="D52:J52" si="13">D53</f>
        <v>0</v>
      </c>
      <c r="E52" s="3">
        <f t="shared" si="13"/>
        <v>0</v>
      </c>
      <c r="F52" s="3">
        <f t="shared" si="13"/>
        <v>0</v>
      </c>
      <c r="G52" s="3">
        <f t="shared" si="13"/>
        <v>0</v>
      </c>
      <c r="H52" s="3">
        <f t="shared" si="13"/>
        <v>0</v>
      </c>
      <c r="I52" s="3">
        <f t="shared" si="13"/>
        <v>0</v>
      </c>
      <c r="J52" s="3">
        <f t="shared" si="13"/>
        <v>0</v>
      </c>
      <c r="K52" s="3">
        <f>K53</f>
        <v>2411.84</v>
      </c>
      <c r="L52" s="3">
        <f>L53</f>
        <v>1267.9100000000001</v>
      </c>
      <c r="M52" s="3">
        <f>M53</f>
        <v>2181.6</v>
      </c>
    </row>
    <row r="53" spans="1:13" x14ac:dyDescent="0.4">
      <c r="B53" t="str">
        <f>"06"</f>
        <v>06</v>
      </c>
      <c r="C53" t="s">
        <v>24</v>
      </c>
      <c r="D53" s="1"/>
      <c r="E53" s="1"/>
      <c r="F53" s="1"/>
      <c r="G53" s="1"/>
      <c r="H53" s="1"/>
      <c r="I53" s="1"/>
      <c r="J53" s="1"/>
      <c r="K53" s="1">
        <v>2411.84</v>
      </c>
      <c r="L53" s="1">
        <v>1267.9100000000001</v>
      </c>
      <c r="M53" s="1">
        <v>2181.6</v>
      </c>
    </row>
    <row r="54" spans="1:13" x14ac:dyDescent="0.4">
      <c r="D54" s="1"/>
      <c r="E54" s="1"/>
      <c r="F54" s="1"/>
      <c r="G54" s="1"/>
      <c r="H54" s="1"/>
      <c r="I54" s="1"/>
      <c r="J54" s="1"/>
      <c r="K54" s="1"/>
      <c r="L54" s="1"/>
    </row>
    <row r="55" spans="1:13" x14ac:dyDescent="0.4">
      <c r="A55" s="5" t="s">
        <v>28</v>
      </c>
      <c r="B55" s="5"/>
      <c r="C55" s="5"/>
      <c r="D55" s="6">
        <f t="shared" ref="D55:J55" si="14">SUM(D4,D14,D18,D22,D25,D28,D31,D34,D37,D40,D43,D46,D49,D52)</f>
        <v>0</v>
      </c>
      <c r="E55" s="6">
        <f t="shared" si="14"/>
        <v>0</v>
      </c>
      <c r="F55" s="6">
        <f t="shared" si="14"/>
        <v>0</v>
      </c>
      <c r="G55" s="6">
        <f t="shared" si="14"/>
        <v>0</v>
      </c>
      <c r="H55" s="6">
        <f t="shared" si="14"/>
        <v>0</v>
      </c>
      <c r="I55" s="6">
        <f t="shared" si="14"/>
        <v>0</v>
      </c>
      <c r="J55" s="6">
        <f t="shared" si="14"/>
        <v>0</v>
      </c>
      <c r="K55" s="6">
        <f>SUM(K4,K14,K18,K22,K25,K28,K31,K34,K37,K40,K43,K46,K49,K52)</f>
        <v>194521.75999999998</v>
      </c>
      <c r="L55" s="6">
        <f>SUM(L4,L14,L18,L22,L25,L28,L31,L34,L37,L40,L43,L46,L49,L52)</f>
        <v>191251.98</v>
      </c>
      <c r="M55" s="6">
        <f>SUM(M4,M14,M18,M22,M25,M28,M31,M34,M37,M40,M43,M46,M49,M52)</f>
        <v>203513.58000000002</v>
      </c>
    </row>
    <row r="56" spans="1:13" x14ac:dyDescent="0.4">
      <c r="A56" s="2"/>
      <c r="K56">
        <v>194611.76</v>
      </c>
      <c r="M56" s="3"/>
    </row>
    <row r="58" spans="1:13" x14ac:dyDescent="0.4">
      <c r="K58" s="1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2D4F16-FC7F-4142-99A5-0159D9312107}">
  <dimension ref="A1"/>
  <sheetViews>
    <sheetView workbookViewId="0">
      <selection activeCell="C1" sqref="C1"/>
    </sheetView>
  </sheetViews>
  <sheetFormatPr baseColWidth="10" defaultRowHeight="14.6" x14ac:dyDescent="0.4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2</vt:i4>
      </vt:variant>
    </vt:vector>
  </HeadingPairs>
  <TitlesOfParts>
    <vt:vector size="2" baseType="lpstr">
      <vt:lpstr>Feuil1</vt:lpstr>
      <vt:lpstr>Feuil2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Yvon PLANCADE</dc:creator>
  <cp:lastModifiedBy>Yvon PLANCADE</cp:lastModifiedBy>
  <dcterms:created xsi:type="dcterms:W3CDTF">2025-10-22T07:26:57Z</dcterms:created>
  <dcterms:modified xsi:type="dcterms:W3CDTF">2025-10-22T14:55:22Z</dcterms:modified>
</cp:coreProperties>
</file>